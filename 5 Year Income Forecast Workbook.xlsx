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s &amp; Assuptions" sheetId="1" state="visible" r:id="rId3"/>
    <sheet name="Summary" sheetId="2" state="visible" r:id="rId4"/>
    <sheet name="Visuals" sheetId="3" state="visible" r:id="rId5"/>
    <sheet name="Channel 1_calculations" sheetId="4" state="visible" r:id="rId6"/>
    <sheet name="Channel 2_calculations" sheetId="5" state="visible" r:id="rId7"/>
    <sheet name="Channel 3_calculations" sheetId="6" state="visible" r:id="rId8"/>
    <sheet name="Channel 1 Sales" sheetId="7" state="visible" r:id="rId9"/>
    <sheet name="Channel 2 Sales" sheetId="8" state="visible" r:id="rId10"/>
    <sheet name="Channel 3 Sales" sheetId="9" state="visible" r:id="rId11"/>
  </sheets>
  <definedNames>
    <definedName function="false" hidden="false" name="CALC_REMAINED" vbProcedure="false">'Inputs &amp; Assuptions'!$B$13:$B$72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<sst xmlns="http://schemas.openxmlformats.org/spreadsheetml/2006/main" count="187" uniqueCount="111">
  <si>
    <t xml:space="preserve">Channel 1</t>
  </si>
  <si>
    <t xml:space="preserve">Channel 2</t>
  </si>
  <si>
    <t xml:space="preserve">Channel 3</t>
  </si>
  <si>
    <t xml:space="preserve">Assumption Explanation</t>
  </si>
  <si>
    <t xml:space="preserve">Average Monthly Premium</t>
  </si>
  <si>
    <t xml:space="preserve">Growing by 5% per annnum in all channels</t>
  </si>
  <si>
    <t xml:space="preserve">Premium Increase(per annum)</t>
  </si>
  <si>
    <t xml:space="preserve">Monthly Sales</t>
  </si>
  <si>
    <t xml:space="preserve">Sales Increase(per annum)</t>
  </si>
  <si>
    <t xml:space="preserve">Commission</t>
  </si>
  <si>
    <t xml:space="preserve">4 times monthly premium per sale</t>
  </si>
  <si>
    <t xml:space="preserve">Tiered on-going commission structure
First R300 - 25% of premium
R300-R600 - 20% of premium
R600-R1,200 - 15% of premium
R1,200-R1,500 – 10% of premium
Above R1,500 – 5% of premium</t>
  </si>
  <si>
    <t xml:space="preserve">20% per sale on-going commission</t>
  </si>
  <si>
    <t xml:space="preserve">Expenses</t>
  </si>
  <si>
    <t xml:space="preserve">Calculated on Gross Premium</t>
  </si>
  <si>
    <t xml:space="preserve">Gross Claim Ratio</t>
  </si>
  <si>
    <t xml:space="preserve">Duration</t>
  </si>
  <si>
    <t xml:space="preserve">Lapse Rates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</si>
  <si>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</si>
  <si>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</si>
  <si>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</si>
  <si>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</si>
  <si>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</si>
  <si>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</si>
  <si>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</si>
  <si>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</si>
  <si>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</si>
  <si>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</si>
  <si>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</si>
  <si>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</si>
  <si>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</si>
  <si>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</si>
  <si>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</si>
  <si>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</si>
  <si>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</si>
  <si>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</si>
  <si>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</si>
  <si>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</si>
  <si>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</si>
  <si>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</si>
  <si>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</si>
  <si>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</si>
  <si>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</si>
  <si>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</si>
  <si>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</si>
  <si>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</si>
  <si>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</si>
  <si>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</si>
  <si>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</si>
  <si>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</si>
  <si>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</si>
  <si>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</si>
  <si>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</si>
  <si>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</si>
  <si>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</si>
  <si>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</si>
  <si>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</si>
  <si>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</si>
  <si>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</si>
  <si>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</si>
  <si>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</si>
  <si>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</si>
  <si>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</si>
  <si>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</si>
  <si>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</si>
  <si>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</si>
  <si>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</si>
  <si>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</si>
  <si>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</si>
  <si>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</si>
  <si>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</si>
  <si>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</si>
  <si>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</si>
  <si>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</si>
  <si>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</si>
  <si>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</si>
  <si>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</si>
  <si>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</si>
  <si>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</si>
  <si>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5 YEAR INCOME STATEMENT</t>
  </si>
  <si>
    <t xml:space="preserve">Year</t>
  </si>
  <si>
    <t xml:space="preserve">Gross Premium</t>
  </si>
  <si>
    <t xml:space="preserve">Commission Paid</t>
  </si>
  <si>
    <t xml:space="preserve">Claims Incurred </t>
  </si>
  <si>
    <t xml:space="preserve">Operating Expenses</t>
  </si>
  <si>
    <t xml:space="preserve">Net Profit/loss</t>
  </si>
  <si>
    <t xml:space="preserve">Chanel 3</t>
  </si>
  <si>
    <t xml:space="preserve">Cummulative Net Cashflow</t>
  </si>
  <si>
    <t xml:space="preserve">Revenue Cashflow</t>
  </si>
  <si>
    <t xml:space="preserve">Months</t>
  </si>
  <si>
    <t xml:space="preserve">Total</t>
  </si>
  <si>
    <t xml:space="preserve">Total_Revenue</t>
  </si>
  <si>
    <t xml:space="preserve">Margin</t>
  </si>
  <si>
    <t xml:space="preserve">Monthly_premium</t>
  </si>
  <si>
    <t xml:space="preserve">Commission_rate</t>
  </si>
  <si>
    <t xml:space="preserve">Premium_Increase</t>
  </si>
  <si>
    <t xml:space="preserve">Expenses_rate</t>
  </si>
  <si>
    <t xml:space="preserve">New_sales</t>
  </si>
  <si>
    <t xml:space="preserve">Active Policies</t>
  </si>
  <si>
    <t xml:space="preserve">Premium</t>
  </si>
  <si>
    <t xml:space="preserve">Gross_Premium</t>
  </si>
  <si>
    <t xml:space="preserve">Claims</t>
  </si>
  <si>
    <t xml:space="preserve">Net Gain/Loss</t>
  </si>
  <si>
    <t xml:space="preserve">CummulativeNet Gain/Loss</t>
  </si>
  <si>
    <t xml:space="preserve">Monthl_premium</t>
  </si>
  <si>
    <t xml:space="preserve">Regressive Tiered</t>
  </si>
  <si>
    <t xml:space="preserve">New Sales</t>
  </si>
  <si>
    <t xml:space="preserve">Sales Increase</t>
  </si>
  <si>
    <t xml:space="preserve">NEW_Monthly_Sales_Inc_NTU</t>
  </si>
  <si>
    <t xml:space="preserve">NEW_Monthly_Sales_Exc_NTU</t>
  </si>
  <si>
    <t xml:space="preserve">,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</si>
</sst>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[$R-1C09]#,##0.00"/>
    <numFmt numFmtId="166" formatCode="0%"/>
    <numFmt numFmtId="167" formatCode="0.00%"/>
    <numFmt numFmtId="168" formatCode="[$R-1C09]\ #,##0.00;[RED][$R-1C09]\-#,##0.00"/>
    <numFmt numFmtId="169" formatCode="_-* #,##0.00_-;\-* #,##0.00_-;_-* \-??_-;_-@_-"/>
    <numFmt numFmtId="170" formatCode="0.0%"/>
    <numFmt numFmtId="171" formatCode="[$R-1C09]#,##0"/>
    <numFmt numFmtId="172" formatCode="[$R-1C09]\ #\ ##0.00;[RED][$R-1C09]\-#\ ##0.00"/>
    <numFmt numFmtId="173" formatCode="0"/>
    <numFmt numFmtId="174" formatCode="General"/>
    <numFmt numFmtId="175" formatCode="_(* #,##0.00_);_(* \(#,##0.00\);_(* \-??_);_(@_)"/>
    <numFmt numFmtId="176" formatCode="_(* #,##0_);_(* \(#,##0\);_(* \-??_);_(@_)"/>
    <numFmt numFmtId="177" formatCode="_(* #,##0.0000_);_(* \(#,##0.0000\);_(* \-??_);_(@_)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4"/>
      <color rgb="FFFFFFFF"/>
      <name val="Aptos Narrow"/>
      <family val="2"/>
      <charset val="1"/>
    </font>
    <font>
      <sz val="14"/>
      <color rgb="FF002060"/>
      <name val="Aptos Narrow"/>
      <family val="2"/>
    </font>
    <font>
      <sz val="9"/>
      <color rgb="FF002060"/>
      <name val="Aptos Narrow"/>
      <family val="2"/>
    </font>
    <font>
      <b val="true"/>
      <sz val="10"/>
      <color rgb="FF1D3443"/>
      <name val="Aptos Narrow"/>
      <family val="2"/>
    </font>
    <font>
      <sz val="14"/>
      <color rgb="FF4982A8"/>
      <name val="Aptos Narrow"/>
      <family val="2"/>
    </font>
    <font>
      <sz val="9"/>
      <color rgb="FF1D3443"/>
      <name val="Aptos Narrow"/>
      <family val="2"/>
    </font>
    <font>
      <sz val="9"/>
      <color rgb="FF4982A8"/>
      <name val="Aptos Narrow"/>
      <family val="2"/>
    </font>
    <font>
      <sz val="10"/>
      <color rgb="FF4982A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55269"/>
        <bgColor rgb="FF1D3443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4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5" fillId="0" borderId="12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12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11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5" fillId="0" borderId="7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5" fillId="0" borderId="14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5" fillId="0" borderId="15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3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5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1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9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3D3DC"/>
      <rgbColor rgb="FF808080"/>
      <rgbColor rgb="FF9999FF"/>
      <rgbColor rgb="FF993366"/>
      <rgbColor rgb="FFFFFFCC"/>
      <rgbColor rgb="FFD4E3EC"/>
      <rgbColor rgb="FF660066"/>
      <rgbColor rgb="FFFF8080"/>
      <rgbColor rgb="FF0066CC"/>
      <rgbColor rgb="FFB7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B6C3"/>
      <rgbColor rgb="FF99CC00"/>
      <rgbColor rgb="FFFFCC00"/>
      <rgbColor rgb="FFFF9900"/>
      <rgbColor rgb="FFFF6600"/>
      <rgbColor rgb="FF4982A8"/>
      <rgbColor rgb="FF969696"/>
      <rgbColor rgb="FF002060"/>
      <rgbColor rgb="FF339966"/>
      <rgbColor rgb="FF003300"/>
      <rgbColor rgb="FF333300"/>
      <rgbColor rgb="FF993300"/>
      <rgbColor rgb="FF993366"/>
      <rgbColor rgb="FF355269"/>
      <rgbColor rgb="FF1D34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2060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002060"/>
                </a:solidFill>
                <a:latin typeface="Aptos Narrow"/>
              </a:rPr>
              <a:t>Cummulative Net Cash Flow</a:t>
            </a:r>
          </a:p>
        </c:rich>
      </c:tx>
      <c:layout>
        <c:manualLayout>
          <c:xMode val="edge"/>
          <c:yMode val="edge"/>
          <c:x val="0.293950177935943"/>
          <c:y val="0.0205998505710321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Visuals!$E$2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99ccff"/>
              </a:solidFill>
            </a:ln>
          </c:spPr>
          <c:marker>
            <c:symbol val="diamond"/>
            <c:size val="4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1d3443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Visuals!$A$3:$A$62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Visuals!$E$3:$E$62</c:f>
              <c:numCache>
                <c:formatCode>General</c:formatCode>
                <c:ptCount val="60"/>
                <c:pt idx="0">
                  <c:v>-7489440</c:v>
                </c:pt>
                <c:pt idx="1">
                  <c:v>-14197880.925</c:v>
                </c:pt>
                <c:pt idx="2">
                  <c:v>-20181140.18181</c:v>
                </c:pt>
                <c:pt idx="3">
                  <c:v>-25386867.5474005</c:v>
                </c:pt>
                <c:pt idx="4">
                  <c:v>-30016429.0396544</c:v>
                </c:pt>
                <c:pt idx="5">
                  <c:v>-34012965.0521674</c:v>
                </c:pt>
                <c:pt idx="6">
                  <c:v>-37398606.6277991</c:v>
                </c:pt>
                <c:pt idx="7">
                  <c:v>-40192007.6301951</c:v>
                </c:pt>
                <c:pt idx="8">
                  <c:v>-42408617.468794</c:v>
                </c:pt>
                <c:pt idx="9">
                  <c:v>-44060933.7970908</c:v>
                </c:pt>
                <c:pt idx="10">
                  <c:v>-45158712.3498588</c:v>
                </c:pt>
                <c:pt idx="11">
                  <c:v>-45706736.1644942</c:v>
                </c:pt>
                <c:pt idx="12">
                  <c:v>-46073864.2405401</c:v>
                </c:pt>
                <c:pt idx="13">
                  <c:v>-45830498.1037198</c:v>
                </c:pt>
                <c:pt idx="14">
                  <c:v>-44984452.643389</c:v>
                </c:pt>
                <c:pt idx="15">
                  <c:v>-43542442.9971247</c:v>
                </c:pt>
                <c:pt idx="16">
                  <c:v>-41510878.7548997</c:v>
                </c:pt>
                <c:pt idx="17">
                  <c:v>-38895893.484823</c:v>
                </c:pt>
                <c:pt idx="18">
                  <c:v>-35703369.7815351</c:v>
                </c:pt>
                <c:pt idx="19">
                  <c:v>-31938959.6718302</c:v>
                </c:pt>
                <c:pt idx="20">
                  <c:v>-27608101.8916555</c:v>
                </c:pt>
                <c:pt idx="21">
                  <c:v>-22716035.6106432</c:v>
                </c:pt>
                <c:pt idx="22">
                  <c:v>-17267811.899115</c:v>
                </c:pt>
                <c:pt idx="23">
                  <c:v>-11268176.7984942</c:v>
                </c:pt>
                <c:pt idx="24">
                  <c:v>-4773527.26569228</c:v>
                </c:pt>
                <c:pt idx="25">
                  <c:v>2337763.2712995</c:v>
                </c:pt>
                <c:pt idx="26">
                  <c:v>10057601.5166881</c:v>
                </c:pt>
                <c:pt idx="27">
                  <c:v>18379125.9570063</c:v>
                </c:pt>
                <c:pt idx="28">
                  <c:v>27295806.9544684</c:v>
                </c:pt>
                <c:pt idx="29">
                  <c:v>36801414.222145</c:v>
                </c:pt>
                <c:pt idx="30">
                  <c:v>46889989.2384089</c:v>
                </c:pt>
                <c:pt idx="31">
                  <c:v>57555822.7827154</c:v>
                </c:pt>
                <c:pt idx="32">
                  <c:v>68793435.9230953</c:v>
                </c:pt>
                <c:pt idx="33">
                  <c:v>80597564.9224242</c:v>
                </c:pt>
                <c:pt idx="34">
                  <c:v>92963148.6356069</c:v>
                </c:pt>
                <c:pt idx="35">
                  <c:v>105885457.735925</c:v>
                </c:pt>
                <c:pt idx="36">
                  <c:v>119635236.036718</c:v>
                </c:pt>
                <c:pt idx="37">
                  <c:v>134012056.790464</c:v>
                </c:pt>
                <c:pt idx="38">
                  <c:v>149007505.552101</c:v>
                </c:pt>
                <c:pt idx="39">
                  <c:v>164614522.712285</c:v>
                </c:pt>
                <c:pt idx="40">
                  <c:v>180826409.951513</c:v>
                </c:pt>
                <c:pt idx="41">
                  <c:v>197636794.403805</c:v>
                </c:pt>
                <c:pt idx="42">
                  <c:v>215039598.269153</c:v>
                </c:pt>
                <c:pt idx="43">
                  <c:v>233029014.075103</c:v>
                </c:pt>
                <c:pt idx="44">
                  <c:v>251599483.746447</c:v>
                </c:pt>
                <c:pt idx="45">
                  <c:v>270745681.997716</c:v>
                </c:pt>
                <c:pt idx="46">
                  <c:v>290462502.474059</c:v>
                </c:pt>
                <c:pt idx="47">
                  <c:v>310745200.544347</c:v>
                </c:pt>
                <c:pt idx="48">
                  <c:v>332209124.73322</c:v>
                </c:pt>
                <c:pt idx="49">
                  <c:v>354314961.347049</c:v>
                </c:pt>
                <c:pt idx="50">
                  <c:v>377053907.201828</c:v>
                </c:pt>
                <c:pt idx="51">
                  <c:v>400418650.054757</c:v>
                </c:pt>
                <c:pt idx="52">
                  <c:v>424402271.745185</c:v>
                </c:pt>
                <c:pt idx="53">
                  <c:v>448998208.702567</c:v>
                </c:pt>
                <c:pt idx="54">
                  <c:v>474200218.465109</c:v>
                </c:pt>
                <c:pt idx="55">
                  <c:v>500002352.429666</c:v>
                </c:pt>
                <c:pt idx="56">
                  <c:v>526398932.802858</c:v>
                </c:pt>
                <c:pt idx="57">
                  <c:v>553384534.320597</c:v>
                </c:pt>
                <c:pt idx="58">
                  <c:v>580953969.000023</c:v>
                </c:pt>
                <c:pt idx="59">
                  <c:v>609102443.900442</c:v>
                </c:pt>
              </c:numCache>
            </c:numRef>
          </c:yVal>
          <c:smooth val="0"/>
        </c:ser>
        <c:axId val="37069656"/>
        <c:axId val="89680423"/>
      </c:scatterChart>
      <c:valAx>
        <c:axId val="37069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1d3443"/>
                    </a:solidFill>
                    <a:latin typeface="Aptos Narrow"/>
                  </a:defRPr>
                </a:pPr>
                <a:r>
                  <a:rPr b="1" lang="en-US" sz="1000" spc="-1" strike="noStrike">
                    <a:solidFill>
                      <a:srgbClr val="1d3443"/>
                    </a:solidFill>
                    <a:latin typeface="Aptos Narrow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b7d0e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2060"/>
                </a:solidFill>
                <a:latin typeface="Aptos Narrow"/>
              </a:defRPr>
            </a:pPr>
          </a:p>
        </c:txPr>
        <c:crossAx val="89680423"/>
        <c:crosses val="autoZero"/>
        <c:crossBetween val="midCat"/>
      </c:valAx>
      <c:valAx>
        <c:axId val="89680423"/>
        <c:scaling>
          <c:orientation val="minMax"/>
        </c:scaling>
        <c:delete val="0"/>
        <c:axPos val="l"/>
        <c:majorGridlines>
          <c:spPr>
            <a:ln w="9360">
              <a:solidFill>
                <a:srgbClr val="d4e3ec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1d3443"/>
                    </a:solidFill>
                    <a:latin typeface="Aptos Narrow"/>
                  </a:defRPr>
                </a:pPr>
                <a:r>
                  <a:rPr b="1" lang="en-US" sz="1000" spc="-1" strike="noStrike">
                    <a:solidFill>
                      <a:srgbClr val="1d3443"/>
                    </a:solidFill>
                    <a:latin typeface="Aptos Narrow"/>
                  </a:rPr>
                  <a:t>Net Cash Flow (Millions)</a:t>
                </a:r>
              </a:p>
            </c:rich>
          </c:tx>
          <c:layout>
            <c:manualLayout>
              <c:xMode val="edge"/>
              <c:yMode val="edge"/>
              <c:x val="0.0234875444839858"/>
              <c:y val="0.369516490553955"/>
            </c:manualLayout>
          </c:layout>
          <c:overlay val="0"/>
          <c:spPr>
            <a:noFill/>
            <a:ln w="0">
              <a:noFill/>
            </a:ln>
          </c:spPr>
        </c:title>
        <c:numFmt formatCode="[$R-1C09]#,##0" sourceLinked="0"/>
        <c:majorTickMark val="out"/>
        <c:minorTickMark val="none"/>
        <c:tickLblPos val="nextTo"/>
        <c:spPr>
          <a:ln w="9360">
            <a:solidFill>
              <a:srgbClr val="a3d3d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2060"/>
                </a:solidFill>
                <a:latin typeface="Aptos Narrow"/>
              </a:defRPr>
            </a:pPr>
          </a:p>
        </c:txPr>
        <c:crossAx val="37069656"/>
        <c:crosses val="autoZero"/>
        <c:crossBetween val="midCat"/>
        <c:dispUnits>
          <c:builtInUnit val="millions"/>
          <c:dispUnitsLbl/>
        </c:dispUnits>
      </c:valAx>
      <c:spPr>
        <a:noFill/>
        <a:ln w="0">
          <a:noFill/>
        </a:ln>
      </c:spPr>
    </c:plotArea>
    <c:plotVisOnly val="1"/>
    <c:dispBlanksAs val="span"/>
  </c:chart>
  <c:spPr>
    <a:solidFill>
      <a:srgbClr val="ffffff"/>
    </a:solidFill>
    <a:ln w="9360">
      <a:solidFill>
        <a:srgbClr val="d4e3e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4982a8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4982a8"/>
                </a:solidFill>
                <a:latin typeface="Aptos Narrow"/>
              </a:rPr>
              <a:t>Annual Revenue vs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Visuals!$U$2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1d344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1d3443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Visuals!$U$3:$U$7</c:f>
              <c:numCache>
                <c:formatCode>General</c:formatCode>
                <c:ptCount val="5"/>
                <c:pt idx="0">
                  <c:v>200550157.126788</c:v>
                </c:pt>
                <c:pt idx="1">
                  <c:v>539911459.727572</c:v>
                </c:pt>
                <c:pt idx="2">
                  <c:v>896461354.320998</c:v>
                </c:pt>
                <c:pt idx="3">
                  <c:v>1278508112.07903</c:v>
                </c:pt>
                <c:pt idx="4">
                  <c:v>1689601033.88008</c:v>
                </c:pt>
              </c:numCache>
            </c:numRef>
          </c:val>
        </c:ser>
        <c:ser>
          <c:idx val="1"/>
          <c:order val="1"/>
          <c:tx>
            <c:strRef>
              <c:f>Visuals!$V$2</c:f>
              <c:strCache>
                <c:ptCount val="1"/>
                <c:pt idx="0">
                  <c:v>Net Profit/loss</c:v>
                </c:pt>
              </c:strCache>
            </c:strRef>
          </c:tx>
          <c:spPr>
            <a:solidFill>
              <a:srgbClr val="66b6c3"/>
            </a:solidFill>
            <a:ln w="28440">
              <a:solidFill>
                <a:srgbClr val="66b6c3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66b6c3"/>
              </a:solidFill>
              <a:ln w="28440">
                <a:solidFill>
                  <a:srgbClr val="66b6c3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6b6c3"/>
              </a:solidFill>
              <a:ln w="28440">
                <a:solidFill>
                  <a:srgbClr val="66b6c3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66b6c3"/>
              </a:solidFill>
              <a:ln w="28440">
                <a:solidFill>
                  <a:srgbClr val="66b6c3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66b6c3"/>
              </a:solidFill>
              <a:ln w="28440">
                <a:solidFill>
                  <a:srgbClr val="66b6c3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66b6c3"/>
              </a:solidFill>
              <a:ln w="28440">
                <a:solidFill>
                  <a:srgbClr val="66b6c3"/>
                </a:solidFill>
                <a:round/>
              </a:ln>
            </c:spPr>
          </c:dPt>
          <c:dLbls>
            <c:numFmt formatCode="[$R-1C09]\ #\ ##0.00;[RED][$R-1C09]\-#\ ##0.00" sourceLinked="1"/>
            <c:dLbl>
              <c:idx val="0"/>
              <c:layout>
                <c:manualLayout>
                  <c:x val="0.00179694519317161"/>
                  <c:y val="0.0269353707024246"/>
                </c:manualLayout>
              </c:layout>
              <c:numFmt formatCode="[$R-1C09]\ #\ ##0.00;[RED][$R-1C09]\-#\ 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d3443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0.00359389038634322"/>
                  <c:y val="0.0192637405472831"/>
                </c:manualLayout>
              </c:layout>
              <c:numFmt formatCode="[$R-1C09]\ #\ ##0.00;[RED][$R-1C09]\-#\ 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d3443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0.00359389038634322"/>
                  <c:y val="0.0544280034302643"/>
                </c:manualLayout>
              </c:layout>
              <c:numFmt formatCode="[$R-1C09]\ #\ ##0.00;[RED][$R-1C09]\-#\ 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d3443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0.00359389038634322"/>
                  <c:y val="0.0674739221953691"/>
                </c:manualLayout>
              </c:layout>
              <c:numFmt formatCode="[$R-1C09]\ #\ ##0.00;[RED][$R-1C09]\-#\ 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d3443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layout>
                <c:manualLayout>
                  <c:x val="0.00539083557951483"/>
                  <c:y val="0.0791486707725891"/>
                </c:manualLayout>
              </c:layout>
              <c:numFmt formatCode="[$R-1C09]\ #\ ##0.00;[RED][$R-1C09]\-#\ 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d3443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d3443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Visuals!$V$3:$V$7</c:f>
              <c:numCache>
                <c:formatCode>General</c:formatCode>
                <c:ptCount val="5"/>
                <c:pt idx="0">
                  <c:v>-45706736.1644942</c:v>
                </c:pt>
                <c:pt idx="1">
                  <c:v>34438559.366</c:v>
                </c:pt>
                <c:pt idx="2">
                  <c:v>117153634.534419</c:v>
                </c:pt>
                <c:pt idx="3">
                  <c:v>204859742.808422</c:v>
                </c:pt>
                <c:pt idx="4">
                  <c:v>298357243.356095</c:v>
                </c:pt>
              </c:numCache>
            </c:numRef>
          </c:val>
        </c:ser>
        <c:gapWidth val="150"/>
        <c:overlap val="0"/>
        <c:axId val="75813319"/>
        <c:axId val="88533446"/>
      </c:barChart>
      <c:catAx>
        <c:axId val="75813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4982a8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4982a8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4e3e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982a8"/>
                </a:solidFill>
                <a:latin typeface="Aptos Narrow"/>
              </a:defRPr>
            </a:pPr>
          </a:p>
        </c:txPr>
        <c:crossAx val="88533446"/>
        <c:crosses val="autoZero"/>
        <c:auto val="1"/>
        <c:lblAlgn val="ctr"/>
        <c:lblOffset val="100"/>
        <c:noMultiLvlLbl val="0"/>
      </c:catAx>
      <c:valAx>
        <c:axId val="88533446"/>
        <c:scaling>
          <c:orientation val="minMax"/>
        </c:scaling>
        <c:delete val="0"/>
        <c:axPos val="l"/>
        <c:majorGridlines>
          <c:spPr>
            <a:ln w="9360">
              <a:solidFill>
                <a:srgbClr val="d4e3ec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4982a8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4982a8"/>
                    </a:solidFill>
                    <a:latin typeface="Aptos Narrow"/>
                  </a:rPr>
                  <a:t>Value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R-1C09]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982a8"/>
                </a:solidFill>
                <a:latin typeface="Aptos Narrow"/>
              </a:defRPr>
            </a:pPr>
          </a:p>
        </c:txPr>
        <c:crossAx val="75813319"/>
        <c:crosses val="autoZero"/>
        <c:crossBetween val="between"/>
        <c:dispUnits>
          <c:builtInUnit val="millions"/>
          <c:dispUnitsLbl/>
        </c:dispUnits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982a8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4e3e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181800</xdr:colOff>
      <xdr:row>0</xdr:row>
      <xdr:rowOff>97920</xdr:rowOff>
    </xdr:from>
    <xdr:to>
      <xdr:col>13</xdr:col>
      <xdr:colOff>105840</xdr:colOff>
      <xdr:row>18</xdr:row>
      <xdr:rowOff>165240</xdr:rowOff>
    </xdr:to>
    <xdr:graphicFrame>
      <xdr:nvGraphicFramePr>
        <xdr:cNvPr id="0" name="Chart 4"/>
        <xdr:cNvGraphicFramePr/>
      </xdr:nvGraphicFramePr>
      <xdr:xfrm>
        <a:off x="4908240" y="97920"/>
        <a:ext cx="4551840" cy="337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576720</xdr:colOff>
      <xdr:row>7</xdr:row>
      <xdr:rowOff>174240</xdr:rowOff>
    </xdr:from>
    <xdr:to>
      <xdr:col>23</xdr:col>
      <xdr:colOff>245160</xdr:colOff>
      <xdr:row>25</xdr:row>
      <xdr:rowOff>69120</xdr:rowOff>
    </xdr:to>
    <xdr:graphicFrame>
      <xdr:nvGraphicFramePr>
        <xdr:cNvPr id="1" name="Chart 6"/>
        <xdr:cNvGraphicFramePr/>
      </xdr:nvGraphicFramePr>
      <xdr:xfrm>
        <a:off x="9930960" y="1488600"/>
        <a:ext cx="656820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ustom 1">
      <a:dk1>
        <a:srgbClr val="1d3443"/>
      </a:dk1>
      <a:lt1>
        <a:srgbClr val="ffffff"/>
      </a:lt1>
      <a:dk2>
        <a:srgbClr val="56646d"/>
      </a:dk2>
      <a:lt2>
        <a:srgbClr val="c0c5c9"/>
      </a:lt2>
      <a:accent1>
        <a:srgbClr val="66b6c3"/>
      </a:accent1>
      <a:accent2>
        <a:srgbClr val="a3d3dc"/>
      </a:accent2>
      <a:accent3>
        <a:srgbClr val="e0f0f3"/>
      </a:accent3>
      <a:accent4>
        <a:srgbClr val="ffffff"/>
      </a:accent4>
      <a:accent5>
        <a:srgbClr val="f7f7f7"/>
      </a:accent5>
      <a:accent6>
        <a:srgbClr val="0000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6" colorId="64" zoomScale="120" zoomScaleNormal="120" zoomScalePageLayoutView="100" workbookViewId="0">
      <selection pane="topLeft" activeCell="B5" activeCellId="0" sqref="B5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2" width="39.55"/>
    <col collapsed="false" customWidth="true" hidden="false" outlineLevel="0" max="3" min="3" style="2" width="36.33"/>
    <col collapsed="false" customWidth="true" hidden="false" outlineLevel="0" max="4" min="4" style="2" width="37.33"/>
    <col collapsed="false" customWidth="true" hidden="false" outlineLevel="0" max="5" min="5" style="2" width="37.66"/>
    <col collapsed="false" customWidth="false" hidden="false" outlineLevel="0" max="16383" min="6" style="2" width="8.89"/>
    <col collapsed="false" customWidth="true" hidden="false" outlineLevel="0" max="16384" min="16384" style="2" width="12.89"/>
  </cols>
  <sheetData>
    <row r="1" s="5" customFormat="true" ht="14.25" hidden="false" customHeight="false" outlineLevel="0" collapsed="false">
      <c r="A1" s="3"/>
      <c r="B1" s="3" t="s">
        <v>0</v>
      </c>
      <c r="C1" s="3" t="s">
        <v>1</v>
      </c>
      <c r="D1" s="3" t="s">
        <v>2</v>
      </c>
      <c r="E1" s="4" t="s">
        <v>3</v>
      </c>
    </row>
    <row r="2" customFormat="false" ht="14.25" hidden="false" customHeight="false" outlineLevel="0" collapsed="false">
      <c r="A2" s="3" t="s">
        <v>4</v>
      </c>
      <c r="B2" s="6" t="n">
        <v>600</v>
      </c>
      <c r="C2" s="6" t="n">
        <v>600</v>
      </c>
      <c r="D2" s="7" t="n">
        <v>300</v>
      </c>
      <c r="E2" s="8" t="s">
        <v>5</v>
      </c>
    </row>
    <row r="3" customFormat="false" ht="14.25" hidden="false" customHeight="false" outlineLevel="0" collapsed="false">
      <c r="A3" s="3" t="s">
        <v>6</v>
      </c>
      <c r="B3" s="9" t="n">
        <v>0.05</v>
      </c>
      <c r="C3" s="9" t="n">
        <v>0.05</v>
      </c>
      <c r="D3" s="9" t="n">
        <v>0.05</v>
      </c>
      <c r="E3" s="8"/>
    </row>
    <row r="4" customFormat="false" ht="14.25" hidden="false" customHeight="false" outlineLevel="0" collapsed="false">
      <c r="A4" s="3" t="s">
        <v>7</v>
      </c>
      <c r="B4" s="10" t="n">
        <v>6000</v>
      </c>
      <c r="C4" s="10" t="n">
        <v>1500</v>
      </c>
      <c r="D4" s="11" t="n">
        <v>1000</v>
      </c>
      <c r="E4" s="8" t="s">
        <v>5</v>
      </c>
    </row>
    <row r="5" customFormat="false" ht="14.25" hidden="false" customHeight="false" outlineLevel="0" collapsed="false">
      <c r="A5" s="4" t="s">
        <v>8</v>
      </c>
      <c r="B5" s="9" t="n">
        <v>0.05</v>
      </c>
      <c r="C5" s="9" t="n">
        <v>0.05</v>
      </c>
      <c r="D5" s="9" t="n">
        <v>0.05</v>
      </c>
      <c r="E5" s="12"/>
    </row>
    <row r="6" customFormat="false" ht="86.25" hidden="false" customHeight="false" outlineLevel="0" collapsed="false">
      <c r="A6" s="4" t="s">
        <v>9</v>
      </c>
      <c r="B6" s="13" t="s">
        <v>10</v>
      </c>
      <c r="C6" s="14" t="s">
        <v>11</v>
      </c>
      <c r="D6" s="15" t="s">
        <v>12</v>
      </c>
      <c r="E6" s="12"/>
    </row>
    <row r="7" customFormat="false" ht="14.25" hidden="false" customHeight="false" outlineLevel="0" collapsed="false">
      <c r="A7" s="3" t="s">
        <v>13</v>
      </c>
      <c r="B7" s="9" t="n">
        <v>0.25</v>
      </c>
      <c r="C7" s="9" t="n">
        <v>0.25</v>
      </c>
      <c r="D7" s="9" t="n">
        <v>0.25</v>
      </c>
      <c r="E7" s="8" t="s">
        <v>14</v>
      </c>
    </row>
    <row r="8" customFormat="false" ht="14.25" hidden="false" customHeight="false" outlineLevel="0" collapsed="false">
      <c r="A8" s="3" t="s">
        <v>15</v>
      </c>
      <c r="B8" s="9" t="n">
        <v>0.4</v>
      </c>
      <c r="C8" s="9" t="n">
        <v>0.4</v>
      </c>
      <c r="D8" s="9" t="n">
        <v>0.4</v>
      </c>
      <c r="E8" s="8"/>
    </row>
    <row r="9" customFormat="false" ht="14.25" hidden="false" customHeight="false" outlineLevel="0" collapsed="false">
      <c r="A9" s="16"/>
      <c r="B9" s="17"/>
      <c r="C9" s="17"/>
      <c r="D9" s="17"/>
    </row>
    <row r="10" customFormat="false" ht="14.25" hidden="false" customHeight="false" outlineLevel="0" collapsed="false">
      <c r="A10" s="16"/>
      <c r="B10" s="17"/>
      <c r="C10" s="17"/>
      <c r="D10" s="17"/>
    </row>
    <row r="11" customFormat="false" ht="14.25" hidden="false" customHeight="false" outlineLevel="0" collapsed="false">
      <c r="A11" s="3" t="s">
        <v>16</v>
      </c>
      <c r="B11" s="18" t="s">
        <v>17</v>
      </c>
      <c r="C11" s="18"/>
      <c r="D11" s="18"/>
    </row>
    <row r="12" customFormat="false" ht="14.25" hidden="false" customHeight="false" outlineLevel="0" collapsed="false">
      <c r="A12" s="19" t="s">
        <v>18</v>
      </c>
      <c r="B12" s="20" t="n">
        <v>0.42</v>
      </c>
      <c r="C12" s="20" t="n">
        <v>0.22</v>
      </c>
      <c r="D12" s="20" t="n">
        <v>0.022</v>
      </c>
    </row>
    <row r="13" customFormat="false" ht="14.25" hidden="false" customHeight="false" outlineLevel="0" collapsed="false">
      <c r="A13" s="19" t="s">
        <v>19</v>
      </c>
      <c r="B13" s="20" t="n">
        <v>0.105</v>
      </c>
      <c r="C13" s="20" t="n">
        <v>0.0525</v>
      </c>
      <c r="D13" s="20" t="n">
        <v>0.005</v>
      </c>
    </row>
    <row r="14" customFormat="false" ht="14.25" hidden="false" customHeight="false" outlineLevel="0" collapsed="false">
      <c r="A14" s="19" t="s">
        <v>20</v>
      </c>
      <c r="B14" s="20" t="n">
        <v>0.08</v>
      </c>
      <c r="C14" s="20" t="n">
        <v>0.04</v>
      </c>
      <c r="D14" s="20" t="n">
        <v>0.0038</v>
      </c>
    </row>
    <row r="15" customFormat="false" ht="14.25" hidden="false" customHeight="false" outlineLevel="0" collapsed="false">
      <c r="A15" s="19" t="s">
        <v>21</v>
      </c>
      <c r="B15" s="20" t="n">
        <v>0.055</v>
      </c>
      <c r="C15" s="20" t="n">
        <v>0.0275</v>
      </c>
      <c r="D15" s="20" t="n">
        <v>0.0025</v>
      </c>
    </row>
    <row r="16" customFormat="false" ht="14.25" hidden="false" customHeight="false" outlineLevel="0" collapsed="false">
      <c r="A16" s="19" t="s">
        <v>22</v>
      </c>
      <c r="B16" s="21" t="n">
        <v>0.05</v>
      </c>
      <c r="C16" s="20" t="n">
        <v>0.025</v>
      </c>
      <c r="D16" s="20" t="n">
        <v>0.0023</v>
      </c>
    </row>
    <row r="17" customFormat="false" ht="14.25" hidden="false" customHeight="false" outlineLevel="0" collapsed="false">
      <c r="A17" s="19" t="s">
        <v>23</v>
      </c>
      <c r="B17" s="21" t="n">
        <v>0.045</v>
      </c>
      <c r="C17" s="20" t="n">
        <v>0.0225</v>
      </c>
      <c r="D17" s="20" t="n">
        <v>0.002</v>
      </c>
    </row>
    <row r="18" customFormat="false" ht="14.25" hidden="false" customHeight="false" outlineLevel="0" collapsed="false">
      <c r="A18" s="19" t="s">
        <v>24</v>
      </c>
      <c r="B18" s="21" t="n">
        <v>0.04</v>
      </c>
      <c r="C18" s="20" t="n">
        <v>0.02</v>
      </c>
      <c r="D18" s="20" t="n">
        <v>0.0018</v>
      </c>
    </row>
    <row r="19" customFormat="false" ht="14.25" hidden="false" customHeight="false" outlineLevel="0" collapsed="false">
      <c r="A19" s="19" t="s">
        <v>25</v>
      </c>
      <c r="B19" s="21" t="n">
        <v>0.035</v>
      </c>
      <c r="C19" s="20" t="n">
        <v>0.0175</v>
      </c>
      <c r="D19" s="20" t="n">
        <v>0.0015</v>
      </c>
    </row>
    <row r="20" customFormat="false" ht="14.25" hidden="false" customHeight="false" outlineLevel="0" collapsed="false">
      <c r="A20" s="19" t="s">
        <v>26</v>
      </c>
      <c r="B20" s="21" t="n">
        <v>0.03</v>
      </c>
      <c r="C20" s="20" t="n">
        <v>0.015</v>
      </c>
      <c r="D20" s="20" t="n">
        <v>0.0013</v>
      </c>
    </row>
    <row r="21" customFormat="false" ht="14.25" hidden="false" customHeight="false" outlineLevel="0" collapsed="false">
      <c r="A21" s="19" t="s">
        <v>27</v>
      </c>
      <c r="B21" s="21" t="n">
        <v>0.025</v>
      </c>
      <c r="C21" s="20" t="n">
        <v>0.0125</v>
      </c>
      <c r="D21" s="20" t="n">
        <v>0.001</v>
      </c>
    </row>
    <row r="22" customFormat="false" ht="14.25" hidden="false" customHeight="false" outlineLevel="0" collapsed="false">
      <c r="A22" s="19" t="s">
        <v>28</v>
      </c>
      <c r="B22" s="21" t="n">
        <v>0.02</v>
      </c>
      <c r="C22" s="20" t="n">
        <v>0.01</v>
      </c>
      <c r="D22" s="20" t="n">
        <v>0.0008</v>
      </c>
    </row>
    <row r="23" customFormat="false" ht="14.25" hidden="false" customHeight="false" outlineLevel="0" collapsed="false">
      <c r="A23" s="19" t="s">
        <v>29</v>
      </c>
      <c r="B23" s="21" t="n">
        <v>0.01</v>
      </c>
      <c r="C23" s="20" t="n">
        <v>0.005</v>
      </c>
      <c r="D23" s="20" t="n">
        <v>0.0005</v>
      </c>
    </row>
    <row r="24" customFormat="false" ht="14.25" hidden="false" customHeight="false" outlineLevel="0" collapsed="false">
      <c r="A24" s="19" t="s">
        <v>30</v>
      </c>
      <c r="B24" s="21" t="n">
        <v>0.01</v>
      </c>
      <c r="C24" s="20" t="n">
        <v>0.005</v>
      </c>
      <c r="D24" s="20" t="n">
        <v>0.0005</v>
      </c>
    </row>
    <row r="25" customFormat="false" ht="14.25" hidden="false" customHeight="false" outlineLevel="0" collapsed="false">
      <c r="A25" s="19" t="s">
        <v>31</v>
      </c>
      <c r="B25" s="21" t="n">
        <v>0.01</v>
      </c>
      <c r="C25" s="20" t="n">
        <v>0.005</v>
      </c>
      <c r="D25" s="20" t="n">
        <v>0.0005</v>
      </c>
    </row>
    <row r="26" customFormat="false" ht="14.25" hidden="false" customHeight="false" outlineLevel="0" collapsed="false">
      <c r="A26" s="19" t="s">
        <v>32</v>
      </c>
      <c r="B26" s="21" t="n">
        <v>0.01</v>
      </c>
      <c r="C26" s="20" t="n">
        <v>0.005</v>
      </c>
      <c r="D26" s="20" t="n">
        <v>0.0005</v>
      </c>
    </row>
    <row r="27" customFormat="false" ht="14.25" hidden="false" customHeight="false" outlineLevel="0" collapsed="false">
      <c r="A27" s="19" t="s">
        <v>33</v>
      </c>
      <c r="B27" s="21" t="n">
        <v>0.01</v>
      </c>
      <c r="C27" s="20" t="n">
        <v>0.005</v>
      </c>
      <c r="D27" s="20" t="n">
        <v>0.0005</v>
      </c>
    </row>
    <row r="28" customFormat="false" ht="14.25" hidden="false" customHeight="false" outlineLevel="0" collapsed="false">
      <c r="A28" s="19" t="s">
        <v>34</v>
      </c>
      <c r="B28" s="21" t="n">
        <v>0.01</v>
      </c>
      <c r="C28" s="20" t="n">
        <v>0.005</v>
      </c>
      <c r="D28" s="20" t="n">
        <v>0.0005</v>
      </c>
    </row>
    <row r="29" customFormat="false" ht="14.25" hidden="false" customHeight="false" outlineLevel="0" collapsed="false">
      <c r="A29" s="19" t="s">
        <v>35</v>
      </c>
      <c r="B29" s="21" t="n">
        <v>0.01</v>
      </c>
      <c r="C29" s="20" t="n">
        <v>0.005</v>
      </c>
      <c r="D29" s="20" t="n">
        <v>0.0005</v>
      </c>
    </row>
    <row r="30" customFormat="false" ht="14.25" hidden="false" customHeight="false" outlineLevel="0" collapsed="false">
      <c r="A30" s="19" t="s">
        <v>36</v>
      </c>
      <c r="B30" s="21" t="n">
        <v>0.01</v>
      </c>
      <c r="C30" s="20" t="n">
        <v>0.005</v>
      </c>
      <c r="D30" s="20" t="n">
        <v>0.0005</v>
      </c>
    </row>
    <row r="31" customFormat="false" ht="14.25" hidden="false" customHeight="false" outlineLevel="0" collapsed="false">
      <c r="A31" s="19" t="s">
        <v>37</v>
      </c>
      <c r="B31" s="21" t="n">
        <v>0.01</v>
      </c>
      <c r="C31" s="20" t="n">
        <v>0.005</v>
      </c>
      <c r="D31" s="20" t="n">
        <v>0.0005</v>
      </c>
    </row>
    <row r="32" customFormat="false" ht="14.25" hidden="false" customHeight="false" outlineLevel="0" collapsed="false">
      <c r="A32" s="19" t="s">
        <v>38</v>
      </c>
      <c r="B32" s="21" t="n">
        <v>0.01</v>
      </c>
      <c r="C32" s="20" t="n">
        <v>0.005</v>
      </c>
      <c r="D32" s="20" t="n">
        <v>0.0005</v>
      </c>
    </row>
    <row r="33" customFormat="false" ht="14.25" hidden="false" customHeight="false" outlineLevel="0" collapsed="false">
      <c r="A33" s="19" t="s">
        <v>39</v>
      </c>
      <c r="B33" s="21" t="n">
        <v>0.01</v>
      </c>
      <c r="C33" s="20" t="n">
        <v>0.005</v>
      </c>
      <c r="D33" s="20" t="n">
        <v>0.0005</v>
      </c>
    </row>
    <row r="34" customFormat="false" ht="14.25" hidden="false" customHeight="false" outlineLevel="0" collapsed="false">
      <c r="A34" s="19" t="s">
        <v>40</v>
      </c>
      <c r="B34" s="21" t="n">
        <v>0.01</v>
      </c>
      <c r="C34" s="20" t="n">
        <v>0.005</v>
      </c>
      <c r="D34" s="20" t="n">
        <v>0.0005</v>
      </c>
    </row>
    <row r="35" customFormat="false" ht="14.25" hidden="false" customHeight="false" outlineLevel="0" collapsed="false">
      <c r="A35" s="19" t="s">
        <v>41</v>
      </c>
      <c r="B35" s="21" t="n">
        <v>0.01</v>
      </c>
      <c r="C35" s="20" t="n">
        <v>0.005</v>
      </c>
      <c r="D35" s="20" t="n">
        <v>0.0005</v>
      </c>
    </row>
    <row r="36" customFormat="false" ht="14.25" hidden="false" customHeight="false" outlineLevel="0" collapsed="false">
      <c r="A36" s="19" t="s">
        <v>42</v>
      </c>
      <c r="B36" s="21" t="n">
        <v>0.01</v>
      </c>
      <c r="C36" s="20" t="n">
        <v>0.005</v>
      </c>
      <c r="D36" s="20" t="n">
        <v>0.0005</v>
      </c>
    </row>
    <row r="37" customFormat="false" ht="14.25" hidden="false" customHeight="false" outlineLevel="0" collapsed="false">
      <c r="A37" s="19" t="s">
        <v>43</v>
      </c>
      <c r="B37" s="21" t="n">
        <v>0.01</v>
      </c>
      <c r="C37" s="20" t="n">
        <v>0.005</v>
      </c>
      <c r="D37" s="20" t="n">
        <v>0.0005</v>
      </c>
    </row>
    <row r="38" customFormat="false" ht="14.25" hidden="false" customHeight="false" outlineLevel="0" collapsed="false">
      <c r="A38" s="19" t="s">
        <v>44</v>
      </c>
      <c r="B38" s="21" t="n">
        <v>0.01</v>
      </c>
      <c r="C38" s="20" t="n">
        <v>0.005</v>
      </c>
      <c r="D38" s="20" t="n">
        <v>0.0005</v>
      </c>
    </row>
    <row r="39" customFormat="false" ht="14.25" hidden="false" customHeight="false" outlineLevel="0" collapsed="false">
      <c r="A39" s="19" t="s">
        <v>45</v>
      </c>
      <c r="B39" s="21" t="n">
        <v>0.01</v>
      </c>
      <c r="C39" s="20" t="n">
        <v>0.005</v>
      </c>
      <c r="D39" s="20" t="n">
        <v>0.0005</v>
      </c>
    </row>
    <row r="40" customFormat="false" ht="14.25" hidden="false" customHeight="false" outlineLevel="0" collapsed="false">
      <c r="A40" s="19" t="s">
        <v>46</v>
      </c>
      <c r="B40" s="21" t="n">
        <v>0.01</v>
      </c>
      <c r="C40" s="20" t="n">
        <v>0.005</v>
      </c>
      <c r="D40" s="20" t="n">
        <v>0.0005</v>
      </c>
    </row>
    <row r="41" customFormat="false" ht="14.25" hidden="false" customHeight="false" outlineLevel="0" collapsed="false">
      <c r="A41" s="19" t="s">
        <v>47</v>
      </c>
      <c r="B41" s="21" t="n">
        <v>0.01</v>
      </c>
      <c r="C41" s="20" t="n">
        <v>0.005</v>
      </c>
      <c r="D41" s="20" t="n">
        <v>0.0005</v>
      </c>
    </row>
    <row r="42" customFormat="false" ht="14.25" hidden="false" customHeight="false" outlineLevel="0" collapsed="false">
      <c r="A42" s="19" t="s">
        <v>48</v>
      </c>
      <c r="B42" s="21" t="n">
        <v>0.01</v>
      </c>
      <c r="C42" s="20" t="n">
        <v>0.005</v>
      </c>
      <c r="D42" s="20" t="n">
        <v>0.0005</v>
      </c>
    </row>
    <row r="43" customFormat="false" ht="14.25" hidden="false" customHeight="false" outlineLevel="0" collapsed="false">
      <c r="A43" s="19" t="s">
        <v>49</v>
      </c>
      <c r="B43" s="21" t="n">
        <v>0.01</v>
      </c>
      <c r="C43" s="20" t="n">
        <v>0.005</v>
      </c>
      <c r="D43" s="20" t="n">
        <v>0.0005</v>
      </c>
    </row>
    <row r="44" customFormat="false" ht="14.25" hidden="false" customHeight="false" outlineLevel="0" collapsed="false">
      <c r="A44" s="19" t="s">
        <v>50</v>
      </c>
      <c r="B44" s="21" t="n">
        <v>0.01</v>
      </c>
      <c r="C44" s="20" t="n">
        <v>0.005</v>
      </c>
      <c r="D44" s="20" t="n">
        <v>0.0005</v>
      </c>
    </row>
    <row r="45" customFormat="false" ht="14.25" hidden="false" customHeight="false" outlineLevel="0" collapsed="false">
      <c r="A45" s="19" t="s">
        <v>51</v>
      </c>
      <c r="B45" s="21" t="n">
        <v>0.01</v>
      </c>
      <c r="C45" s="20" t="n">
        <v>0.005</v>
      </c>
      <c r="D45" s="20" t="n">
        <v>0.0005</v>
      </c>
    </row>
    <row r="46" customFormat="false" ht="14.25" hidden="false" customHeight="false" outlineLevel="0" collapsed="false">
      <c r="A46" s="19" t="s">
        <v>52</v>
      </c>
      <c r="B46" s="21" t="n">
        <v>0.01</v>
      </c>
      <c r="C46" s="20" t="n">
        <v>0.005</v>
      </c>
      <c r="D46" s="20" t="n">
        <v>0.0005</v>
      </c>
    </row>
    <row r="47" customFormat="false" ht="14.25" hidden="false" customHeight="false" outlineLevel="0" collapsed="false">
      <c r="A47" s="19" t="s">
        <v>53</v>
      </c>
      <c r="B47" s="21" t="n">
        <v>0.01</v>
      </c>
      <c r="C47" s="20" t="n">
        <v>0.005</v>
      </c>
      <c r="D47" s="20" t="n">
        <v>0.0005</v>
      </c>
    </row>
    <row r="48" customFormat="false" ht="14.25" hidden="false" customHeight="false" outlineLevel="0" collapsed="false">
      <c r="A48" s="19" t="s">
        <v>54</v>
      </c>
      <c r="B48" s="21" t="n">
        <v>0.01</v>
      </c>
      <c r="C48" s="20" t="n">
        <v>0.005</v>
      </c>
      <c r="D48" s="20" t="n">
        <v>0.0005</v>
      </c>
    </row>
    <row r="49" customFormat="false" ht="14.25" hidden="false" customHeight="false" outlineLevel="0" collapsed="false">
      <c r="A49" s="19" t="s">
        <v>55</v>
      </c>
      <c r="B49" s="21" t="n">
        <v>0.01</v>
      </c>
      <c r="C49" s="20" t="n">
        <v>0.005</v>
      </c>
      <c r="D49" s="20" t="n">
        <v>0.0005</v>
      </c>
    </row>
    <row r="50" customFormat="false" ht="14.25" hidden="false" customHeight="false" outlineLevel="0" collapsed="false">
      <c r="A50" s="19" t="s">
        <v>56</v>
      </c>
      <c r="B50" s="21" t="n">
        <v>0.01</v>
      </c>
      <c r="C50" s="20" t="n">
        <v>0.005</v>
      </c>
      <c r="D50" s="20" t="n">
        <v>0.0005</v>
      </c>
    </row>
    <row r="51" customFormat="false" ht="14.25" hidden="false" customHeight="false" outlineLevel="0" collapsed="false">
      <c r="A51" s="19" t="s">
        <v>57</v>
      </c>
      <c r="B51" s="21" t="n">
        <v>0.01</v>
      </c>
      <c r="C51" s="20" t="n">
        <v>0.005</v>
      </c>
      <c r="D51" s="20" t="n">
        <v>0.0005</v>
      </c>
    </row>
    <row r="52" customFormat="false" ht="14.25" hidden="false" customHeight="false" outlineLevel="0" collapsed="false">
      <c r="A52" s="19" t="s">
        <v>58</v>
      </c>
      <c r="B52" s="21" t="n">
        <v>0.01</v>
      </c>
      <c r="C52" s="20" t="n">
        <v>0.005</v>
      </c>
      <c r="D52" s="20" t="n">
        <v>0.0005</v>
      </c>
    </row>
    <row r="53" customFormat="false" ht="14.25" hidden="false" customHeight="false" outlineLevel="0" collapsed="false">
      <c r="A53" s="19" t="s">
        <v>59</v>
      </c>
      <c r="B53" s="21" t="n">
        <v>0.01</v>
      </c>
      <c r="C53" s="20" t="n">
        <v>0.005</v>
      </c>
      <c r="D53" s="20" t="n">
        <v>0.0005</v>
      </c>
    </row>
    <row r="54" customFormat="false" ht="14.25" hidden="false" customHeight="false" outlineLevel="0" collapsed="false">
      <c r="A54" s="19" t="s">
        <v>60</v>
      </c>
      <c r="B54" s="21" t="n">
        <v>0.01</v>
      </c>
      <c r="C54" s="20" t="n">
        <v>0.005</v>
      </c>
      <c r="D54" s="20" t="n">
        <v>0.0005</v>
      </c>
    </row>
    <row r="55" customFormat="false" ht="14.25" hidden="false" customHeight="false" outlineLevel="0" collapsed="false">
      <c r="A55" s="19" t="s">
        <v>61</v>
      </c>
      <c r="B55" s="21" t="n">
        <v>0.01</v>
      </c>
      <c r="C55" s="20" t="n">
        <v>0.005</v>
      </c>
      <c r="D55" s="20" t="n">
        <v>0.0005</v>
      </c>
    </row>
    <row r="56" customFormat="false" ht="14.25" hidden="false" customHeight="false" outlineLevel="0" collapsed="false">
      <c r="A56" s="19" t="s">
        <v>62</v>
      </c>
      <c r="B56" s="21" t="n">
        <v>0.01</v>
      </c>
      <c r="C56" s="20" t="n">
        <v>0.005</v>
      </c>
      <c r="D56" s="20" t="n">
        <v>0.0005</v>
      </c>
    </row>
    <row r="57" customFormat="false" ht="14.25" hidden="false" customHeight="false" outlineLevel="0" collapsed="false">
      <c r="A57" s="19" t="s">
        <v>63</v>
      </c>
      <c r="B57" s="21" t="n">
        <v>0.01</v>
      </c>
      <c r="C57" s="20" t="n">
        <v>0.005</v>
      </c>
      <c r="D57" s="20" t="n">
        <v>0.0005</v>
      </c>
    </row>
    <row r="58" customFormat="false" ht="14.25" hidden="false" customHeight="false" outlineLevel="0" collapsed="false">
      <c r="A58" s="19" t="s">
        <v>64</v>
      </c>
      <c r="B58" s="21" t="n">
        <v>0.01</v>
      </c>
      <c r="C58" s="20" t="n">
        <v>0.005</v>
      </c>
      <c r="D58" s="20" t="n">
        <v>0.0005</v>
      </c>
    </row>
    <row r="59" customFormat="false" ht="14.25" hidden="false" customHeight="false" outlineLevel="0" collapsed="false">
      <c r="A59" s="19" t="s">
        <v>65</v>
      </c>
      <c r="B59" s="21" t="n">
        <v>0.01</v>
      </c>
      <c r="C59" s="20" t="n">
        <v>0.005</v>
      </c>
      <c r="D59" s="20" t="n">
        <v>0.0005</v>
      </c>
    </row>
    <row r="60" customFormat="false" ht="14.25" hidden="false" customHeight="false" outlineLevel="0" collapsed="false">
      <c r="A60" s="19" t="s">
        <v>66</v>
      </c>
      <c r="B60" s="21" t="n">
        <v>0.01</v>
      </c>
      <c r="C60" s="20" t="n">
        <v>0.005</v>
      </c>
      <c r="D60" s="20" t="n">
        <v>0.0005</v>
      </c>
    </row>
    <row r="61" customFormat="false" ht="14.25" hidden="false" customHeight="false" outlineLevel="0" collapsed="false">
      <c r="A61" s="19" t="s">
        <v>67</v>
      </c>
      <c r="B61" s="21" t="n">
        <v>0.01</v>
      </c>
      <c r="C61" s="20" t="n">
        <v>0.005</v>
      </c>
      <c r="D61" s="20" t="n">
        <v>0.0005</v>
      </c>
    </row>
    <row r="62" customFormat="false" ht="14.25" hidden="false" customHeight="false" outlineLevel="0" collapsed="false">
      <c r="A62" s="19" t="s">
        <v>68</v>
      </c>
      <c r="B62" s="21" t="n">
        <v>0.01</v>
      </c>
      <c r="C62" s="20" t="n">
        <v>0.005</v>
      </c>
      <c r="D62" s="20" t="n">
        <v>0.0005</v>
      </c>
    </row>
    <row r="63" customFormat="false" ht="14.25" hidden="false" customHeight="false" outlineLevel="0" collapsed="false">
      <c r="A63" s="19" t="s">
        <v>69</v>
      </c>
      <c r="B63" s="21" t="n">
        <v>0.01</v>
      </c>
      <c r="C63" s="20" t="n">
        <v>0.005</v>
      </c>
      <c r="D63" s="20" t="n">
        <v>0.0005</v>
      </c>
    </row>
    <row r="64" customFormat="false" ht="14.25" hidden="false" customHeight="false" outlineLevel="0" collapsed="false">
      <c r="A64" s="19" t="s">
        <v>70</v>
      </c>
      <c r="B64" s="21" t="n">
        <v>0.01</v>
      </c>
      <c r="C64" s="20" t="n">
        <v>0.005</v>
      </c>
      <c r="D64" s="20" t="n">
        <v>0.0005</v>
      </c>
    </row>
    <row r="65" customFormat="false" ht="14.25" hidden="false" customHeight="false" outlineLevel="0" collapsed="false">
      <c r="A65" s="19" t="s">
        <v>71</v>
      </c>
      <c r="B65" s="21" t="n">
        <v>0.01</v>
      </c>
      <c r="C65" s="20" t="n">
        <v>0.005</v>
      </c>
      <c r="D65" s="20" t="n">
        <v>0.0005</v>
      </c>
    </row>
    <row r="66" customFormat="false" ht="14.25" hidden="false" customHeight="false" outlineLevel="0" collapsed="false">
      <c r="A66" s="19" t="s">
        <v>72</v>
      </c>
      <c r="B66" s="21" t="n">
        <v>0.01</v>
      </c>
      <c r="C66" s="20" t="n">
        <v>0.005</v>
      </c>
      <c r="D66" s="20" t="n">
        <v>0.0005</v>
      </c>
    </row>
    <row r="67" customFormat="false" ht="14.25" hidden="false" customHeight="false" outlineLevel="0" collapsed="false">
      <c r="A67" s="19" t="s">
        <v>73</v>
      </c>
      <c r="B67" s="21" t="n">
        <v>0.01</v>
      </c>
      <c r="C67" s="20" t="n">
        <v>0.005</v>
      </c>
      <c r="D67" s="20" t="n">
        <v>0.0005</v>
      </c>
    </row>
    <row r="68" customFormat="false" ht="14.25" hidden="false" customHeight="false" outlineLevel="0" collapsed="false">
      <c r="A68" s="19" t="s">
        <v>74</v>
      </c>
      <c r="B68" s="21" t="n">
        <v>0.01</v>
      </c>
      <c r="C68" s="20" t="n">
        <v>0.005</v>
      </c>
      <c r="D68" s="20" t="n">
        <v>0.0005</v>
      </c>
    </row>
    <row r="69" customFormat="false" ht="14.25" hidden="false" customHeight="false" outlineLevel="0" collapsed="false">
      <c r="A69" s="19" t="s">
        <v>75</v>
      </c>
      <c r="B69" s="21" t="n">
        <v>0.01</v>
      </c>
      <c r="C69" s="20" t="n">
        <v>0.005</v>
      </c>
      <c r="D69" s="20" t="n">
        <v>0.0005</v>
      </c>
    </row>
    <row r="70" customFormat="false" ht="14.25" hidden="false" customHeight="false" outlineLevel="0" collapsed="false">
      <c r="A70" s="19" t="s">
        <v>76</v>
      </c>
      <c r="B70" s="21" t="n">
        <v>0.01</v>
      </c>
      <c r="C70" s="20" t="n">
        <v>0.005</v>
      </c>
      <c r="D70" s="20" t="n">
        <v>0.0005</v>
      </c>
    </row>
    <row r="71" customFormat="false" ht="14.25" hidden="false" customHeight="false" outlineLevel="0" collapsed="false">
      <c r="A71" s="19" t="s">
        <v>77</v>
      </c>
      <c r="B71" s="21" t="n">
        <v>0.01</v>
      </c>
      <c r="C71" s="20" t="n">
        <v>0.005</v>
      </c>
      <c r="D71" s="20" t="n">
        <v>0.0005</v>
      </c>
    </row>
    <row r="72" customFormat="false" ht="14.25" hidden="false" customHeight="false" outlineLevel="0" collapsed="false">
      <c r="A72" s="19" t="s">
        <v>78</v>
      </c>
      <c r="B72" s="21" t="n">
        <v>0.01</v>
      </c>
      <c r="C72" s="20" t="n">
        <v>0.005</v>
      </c>
      <c r="D72" s="20" t="n">
        <v>0.0005</v>
      </c>
    </row>
  </sheetData>
  <mergeCells count="1">
    <mergeCell ref="B11:D11"/>
  </mergeCells>
  <conditionalFormatting sqref="A11:B11">
    <cfRule type="cellIs" priority="2" operator="lessThan" aboveAverage="0" equalAverage="0" bottom="0" percent="0" rank="0" text="" dxfId="0">
      <formula>0</formula>
    </cfRule>
  </conditionalFormatting>
  <conditionalFormatting sqref="A1:A8">
    <cfRule type="cellIs" priority="3" operator="lessThan" aboveAverage="0" equalAverage="0" bottom="0" percent="0" rank="0" text="" dxfId="1">
      <formula>0</formula>
    </cfRule>
  </conditionalFormatting>
  <conditionalFormatting sqref="B1:E1"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8"/>
  <sheetViews>
    <sheetView showFormulas="false" showGridLines="fals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A11" activeCellId="0" sqref="A11"/>
    </sheetView>
  </sheetViews>
  <sheetFormatPr defaultColWidth="8.5546875" defaultRowHeight="14.25" zeroHeight="false" outlineLevelRow="0" outlineLevelCol="0"/>
  <cols>
    <col collapsed="false" customWidth="true" hidden="false" outlineLevel="0" max="1" min="1" style="17" width="4.66"/>
    <col collapsed="false" customWidth="true" hidden="false" outlineLevel="0" max="2" min="2" style="17" width="17.44"/>
    <col collapsed="false" customWidth="true" hidden="false" outlineLevel="0" max="3" min="3" style="17" width="17.66"/>
    <col collapsed="false" customWidth="true" hidden="false" outlineLevel="0" max="4" min="4" style="17" width="16.89"/>
    <col collapsed="false" customWidth="true" hidden="false" outlineLevel="0" max="5" min="5" style="17" width="17.44"/>
    <col collapsed="false" customWidth="true" hidden="false" outlineLevel="0" max="6" min="6" style="17" width="15.66"/>
    <col collapsed="false" customWidth="true" hidden="false" outlineLevel="0" max="8" min="7" style="17" width="9.11"/>
    <col collapsed="false" customWidth="true" hidden="false" outlineLevel="0" max="9" min="9" style="17" width="14.89"/>
    <col collapsed="false" customWidth="true" hidden="false" outlineLevel="0" max="10" min="10" style="17" width="18.44"/>
    <col collapsed="false" customWidth="true" hidden="false" outlineLevel="0" max="11" min="11" style="17" width="17.33"/>
    <col collapsed="false" customWidth="true" hidden="false" outlineLevel="0" max="12" min="12" style="17" width="17.55"/>
    <col collapsed="false" customWidth="true" hidden="false" outlineLevel="0" max="14" min="13" style="17" width="15.89"/>
    <col collapsed="false" customWidth="true" hidden="false" outlineLevel="0" max="15" min="15" style="17" width="9.11"/>
    <col collapsed="false" customWidth="true" hidden="false" outlineLevel="0" max="19" min="16" style="17" width="16.66"/>
    <col collapsed="false" customWidth="true" hidden="false" outlineLevel="0" max="22" min="20" style="17" width="17.44"/>
    <col collapsed="false" customWidth="true" hidden="false" outlineLevel="0" max="31" min="23" style="17" width="9.11"/>
  </cols>
  <sheetData>
    <row r="1" customFormat="false" ht="15" hidden="true" customHeight="false" outlineLevel="0" collapsed="false">
      <c r="A1" s="22"/>
      <c r="B1" s="22"/>
      <c r="C1" s="22"/>
      <c r="D1" s="23"/>
      <c r="E1" s="23"/>
      <c r="F1" s="23"/>
      <c r="G1" s="23"/>
      <c r="H1" s="23"/>
      <c r="I1" s="23"/>
      <c r="J1" s="23"/>
      <c r="K1" s="23"/>
    </row>
    <row r="2" customFormat="false" ht="14.25" hidden="true" customHeight="false" outlineLevel="0" collapsed="false">
      <c r="A2" s="24"/>
      <c r="B2" s="24"/>
    </row>
    <row r="3" customFormat="false" ht="14.25" hidden="true" customHeight="false" outlineLevel="0" collapsed="false">
      <c r="A3" s="24"/>
      <c r="B3" s="24"/>
    </row>
    <row r="4" customFormat="false" ht="14.25" hidden="true" customHeight="false" outlineLevel="0" collapsed="false">
      <c r="A4" s="24"/>
      <c r="B4" s="24"/>
    </row>
    <row r="5" customFormat="false" ht="14.25" hidden="true" customHeight="false" outlineLevel="0" collapsed="false"/>
    <row r="6" customFormat="false" ht="14.25" hidden="true" customHeight="false" outlineLevel="0" collapsed="false"/>
    <row r="7" customFormat="false" ht="15" hidden="true" customHeight="false" outlineLevel="0" collapsed="false">
      <c r="A7" s="22"/>
      <c r="B7" s="22"/>
      <c r="C7" s="22"/>
    </row>
    <row r="8" customFormat="false" ht="14.25" hidden="true" customHeight="false" outlineLevel="0" collapsed="false"/>
    <row r="9" customFormat="false" ht="14.25" hidden="true" customHeight="false" outlineLevel="0" collapsed="false"/>
    <row r="10" customFormat="false" ht="14.25" hidden="true" customHeight="false" outlineLevel="0" collapsed="false"/>
    <row r="11" customFormat="false" ht="14.25" hidden="true" customHeight="false" outlineLevel="0" collapsed="false"/>
    <row r="12" customFormat="false" ht="14.25" hidden="true" customHeight="false" outlineLevel="0" collapsed="false"/>
    <row r="14" customFormat="false" ht="18" hidden="false" customHeight="false" outlineLevel="0" collapsed="false">
      <c r="A14" s="25" t="s">
        <v>79</v>
      </c>
      <c r="B14" s="25"/>
      <c r="C14" s="25"/>
      <c r="D14" s="25"/>
      <c r="E14" s="25"/>
      <c r="F14" s="25"/>
    </row>
    <row r="15" customFormat="false" ht="14.2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</row>
    <row r="16" customFormat="false" ht="14.25" hidden="false" customHeight="false" outlineLevel="0" collapsed="false">
      <c r="A16" s="3" t="n">
        <v>1</v>
      </c>
      <c r="B16" s="26" t="n">
        <f aca="false">+B28+B36+B44</f>
        <v>200550157.126788</v>
      </c>
      <c r="C16" s="26" t="n">
        <f aca="false">+C28+C36+C44</f>
        <v>-115899291.15887</v>
      </c>
      <c r="D16" s="26" t="n">
        <f aca="false">+D28+D36+D44</f>
        <v>-80220062.8507153</v>
      </c>
      <c r="E16" s="26" t="n">
        <f aca="false">+E28+E36+E44</f>
        <v>-50137539.2816971</v>
      </c>
      <c r="F16" s="26" t="n">
        <f aca="false">+F28+F36+F44</f>
        <v>-45706736.1644942</v>
      </c>
    </row>
    <row r="17" customFormat="false" ht="14.25" hidden="false" customHeight="false" outlineLevel="0" collapsed="false">
      <c r="A17" s="3" t="n">
        <f aca="false">+A16+1</f>
        <v>2</v>
      </c>
      <c r="B17" s="27" t="n">
        <f aca="false">+B29+B37+B45</f>
        <v>539911459.727572</v>
      </c>
      <c r="C17" s="27" t="n">
        <f aca="false">+C29+C37+C45</f>
        <v>-154530451.53865</v>
      </c>
      <c r="D17" s="27" t="n">
        <f aca="false">+D29+D37+D45</f>
        <v>-215964583.891029</v>
      </c>
      <c r="E17" s="27" t="n">
        <f aca="false">+E29+E37+E45</f>
        <v>-134977864.931893</v>
      </c>
      <c r="F17" s="27" t="n">
        <f aca="false">+F29+F37+F45</f>
        <v>34438559.366</v>
      </c>
    </row>
    <row r="18" customFormat="false" ht="14.25" hidden="false" customHeight="false" outlineLevel="0" collapsed="false">
      <c r="A18" s="3" t="n">
        <f aca="false">+A17+1</f>
        <v>3</v>
      </c>
      <c r="B18" s="27" t="n">
        <f aca="false">+B30+B38+B46</f>
        <v>896461354.320998</v>
      </c>
      <c r="C18" s="27" t="n">
        <f aca="false">+C30+C38+C46</f>
        <v>-196607839.47793</v>
      </c>
      <c r="D18" s="27" t="n">
        <f aca="false">+D30+D38+D46</f>
        <v>-358584541.728399</v>
      </c>
      <c r="E18" s="27" t="n">
        <f aca="false">+E30+E38+E46</f>
        <v>-224115338.580249</v>
      </c>
      <c r="F18" s="27" t="n">
        <f aca="false">+F30+F38+F46</f>
        <v>117153634.534419</v>
      </c>
    </row>
    <row r="19" customFormat="false" ht="14.25" hidden="false" customHeight="false" outlineLevel="0" collapsed="false">
      <c r="A19" s="3" t="n">
        <f aca="false">+A18+1</f>
        <v>4</v>
      </c>
      <c r="B19" s="27" t="n">
        <f aca="false">+B31+B39+B47</f>
        <v>1278508112.07903</v>
      </c>
      <c r="C19" s="27" t="n">
        <f aca="false">+C31+C39+C47</f>
        <v>-242618096.41924</v>
      </c>
      <c r="D19" s="27" t="n">
        <f aca="false">+D31+D39+D47</f>
        <v>-511403244.831613</v>
      </c>
      <c r="E19" s="27" t="n">
        <f aca="false">+E31+E39+E47</f>
        <v>-319627028.019758</v>
      </c>
      <c r="F19" s="27" t="n">
        <f aca="false">+F31+F39+F47</f>
        <v>204859742.808422</v>
      </c>
    </row>
    <row r="20" customFormat="false" ht="14.25" hidden="false" customHeight="false" outlineLevel="0" collapsed="false">
      <c r="A20" s="3" t="n">
        <f aca="false">+A19+1</f>
        <v>5</v>
      </c>
      <c r="B20" s="28" t="n">
        <f aca="false">+B32+B40+B48</f>
        <v>1689601033.88008</v>
      </c>
      <c r="C20" s="28" t="n">
        <f aca="false">+C32+C40+C48</f>
        <v>-293003118.501932</v>
      </c>
      <c r="D20" s="28" t="n">
        <f aca="false">+D32+D40+D48</f>
        <v>-675840413.552031</v>
      </c>
      <c r="E20" s="28" t="n">
        <f aca="false">+E32+E40+E48</f>
        <v>-422400258.47002</v>
      </c>
      <c r="F20" s="28" t="n">
        <f aca="false">+F32+F40+F48</f>
        <v>298357243.356095</v>
      </c>
    </row>
    <row r="26" customFormat="false" ht="18" hidden="false" customHeight="false" outlineLevel="0" collapsed="false">
      <c r="A26" s="25" t="s">
        <v>0</v>
      </c>
      <c r="B26" s="25"/>
      <c r="C26" s="25"/>
      <c r="D26" s="25"/>
      <c r="E26" s="25"/>
      <c r="F26" s="25"/>
    </row>
    <row r="27" customFormat="false" ht="14.25" hidden="false" customHeight="false" outlineLevel="0" collapsed="false">
      <c r="A27" s="3" t="s">
        <v>80</v>
      </c>
      <c r="B27" s="4" t="s">
        <v>81</v>
      </c>
      <c r="C27" s="4" t="s">
        <v>82</v>
      </c>
      <c r="D27" s="4" t="s">
        <v>83</v>
      </c>
      <c r="E27" s="4" t="s">
        <v>84</v>
      </c>
      <c r="F27" s="4" t="s">
        <v>85</v>
      </c>
    </row>
    <row r="28" customFormat="false" ht="14.25" hidden="false" customHeight="false" outlineLevel="0" collapsed="false">
      <c r="A28" s="29" t="n">
        <v>1</v>
      </c>
      <c r="B28" s="30" t="n">
        <f aca="true">+SUM(OFFSET('Channel 1_calculations'!$E$6,(ROW($A28)-28)*12,0,12,1))</f>
        <v>128367672.90705</v>
      </c>
      <c r="C28" s="30" t="n">
        <f aca="true">+SUM(OFFSET('Channel 1_calculations'!$F$6,(ROW($A28)-28)*12,0,12,1))</f>
        <v>-100224000</v>
      </c>
      <c r="D28" s="30" t="n">
        <f aca="true">+SUM(OFFSET('Channel 1_calculations'!$H$6,(ROW($A28)-28)*12,0,12,1))</f>
        <v>-51347069.1628201</v>
      </c>
      <c r="E28" s="30" t="n">
        <f aca="true">+SUM(OFFSET('Channel 1_calculations'!$G$6,(ROW($A28)-28)*12,0,12,1))</f>
        <v>-32091918.2267626</v>
      </c>
      <c r="F28" s="30" t="n">
        <f aca="true">+SUM(OFFSET('Channel 1_calculations'!$I$6,(ROW($A28)-28)*12,0,12,1))</f>
        <v>-55295314.4825324</v>
      </c>
    </row>
    <row r="29" customFormat="false" ht="14.25" hidden="false" customHeight="false" outlineLevel="0" collapsed="false">
      <c r="A29" s="29" t="n">
        <f aca="false">+A28+1</f>
        <v>2</v>
      </c>
      <c r="B29" s="30" t="n">
        <f aca="true">+SUM(OFFSET('Channel 1_calculations'!$E$6,(ROW($A29)-28)*12,0,12,1))</f>
        <v>334436809.524912</v>
      </c>
      <c r="C29" s="30" t="n">
        <f aca="true">+SUM(OFFSET('Channel 1_calculations'!$F$6,(ROW($A29)-28)*12,0,12,1))</f>
        <v>-110496960</v>
      </c>
      <c r="D29" s="30" t="n">
        <f aca="true">+SUM(OFFSET('Channel 1_calculations'!$H$6,(ROW($A29)-28)*12,0,12,1))</f>
        <v>-133774723.809965</v>
      </c>
      <c r="E29" s="30" t="n">
        <f aca="true">+SUM(OFFSET('Channel 1_calculations'!$G$6,(ROW($A29)-28)*12,0,12,1))</f>
        <v>-83609202.3812281</v>
      </c>
      <c r="F29" s="30" t="n">
        <f aca="true">+SUM(OFFSET('Channel 1_calculations'!$I$6,(ROW($A29)-28)*12,0,12,1))</f>
        <v>6555923.3337193</v>
      </c>
    </row>
    <row r="30" customFormat="false" ht="14.25" hidden="false" customHeight="false" outlineLevel="0" collapsed="false">
      <c r="A30" s="29" t="n">
        <f aca="false">+A29+1</f>
        <v>3</v>
      </c>
      <c r="B30" s="30" t="n">
        <f aca="true">+SUM(OFFSET('Channel 1_calculations'!$E$6,(ROW($A30)-28)*12,0,12,1))</f>
        <v>543482854.683888</v>
      </c>
      <c r="C30" s="30" t="n">
        <f aca="true">+SUM(OFFSET('Channel 1_calculations'!$F$6,(ROW($A30)-28)*12,0,12,1))</f>
        <v>-121822898.4</v>
      </c>
      <c r="D30" s="30" t="n">
        <f aca="true">+SUM(OFFSET('Channel 1_calculations'!$H$6,(ROW($A30)-28)*12,0,12,1))</f>
        <v>-217393141.873555</v>
      </c>
      <c r="E30" s="30" t="n">
        <f aca="true">+SUM(OFFSET('Channel 1_calculations'!$G$6,(ROW($A30)-28)*12,0,12,1))</f>
        <v>-135870713.670972</v>
      </c>
      <c r="F30" s="30" t="n">
        <f aca="true">+SUM(OFFSET('Channel 1_calculations'!$I$6,(ROW($A30)-28)*12,0,12,1))</f>
        <v>68396100.7393607</v>
      </c>
    </row>
    <row r="31" customFormat="false" ht="14.25" hidden="false" customHeight="false" outlineLevel="0" collapsed="false">
      <c r="A31" s="29" t="n">
        <f aca="false">+A30+1</f>
        <v>4</v>
      </c>
      <c r="B31" s="30" t="n">
        <f aca="true">+SUM(OFFSET('Channel 1_calculations'!$E$6,(ROW($A31)-28)*12,0,12,1))</f>
        <v>761845536.025377</v>
      </c>
      <c r="C31" s="30" t="n">
        <f aca="true">+SUM(OFFSET('Channel 1_calculations'!$F$6,(ROW($A31)-28)*12,0,12,1))</f>
        <v>-134309745.486</v>
      </c>
      <c r="D31" s="30" t="n">
        <f aca="true">+SUM(OFFSET('Channel 1_calculations'!$H$6,(ROW($A31)-28)*12,0,12,1))</f>
        <v>-304738214.410151</v>
      </c>
      <c r="E31" s="30" t="n">
        <f aca="true">+SUM(OFFSET('Channel 1_calculations'!$G$6,(ROW($A31)-28)*12,0,12,1))</f>
        <v>-190461384.006344</v>
      </c>
      <c r="F31" s="30" t="n">
        <f aca="true">+SUM(OFFSET('Channel 1_calculations'!$I$6,(ROW($A31)-28)*12,0,12,1))</f>
        <v>132336192.122882</v>
      </c>
    </row>
    <row r="32" customFormat="false" ht="14.25" hidden="false" customHeight="false" outlineLevel="0" collapsed="false">
      <c r="A32" s="29" t="n">
        <f aca="false">+A31+1</f>
        <v>5</v>
      </c>
      <c r="B32" s="30" t="n">
        <f aca="true">+SUM(OFFSET('Channel 1_calculations'!$E$6,(ROW($A32)-28)*12,0,12,1))</f>
        <v>991319022.352209</v>
      </c>
      <c r="C32" s="30" t="n">
        <f aca="true">+SUM(OFFSET('Channel 1_calculations'!$F$6,(ROW($A32)-28)*12,0,12,1))</f>
        <v>-148076494.398315</v>
      </c>
      <c r="D32" s="30" t="n">
        <f aca="true">+SUM(OFFSET('Channel 1_calculations'!$H$6,(ROW($A32)-28)*12,0,12,1))</f>
        <v>-396527608.940883</v>
      </c>
      <c r="E32" s="30" t="n">
        <f aca="true">+SUM(OFFSET('Channel 1_calculations'!$G$6,(ROW($A32)-28)*12,0,12,1))</f>
        <v>-247829755.588052</v>
      </c>
      <c r="F32" s="30" t="n">
        <f aca="true">+SUM(OFFSET('Channel 1_calculations'!$I$6,(ROW($A32)-28)*12,0,12,1))</f>
        <v>198885163.424958</v>
      </c>
    </row>
    <row r="33" customFormat="false" ht="14.25" hidden="true" customHeight="false" outlineLevel="0" collapsed="false">
      <c r="J33" s="31"/>
      <c r="K33" s="31"/>
      <c r="L33" s="31"/>
      <c r="M33" s="31"/>
      <c r="N33" s="31"/>
      <c r="R33" s="31"/>
      <c r="S33" s="31"/>
      <c r="T33" s="31"/>
      <c r="U33" s="31"/>
      <c r="V33" s="31"/>
    </row>
    <row r="34" customFormat="false" ht="18" hidden="false" customHeight="false" outlineLevel="0" collapsed="false">
      <c r="A34" s="25" t="s">
        <v>1</v>
      </c>
      <c r="B34" s="25"/>
      <c r="C34" s="25"/>
      <c r="D34" s="25"/>
      <c r="E34" s="25"/>
      <c r="F34" s="25"/>
    </row>
    <row r="35" customFormat="false" ht="14.25" hidden="false" customHeight="false" outlineLevel="0" collapsed="false">
      <c r="A35" s="3" t="s">
        <v>80</v>
      </c>
      <c r="B35" s="3" t="s">
        <v>81</v>
      </c>
      <c r="C35" s="3" t="s">
        <v>82</v>
      </c>
      <c r="D35" s="3" t="s">
        <v>83</v>
      </c>
      <c r="E35" s="3" t="s">
        <v>84</v>
      </c>
      <c r="F35" s="3" t="s">
        <v>85</v>
      </c>
    </row>
    <row r="36" customFormat="false" ht="14.25" hidden="false" customHeight="false" outlineLevel="0" collapsed="false">
      <c r="A36" s="3" t="n">
        <v>1</v>
      </c>
      <c r="B36" s="30" t="n">
        <f aca="true">+SUM(OFFSET('Channel 2_calculations'!$E$6,(ROW($A28)-28)*12,0,12,1))</f>
        <v>49551772.5968979</v>
      </c>
      <c r="C36" s="30" t="n">
        <f aca="true">+SUM(OFFSET('Channel 2_calculations'!$F$6,(ROW($A28)-28)*12,0,12,1))</f>
        <v>-11149148.834302</v>
      </c>
      <c r="D36" s="30" t="n">
        <f aca="true">+SUM(OFFSET('Channel 2_calculations'!$H$6,(ROW($A28)-28)*12,0,12,1))</f>
        <v>-19820709.0387592</v>
      </c>
      <c r="E36" s="30" t="n">
        <f aca="true">+SUM(OFFSET('Channel 2_calculations'!$G$6,(ROW($A28)-28)*12,0,12,1))</f>
        <v>-12387943.1492245</v>
      </c>
      <c r="F36" s="30" t="n">
        <f aca="true">+SUM(OFFSET('Channel 2_calculations'!$I$6,(ROW($A28)-28)*12,0,12,1))</f>
        <v>6193971.57461224</v>
      </c>
    </row>
    <row r="37" customFormat="false" ht="14.25" hidden="false" customHeight="false" outlineLevel="0" collapsed="false">
      <c r="A37" s="3" t="n">
        <f aca="false">+A36+1</f>
        <v>2</v>
      </c>
      <c r="B37" s="30" t="n">
        <f aca="true">+SUM(OFFSET('Channel 2_calculations'!$E$6,(ROW($A29)-28)*12,0,12,1))</f>
        <v>137132869.912189</v>
      </c>
      <c r="C37" s="30" t="n">
        <f aca="true">+SUM(OFFSET('Channel 2_calculations'!$F$6,(ROW($A29)-28)*12,0,12,1))</f>
        <v>-30365135.4805561</v>
      </c>
      <c r="D37" s="30" t="n">
        <f aca="true">+SUM(OFFSET('Channel 2_calculations'!$H$6,(ROW($A29)-28)*12,0,12,1))</f>
        <v>-54853147.9648755</v>
      </c>
      <c r="E37" s="30" t="n">
        <f aca="true">+SUM(OFFSET('Channel 2_calculations'!$G$6,(ROW($A29)-28)*12,0,12,1))</f>
        <v>-34283217.4780472</v>
      </c>
      <c r="F37" s="30" t="n">
        <f aca="true">+SUM(OFFSET('Channel 2_calculations'!$I$6,(ROW($A29)-28)*12,0,12,1))</f>
        <v>17631368.98871</v>
      </c>
    </row>
    <row r="38" customFormat="false" ht="14.25" hidden="false" customHeight="false" outlineLevel="0" collapsed="false">
      <c r="A38" s="3" t="n">
        <f aca="false">+A37+1</f>
        <v>3</v>
      </c>
      <c r="B38" s="30" t="n">
        <f aca="true">+SUM(OFFSET('Channel 2_calculations'!$E$6,(ROW($A30)-28)*12,0,12,1))</f>
        <v>232384320.424395</v>
      </c>
      <c r="C38" s="30" t="n">
        <f aca="true">+SUM(OFFSET('Channel 2_calculations'!$F$6,(ROW($A30)-28)*12,0,12,1))</f>
        <v>-50666105.2353869</v>
      </c>
      <c r="D38" s="30" t="n">
        <f aca="true">+SUM(OFFSET('Channel 2_calculations'!$H$6,(ROW($A30)-28)*12,0,12,1))</f>
        <v>-92953728.1697581</v>
      </c>
      <c r="E38" s="30" t="n">
        <f aca="true">+SUM(OFFSET('Channel 2_calculations'!$G$6,(ROW($A30)-28)*12,0,12,1))</f>
        <v>-58096080.1060988</v>
      </c>
      <c r="F38" s="30" t="n">
        <f aca="true">+SUM(OFFSET('Channel 2_calculations'!$I$6,(ROW($A30)-28)*12,0,12,1))</f>
        <v>30668406.9131515</v>
      </c>
    </row>
    <row r="39" customFormat="false" ht="14.25" hidden="false" customHeight="false" outlineLevel="0" collapsed="false">
      <c r="A39" s="3" t="n">
        <f aca="false">+A38+1</f>
        <v>4</v>
      </c>
      <c r="B39" s="30" t="n">
        <f aca="true">+SUM(OFFSET('Channel 2_calculations'!$E$6,(ROW($A31)-28)*12,0,12,1))</f>
        <v>336482034.510057</v>
      </c>
      <c r="C39" s="30" t="n">
        <f aca="true">+SUM(OFFSET('Channel 2_calculations'!$F$6,(ROW($A31)-28)*12,0,12,1))</f>
        <v>-72272242.6245201</v>
      </c>
      <c r="D39" s="30" t="n">
        <f aca="true">+SUM(OFFSET('Channel 2_calculations'!$H$6,(ROW($A31)-28)*12,0,12,1))</f>
        <v>-134592813.804023</v>
      </c>
      <c r="E39" s="30" t="n">
        <f aca="true">+SUM(OFFSET('Channel 2_calculations'!$G$6,(ROW($A31)-28)*12,0,12,1))</f>
        <v>-84120508.6275143</v>
      </c>
      <c r="F39" s="30" t="n">
        <f aca="true">+SUM(OFFSET('Channel 2_calculations'!$I$6,(ROW($A31)-28)*12,0,12,1))</f>
        <v>45496469.4539999</v>
      </c>
    </row>
    <row r="40" customFormat="false" ht="14.25" hidden="false" customHeight="false" outlineLevel="0" collapsed="false">
      <c r="A40" s="3" t="n">
        <f aca="false">+A39+1</f>
        <v>5</v>
      </c>
      <c r="B40" s="30" t="n">
        <f aca="true">+SUM(OFFSET('Channel 2_calculations'!$E$6,(ROW($A32)-28)*12,0,12,1))</f>
        <v>450342936.138877</v>
      </c>
      <c r="C40" s="30" t="n">
        <f aca="true">+SUM(OFFSET('Channel 2_calculations'!$F$6,(ROW($A32)-28)*12,0,12,1))</f>
        <v>-95338809.0258187</v>
      </c>
      <c r="D40" s="30" t="n">
        <f aca="true">+SUM(OFFSET('Channel 2_calculations'!$H$6,(ROW($A32)-28)*12,0,12,1))</f>
        <v>-180137174.455551</v>
      </c>
      <c r="E40" s="30" t="n">
        <f aca="true">+SUM(OFFSET('Channel 2_calculations'!$G$6,(ROW($A32)-28)*12,0,12,1))</f>
        <v>-112585734.034719</v>
      </c>
      <c r="F40" s="30" t="n">
        <f aca="true">+SUM(OFFSET('Channel 2_calculations'!$I$6,(ROW($A32)-28)*12,0,12,1))</f>
        <v>62281218.6227881</v>
      </c>
    </row>
    <row r="41" customFormat="false" ht="14.25" hidden="true" customHeight="false" outlineLevel="0" collapsed="false"/>
    <row r="42" customFormat="false" ht="18" hidden="false" customHeight="false" outlineLevel="0" collapsed="false">
      <c r="A42" s="25" t="s">
        <v>86</v>
      </c>
      <c r="B42" s="25"/>
      <c r="C42" s="25"/>
      <c r="D42" s="25"/>
      <c r="E42" s="25"/>
      <c r="F42" s="25"/>
    </row>
    <row r="43" customFormat="false" ht="14.25" hidden="false" customHeight="false" outlineLevel="0" collapsed="false">
      <c r="A43" s="3" t="s">
        <v>80</v>
      </c>
      <c r="B43" s="3" t="s">
        <v>81</v>
      </c>
      <c r="C43" s="3" t="s">
        <v>82</v>
      </c>
      <c r="D43" s="3" t="s">
        <v>83</v>
      </c>
      <c r="E43" s="3" t="s">
        <v>84</v>
      </c>
      <c r="F43" s="3" t="s">
        <v>85</v>
      </c>
    </row>
    <row r="44" customFormat="false" ht="14.25" hidden="false" customHeight="false" outlineLevel="0" collapsed="false">
      <c r="A44" s="3" t="n">
        <v>1</v>
      </c>
      <c r="B44" s="30" t="n">
        <f aca="true">+SUM(OFFSET('Channel 3_calculations'!$E$6,(ROW($A28)-28)*12,0,12,1))</f>
        <v>22630711.6228401</v>
      </c>
      <c r="C44" s="30" t="n">
        <f aca="true">+SUM(OFFSET('Channel 3_calculations'!$F$6,(ROW($A28)-28)*12,0,12,1))</f>
        <v>-4526142.32456803</v>
      </c>
      <c r="D44" s="30" t="n">
        <f aca="true">+SUM(OFFSET('Channel 3_calculations'!$H$6,(ROW($A28)-28)*12,0,12,1))</f>
        <v>-9052284.64913606</v>
      </c>
      <c r="E44" s="30" t="n">
        <f aca="true">+SUM(OFFSET('Channel 3_calculations'!$G$6,(ROW($A28)-28)*12,0,12,1))</f>
        <v>-5657677.90571004</v>
      </c>
      <c r="F44" s="30" t="n">
        <f aca="true">+SUM(OFFSET('Channel 3_calculations'!$I$6,(ROW($A28)-28)*12,0,12,1))</f>
        <v>3394606.74342602</v>
      </c>
    </row>
    <row r="45" customFormat="false" ht="14.25" hidden="false" customHeight="false" outlineLevel="0" collapsed="false">
      <c r="A45" s="3" t="n">
        <f aca="false">+A44+1</f>
        <v>2</v>
      </c>
      <c r="B45" s="30" t="n">
        <f aca="true">+SUM(OFFSET('Channel 3_calculations'!$E$6,(ROW($A29)-28)*12,0,12,1))</f>
        <v>68341780.2904714</v>
      </c>
      <c r="C45" s="30" t="n">
        <f aca="true">+SUM(OFFSET('Channel 3_calculations'!$F$6,(ROW($A29)-28)*12,0,12,1))</f>
        <v>-13668356.0580943</v>
      </c>
      <c r="D45" s="30" t="n">
        <f aca="true">+SUM(OFFSET('Channel 3_calculations'!$H$6,(ROW($A29)-28)*12,0,12,1))</f>
        <v>-27336712.1161886</v>
      </c>
      <c r="E45" s="30" t="n">
        <f aca="true">+SUM(OFFSET('Channel 3_calculations'!$G$6,(ROW($A29)-28)*12,0,12,1))</f>
        <v>-17085445.0726178</v>
      </c>
      <c r="F45" s="30" t="n">
        <f aca="true">+SUM(OFFSET('Channel 3_calculations'!$I$6,(ROW($A29)-28)*12,0,12,1))</f>
        <v>10251267.0435707</v>
      </c>
    </row>
    <row r="46" customFormat="false" ht="14.25" hidden="false" customHeight="false" outlineLevel="0" collapsed="false">
      <c r="A46" s="3" t="n">
        <f aca="false">+A45+1</f>
        <v>3</v>
      </c>
      <c r="B46" s="30" t="n">
        <f aca="true">+SUM(OFFSET('Channel 3_calculations'!$E$6,(ROW($A30)-28)*12,0,12,1))</f>
        <v>120594179.212715</v>
      </c>
      <c r="C46" s="30" t="n">
        <f aca="true">+SUM(OFFSET('Channel 3_calculations'!$F$6,(ROW($A30)-28)*12,0,12,1))</f>
        <v>-24118835.8425429</v>
      </c>
      <c r="D46" s="30" t="n">
        <f aca="true">+SUM(OFFSET('Channel 3_calculations'!$H$6,(ROW($A30)-28)*12,0,12,1))</f>
        <v>-48237671.6850858</v>
      </c>
      <c r="E46" s="30" t="n">
        <f aca="true">+SUM(OFFSET('Channel 3_calculations'!$G$6,(ROW($A30)-28)*12,0,12,1))</f>
        <v>-30148544.8031786</v>
      </c>
      <c r="F46" s="30" t="n">
        <f aca="true">+SUM(OFFSET('Channel 3_calculations'!$I$6,(ROW($A30)-28)*12,0,12,1))</f>
        <v>18089126.8819072</v>
      </c>
    </row>
    <row r="47" customFormat="false" ht="14.25" hidden="false" customHeight="false" outlineLevel="0" collapsed="false">
      <c r="A47" s="3" t="n">
        <f aca="false">+A46+1</f>
        <v>4</v>
      </c>
      <c r="B47" s="30" t="n">
        <f aca="true">+SUM(OFFSET('Channel 3_calculations'!$E$6,(ROW($A31)-28)*12,0,12,1))</f>
        <v>180180541.543598</v>
      </c>
      <c r="C47" s="30" t="n">
        <f aca="true">+SUM(OFFSET('Channel 3_calculations'!$F$6,(ROW($A31)-28)*12,0,12,1))</f>
        <v>-36036108.3087197</v>
      </c>
      <c r="D47" s="30" t="n">
        <f aca="true">+SUM(OFFSET('Channel 3_calculations'!$H$6,(ROW($A31)-28)*12,0,12,1))</f>
        <v>-72072216.6174393</v>
      </c>
      <c r="E47" s="30" t="n">
        <f aca="true">+SUM(OFFSET('Channel 3_calculations'!$G$6,(ROW($A31)-28)*12,0,12,1))</f>
        <v>-45045135.3858996</v>
      </c>
      <c r="F47" s="30" t="n">
        <f aca="true">+SUM(OFFSET('Channel 3_calculations'!$I$6,(ROW($A31)-28)*12,0,12,1))</f>
        <v>27027081.2315397</v>
      </c>
    </row>
    <row r="48" customFormat="false" ht="14.25" hidden="false" customHeight="false" outlineLevel="0" collapsed="false">
      <c r="A48" s="3" t="n">
        <f aca="false">+A47+1</f>
        <v>5</v>
      </c>
      <c r="B48" s="30" t="n">
        <f aca="true">+SUM(OFFSET('Channel 3_calculations'!$E$6,(ROW($A32)-28)*12,0,12,1))</f>
        <v>247939075.388993</v>
      </c>
      <c r="C48" s="30" t="n">
        <f aca="true">+SUM(OFFSET('Channel 3_calculations'!$F$6,(ROW($A32)-28)*12,0,12,1))</f>
        <v>-49587815.0777986</v>
      </c>
      <c r="D48" s="30" t="n">
        <f aca="true">+SUM(OFFSET('Channel 3_calculations'!$H$6,(ROW($A32)-28)*12,0,12,1))</f>
        <v>-99175630.1555971</v>
      </c>
      <c r="E48" s="30" t="n">
        <f aca="true">+SUM(OFFSET('Channel 3_calculations'!$G$6,(ROW($A32)-28)*12,0,12,1))</f>
        <v>-61984768.8472482</v>
      </c>
      <c r="F48" s="30" t="n">
        <f aca="true">+SUM(OFFSET('Channel 3_calculations'!$I$6,(ROW($A32)-28)*12,0,12,1))</f>
        <v>37190861.3083489</v>
      </c>
    </row>
  </sheetData>
  <mergeCells count="6">
    <mergeCell ref="A1:C1"/>
    <mergeCell ref="A7:C7"/>
    <mergeCell ref="A14:F14"/>
    <mergeCell ref="A26:F26"/>
    <mergeCell ref="A34:F34"/>
    <mergeCell ref="A42:F42"/>
  </mergeCells>
  <conditionalFormatting sqref="A1:XFD25 A26:H32 O26:P32 W26:XFD32 A33:XFD1048576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Q1" activeCellId="0" sqref="Q1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5" min="2" style="17" width="16.33"/>
    <col collapsed="false" customWidth="false" hidden="false" outlineLevel="0" max="14" min="6" style="17" width="9.11"/>
    <col collapsed="false" customWidth="false" hidden="true" outlineLevel="0" max="16" min="15" style="17" width="9.11"/>
    <col collapsed="false" customWidth="false" hidden="false" outlineLevel="0" max="17" min="17" style="17" width="9.11"/>
    <col collapsed="false" customWidth="true" hidden="false" outlineLevel="0" max="18" min="18" style="17" width="15.11"/>
    <col collapsed="false" customWidth="true" hidden="false" outlineLevel="0" max="20" min="19" style="17" width="16.11"/>
    <col collapsed="false" customWidth="true" hidden="false" outlineLevel="0" max="21" min="21" style="17" width="17.89"/>
    <col collapsed="false" customWidth="true" hidden="false" outlineLevel="0" max="22" min="22" style="17" width="16.11"/>
    <col collapsed="false" customWidth="false" hidden="false" outlineLevel="0" max="16384" min="23" style="17" width="9.11"/>
  </cols>
  <sheetData>
    <row r="1" customFormat="false" ht="18" hidden="false" customHeight="false" outlineLevel="0" collapsed="false">
      <c r="A1" s="32" t="s">
        <v>87</v>
      </c>
      <c r="B1" s="32"/>
      <c r="C1" s="32"/>
      <c r="D1" s="32"/>
      <c r="E1" s="32"/>
      <c r="Q1" s="25" t="s">
        <v>88</v>
      </c>
      <c r="R1" s="25"/>
      <c r="S1" s="25"/>
      <c r="T1" s="25"/>
      <c r="U1" s="25"/>
    </row>
    <row r="2" customFormat="false" ht="14.25" hidden="false" customHeight="false" outlineLevel="0" collapsed="false">
      <c r="A2" s="33" t="s">
        <v>89</v>
      </c>
      <c r="B2" s="34" t="s">
        <v>0</v>
      </c>
      <c r="C2" s="4" t="s">
        <v>1</v>
      </c>
      <c r="D2" s="35" t="s">
        <v>2</v>
      </c>
      <c r="E2" s="34" t="s">
        <v>90</v>
      </c>
      <c r="Q2" s="36" t="s">
        <v>80</v>
      </c>
      <c r="R2" s="37" t="s">
        <v>0</v>
      </c>
      <c r="S2" s="38" t="s">
        <v>1</v>
      </c>
      <c r="T2" s="39" t="s">
        <v>2</v>
      </c>
      <c r="U2" s="37" t="s">
        <v>91</v>
      </c>
      <c r="V2" s="34" t="s">
        <v>85</v>
      </c>
      <c r="W2" s="34" t="s">
        <v>92</v>
      </c>
    </row>
    <row r="3" customFormat="false" ht="14.25" hidden="false" customHeight="false" outlineLevel="0" collapsed="false">
      <c r="A3" s="40" t="n">
        <v>1</v>
      </c>
      <c r="B3" s="41" t="n">
        <f aca="false">+'Channel 1_calculations'!J6</f>
        <v>-7621200</v>
      </c>
      <c r="C3" s="42" t="n">
        <f aca="false">+'Channel 2_calculations'!J6</f>
        <v>87750</v>
      </c>
      <c r="D3" s="42" t="n">
        <f aca="false">+'Channel 3_calculations'!J6</f>
        <v>44010</v>
      </c>
      <c r="E3" s="43" t="n">
        <f aca="false">+SUM(B3:D3)</f>
        <v>-7489440</v>
      </c>
      <c r="Q3" s="44" t="n">
        <v>1</v>
      </c>
      <c r="R3" s="45" t="n">
        <f aca="true">+SUM(OFFSET('Channel 1_calculations'!$E$6,(ROW(Visuals!Q3)-3)*12,0,12,1))</f>
        <v>128367672.90705</v>
      </c>
      <c r="S3" s="45" t="n">
        <f aca="true">+SUM(OFFSET('Channel 2_calculations'!$E$6,(ROW(Visuals!Q3)-3)*12,0,12,1))</f>
        <v>49551772.5968979</v>
      </c>
      <c r="T3" s="45" t="n">
        <f aca="true">+SUM(OFFSET('Channel 3_calculations'!$E$6,(ROW(Visuals!Q3)-3)*12,0,12,1))</f>
        <v>22630711.6228401</v>
      </c>
      <c r="U3" s="45" t="n">
        <f aca="false">+SUM(R3:T3)</f>
        <v>200550157.126788</v>
      </c>
      <c r="V3" s="30" t="n">
        <f aca="false">+Summary!F16</f>
        <v>-45706736.1644942</v>
      </c>
    </row>
    <row r="4" customFormat="false" ht="14.25" hidden="false" customHeight="false" outlineLevel="0" collapsed="false">
      <c r="A4" s="40" t="n">
        <f aca="false">+A3+1</f>
        <v>2</v>
      </c>
      <c r="B4" s="46" t="n">
        <f aca="false">+'Channel 1_calculations'!J7</f>
        <v>-14588334</v>
      </c>
      <c r="C4" s="31" t="n">
        <f aca="false">+'Channel 2_calculations'!J7</f>
        <v>258643.125</v>
      </c>
      <c r="D4" s="31" t="n">
        <f aca="false">+'Channel 3_calculations'!J7</f>
        <v>131809.95</v>
      </c>
      <c r="E4" s="43" t="n">
        <f aca="false">+SUM(B4:D4)</f>
        <v>-14197880.925</v>
      </c>
      <c r="Q4" s="44" t="n">
        <f aca="false">+Q3+1</f>
        <v>2</v>
      </c>
      <c r="R4" s="45" t="n">
        <f aca="true">+SUM(OFFSET('Channel 1_calculations'!$E$6,(ROW(Visuals!Q4)-3)*12,0,12,1))</f>
        <v>334436809.524912</v>
      </c>
      <c r="S4" s="45" t="n">
        <f aca="true">+SUM(OFFSET('Channel 2_calculations'!$E$6,(ROW(Visuals!Q4)-3)*12,0,12,1))</f>
        <v>137132869.912189</v>
      </c>
      <c r="T4" s="45" t="n">
        <f aca="true">+SUM(OFFSET('Channel 3_calculations'!$E$6,(ROW(Visuals!Q4)-3)*12,0,12,1))</f>
        <v>68341780.2904714</v>
      </c>
      <c r="U4" s="45" t="n">
        <f aca="false">+SUM(R4:T4)</f>
        <v>539911459.727572</v>
      </c>
      <c r="V4" s="30" t="n">
        <f aca="false">+Summary!F17</f>
        <v>34438559.366</v>
      </c>
    </row>
    <row r="5" customFormat="false" ht="14.25" hidden="false" customHeight="false" outlineLevel="0" collapsed="false">
      <c r="A5" s="40" t="n">
        <f aca="false">+A4+1</f>
        <v>3</v>
      </c>
      <c r="B5" s="46" t="n">
        <f aca="false">+'Channel 1_calculations'!J8</f>
        <v>-20953727.28</v>
      </c>
      <c r="C5" s="31" t="n">
        <f aca="false">+'Channel 2_calculations'!J8</f>
        <v>509353.65</v>
      </c>
      <c r="D5" s="31" t="n">
        <f aca="false">+'Channel 3_calculations'!J8</f>
        <v>263233.44819</v>
      </c>
      <c r="E5" s="43" t="n">
        <f aca="false">+SUM(B5:D5)</f>
        <v>-20181140.18181</v>
      </c>
      <c r="Q5" s="44" t="n">
        <f aca="false">+Q4+1</f>
        <v>3</v>
      </c>
      <c r="R5" s="45" t="n">
        <f aca="true">+SUM(OFFSET('Channel 1_calculations'!$E$6,(ROW(Visuals!Q5)-3)*12,0,12,1))</f>
        <v>543482854.683888</v>
      </c>
      <c r="S5" s="45" t="n">
        <f aca="true">+SUM(OFFSET('Channel 2_calculations'!$E$6,(ROW(Visuals!Q5)-3)*12,0,12,1))</f>
        <v>232384320.424395</v>
      </c>
      <c r="T5" s="45" t="n">
        <f aca="true">+SUM(OFFSET('Channel 3_calculations'!$E$6,(ROW(Visuals!Q5)-3)*12,0,12,1))</f>
        <v>120594179.212715</v>
      </c>
      <c r="U5" s="45" t="n">
        <f aca="false">+SUM(R5:T5)</f>
        <v>896461354.320998</v>
      </c>
      <c r="V5" s="30" t="n">
        <f aca="false">+Summary!F18</f>
        <v>117153634.534419</v>
      </c>
    </row>
    <row r="6" customFormat="false" ht="14.25" hidden="false" customHeight="false" outlineLevel="0" collapsed="false">
      <c r="A6" s="40" t="n">
        <f aca="false">+A5+1</f>
        <v>4</v>
      </c>
      <c r="B6" s="46" t="n">
        <f aca="false">+'Channel 1_calculations'!J9</f>
        <v>-26750475.5796</v>
      </c>
      <c r="C6" s="31" t="n">
        <f aca="false">+'Channel 2_calculations'!J9</f>
        <v>925436.5965</v>
      </c>
      <c r="D6" s="31" t="n">
        <f aca="false">+'Channel 3_calculations'!J9</f>
        <v>438171.435699525</v>
      </c>
      <c r="E6" s="43" t="n">
        <f aca="false">+SUM(B6:D6)</f>
        <v>-25386867.5474005</v>
      </c>
      <c r="Q6" s="44" t="n">
        <f aca="false">+Q5+1</f>
        <v>4</v>
      </c>
      <c r="R6" s="45" t="n">
        <f aca="true">+SUM(OFFSET('Channel 1_calculations'!$E$6,(ROW(Visuals!Q6)-3)*12,0,12,1))</f>
        <v>761845536.025377</v>
      </c>
      <c r="S6" s="45" t="n">
        <f aca="true">+SUM(OFFSET('Channel 2_calculations'!$E$6,(ROW(Visuals!Q6)-3)*12,0,12,1))</f>
        <v>336482034.510057</v>
      </c>
      <c r="T6" s="45" t="n">
        <f aca="true">+SUM(OFFSET('Channel 3_calculations'!$E$6,(ROW(Visuals!Q6)-3)*12,0,12,1))</f>
        <v>180180541.543598</v>
      </c>
      <c r="U6" s="45" t="n">
        <f aca="false">+SUM(R6:T6)</f>
        <v>1278508112.07903</v>
      </c>
      <c r="V6" s="30" t="n">
        <f aca="false">+Summary!F19</f>
        <v>204859742.808422</v>
      </c>
    </row>
    <row r="7" customFormat="false" ht="14.25" hidden="false" customHeight="false" outlineLevel="0" collapsed="false">
      <c r="A7" s="40" t="n">
        <f aca="false">+A6+1</f>
        <v>5</v>
      </c>
      <c r="B7" s="46" t="n">
        <f aca="false">+'Channel 1_calculations'!J10</f>
        <v>-32007011.14782</v>
      </c>
      <c r="C7" s="31" t="n">
        <f aca="false">+'Channel 2_calculations'!J10</f>
        <v>1334058.2789625</v>
      </c>
      <c r="D7" s="31" t="n">
        <f aca="false">+'Channel 3_calculations'!J10</f>
        <v>656523.82920314</v>
      </c>
      <c r="E7" s="43" t="n">
        <f aca="false">+SUM(B7:D7)</f>
        <v>-30016429.0396544</v>
      </c>
      <c r="Q7" s="44" t="n">
        <f aca="false">+Q6+1</f>
        <v>5</v>
      </c>
      <c r="R7" s="45" t="n">
        <f aca="true">+SUM(OFFSET('Channel 1_calculations'!$E$6,(ROW(Visuals!Q7)-3)*12,0,12,1))</f>
        <v>991319022.352209</v>
      </c>
      <c r="S7" s="45" t="n">
        <f aca="true">+SUM(OFFSET('Channel 2_calculations'!$E$6,(ROW(Visuals!Q7)-3)*12,0,12,1))</f>
        <v>450342936.138877</v>
      </c>
      <c r="T7" s="45" t="n">
        <f aca="true">+SUM(OFFSET('Channel 3_calculations'!$E$6,(ROW(Visuals!Q7)-3)*12,0,12,1))</f>
        <v>247939075.388993</v>
      </c>
      <c r="U7" s="45" t="n">
        <f aca="false">+SUM(R7:T7)</f>
        <v>1689601033.88008</v>
      </c>
      <c r="V7" s="30" t="n">
        <f aca="false">+Summary!F20</f>
        <v>298357243.356095</v>
      </c>
      <c r="W7" s="47" t="n">
        <f aca="false">+(V7/U7)</f>
        <v>0.17658443465256</v>
      </c>
    </row>
    <row r="8" customFormat="false" ht="14.25" hidden="false" customHeight="false" outlineLevel="0" collapsed="false">
      <c r="A8" s="40" t="n">
        <f aca="false">+A7+1</f>
        <v>6</v>
      </c>
      <c r="B8" s="46" t="n">
        <f aca="false">+'Channel 1_calculations'!J11</f>
        <v>-36747643.5575721</v>
      </c>
      <c r="C8" s="31" t="n">
        <f aca="false">+'Channel 2_calculations'!J11</f>
        <v>1816474.70551584</v>
      </c>
      <c r="D8" s="31" t="n">
        <f aca="false">+'Channel 3_calculations'!J11</f>
        <v>918203.799888857</v>
      </c>
      <c r="E8" s="43" t="n">
        <f aca="false">+SUM(B8:D8)</f>
        <v>-34012965.0521674</v>
      </c>
    </row>
    <row r="9" customFormat="false" ht="14.25" hidden="false" customHeight="false" outlineLevel="0" collapsed="false">
      <c r="A9" s="40" t="n">
        <f aca="false">+A8+1</f>
        <v>7</v>
      </c>
      <c r="B9" s="46" t="n">
        <f aca="false">+'Channel 1_calculations'!J12</f>
        <v>-40993008.935195</v>
      </c>
      <c r="C9" s="31" t="n">
        <f aca="false">+'Channel 2_calculations'!J12</f>
        <v>2371268.94927821</v>
      </c>
      <c r="D9" s="31" t="n">
        <f aca="false">+'Channel 3_calculations'!J12</f>
        <v>1223133.35811775</v>
      </c>
      <c r="E9" s="43" t="n">
        <f aca="false">+SUM(B9:D9)</f>
        <v>-37398606.6277991</v>
      </c>
    </row>
    <row r="10" customFormat="false" ht="14.25" hidden="false" customHeight="false" outlineLevel="0" collapsed="false">
      <c r="A10" s="40" t="n">
        <f aca="false">+A9+1</f>
        <v>8</v>
      </c>
      <c r="B10" s="46" t="n">
        <f aca="false">+'Channel 1_calculations'!J13</f>
        <v>-44760441.6268133</v>
      </c>
      <c r="C10" s="31" t="n">
        <f aca="false">+'Channel 2_calculations'!J13</f>
        <v>2997186.3671097</v>
      </c>
      <c r="D10" s="31" t="n">
        <f aca="false">+'Channel 3_calculations'!J13</f>
        <v>1571247.6295085</v>
      </c>
      <c r="E10" s="43" t="n">
        <f aca="false">+SUM(B10:D10)</f>
        <v>-40192007.6301951</v>
      </c>
    </row>
    <row r="11" customFormat="false" ht="14.25" hidden="false" customHeight="false" outlineLevel="0" collapsed="false">
      <c r="A11" s="40" t="n">
        <f aca="false">+A10+1</f>
        <v>9</v>
      </c>
      <c r="B11" s="46" t="n">
        <f aca="false">+'Channel 1_calculations'!J14</f>
        <v>-48064279.613007</v>
      </c>
      <c r="C11" s="31" t="n">
        <f aca="false">+'Channel 2_calculations'!J14</f>
        <v>3693171.67027899</v>
      </c>
      <c r="D11" s="31" t="n">
        <f aca="false">+'Channel 3_calculations'!J14</f>
        <v>1962490.473934</v>
      </c>
      <c r="E11" s="43" t="n">
        <f aca="false">+SUM(B11:D11)</f>
        <v>-42408617.468794</v>
      </c>
    </row>
    <row r="12" customFormat="false" ht="14.25" hidden="false" customHeight="false" outlineLevel="0" collapsed="false">
      <c r="A12" s="40" t="n">
        <f aca="false">+A11+1</f>
        <v>10</v>
      </c>
      <c r="B12" s="46" t="n">
        <f aca="false">+'Channel 1_calculations'!J15</f>
        <v>-50916112.7614118</v>
      </c>
      <c r="C12" s="31" t="n">
        <f aca="false">+'Channel 2_calculations'!J15</f>
        <v>4458360.20149983</v>
      </c>
      <c r="D12" s="31" t="n">
        <f aca="false">+'Channel 3_calculations'!J15</f>
        <v>2396818.76282121</v>
      </c>
      <c r="E12" s="43" t="n">
        <f aca="false">+SUM(B12:D12)</f>
        <v>-44060933.7970908</v>
      </c>
    </row>
    <row r="13" customFormat="false" ht="14.25" hidden="false" customHeight="false" outlineLevel="0" collapsed="false">
      <c r="A13" s="40" t="n">
        <f aca="false">+A12+1</f>
        <v>11</v>
      </c>
      <c r="B13" s="46" t="n">
        <f aca="false">+'Channel 1_calculations'!J16</f>
        <v>-53324981.1687835</v>
      </c>
      <c r="C13" s="31" t="n">
        <f aca="false">+'Channel 2_calculations'!J16</f>
        <v>5292070.79111018</v>
      </c>
      <c r="D13" s="31" t="n">
        <f aca="false">+'Channel 3_calculations'!J16</f>
        <v>2874198.02781457</v>
      </c>
      <c r="E13" s="43" t="n">
        <f aca="false">+SUM(B13:D13)</f>
        <v>-45158712.3498588</v>
      </c>
      <c r="R13" s="17" t="n">
        <f aca="false">+ROW(Visuals!Q3)</f>
        <v>3</v>
      </c>
    </row>
    <row r="14" customFormat="false" ht="14.25" hidden="false" customHeight="false" outlineLevel="0" collapsed="false">
      <c r="A14" s="40" t="n">
        <f aca="false">+A13+1</f>
        <v>12</v>
      </c>
      <c r="B14" s="46" t="n">
        <f aca="false">+'Channel 1_calculations'!J17</f>
        <v>-55295314.4825324</v>
      </c>
      <c r="C14" s="31" t="n">
        <f aca="false">+'Channel 2_calculations'!J17</f>
        <v>6193971.57461224</v>
      </c>
      <c r="D14" s="31" t="n">
        <f aca="false">+'Channel 3_calculations'!J17</f>
        <v>3394606.74342602</v>
      </c>
      <c r="E14" s="43" t="n">
        <f aca="false">+SUM(B14:D14)</f>
        <v>-45706736.1644942</v>
      </c>
    </row>
    <row r="15" customFormat="false" ht="14.25" hidden="false" customHeight="false" outlineLevel="0" collapsed="false">
      <c r="A15" s="40" t="n">
        <f aca="false">+A14+1</f>
        <v>13</v>
      </c>
      <c r="B15" s="46" t="n">
        <f aca="false">+'Channel 1_calculations'!J18</f>
        <v>-57308420.2321479</v>
      </c>
      <c r="C15" s="31" t="n">
        <f aca="false">+'Channel 2_calculations'!J18</f>
        <v>7246051.23910228</v>
      </c>
      <c r="D15" s="31" t="n">
        <f aca="false">+'Channel 3_calculations'!J18</f>
        <v>3988504.75250546</v>
      </c>
      <c r="E15" s="43" t="n">
        <f aca="false">+SUM(B15:D15)</f>
        <v>-46073864.2405401</v>
      </c>
    </row>
    <row r="16" customFormat="false" ht="14.25" hidden="false" customHeight="false" outlineLevel="0" collapsed="false">
      <c r="A16" s="40" t="n">
        <f aca="false">+A15+1</f>
        <v>14</v>
      </c>
      <c r="B16" s="46" t="n">
        <f aca="false">+'Channel 1_calculations'!J19</f>
        <v>-58835888.8592406</v>
      </c>
      <c r="C16" s="31" t="n">
        <f aca="false">+'Channel 2_calculations'!J19</f>
        <v>8375553.26803978</v>
      </c>
      <c r="D16" s="31" t="n">
        <f aca="false">+'Channel 3_calculations'!J19</f>
        <v>4629837.48748099</v>
      </c>
      <c r="E16" s="43" t="n">
        <f aca="false">+SUM(B16:D16)</f>
        <v>-45830498.1037198</v>
      </c>
    </row>
    <row r="17" customFormat="false" ht="14.25" hidden="false" customHeight="false" outlineLevel="0" collapsed="false">
      <c r="A17" s="40" t="n">
        <f aca="false">+A16+1</f>
        <v>15</v>
      </c>
      <c r="B17" s="46" t="n">
        <f aca="false">+'Channel 1_calculations'!J20</f>
        <v>-59884980.4275859</v>
      </c>
      <c r="C17" s="31" t="n">
        <f aca="false">+'Channel 2_calculations'!J20</f>
        <v>9581954.13981612</v>
      </c>
      <c r="D17" s="31" t="n">
        <f aca="false">+'Channel 3_calculations'!J20</f>
        <v>5318573.6443808</v>
      </c>
      <c r="E17" s="43" t="n">
        <f aca="false">+SUM(B17:D17)</f>
        <v>-44984452.643389</v>
      </c>
    </row>
    <row r="18" customFormat="false" ht="14.25" hidden="false" customHeight="false" outlineLevel="0" collapsed="false">
      <c r="A18" s="40" t="n">
        <f aca="false">+A17+1</f>
        <v>16</v>
      </c>
      <c r="B18" s="46" t="n">
        <f aca="false">+'Channel 1_calculations'!J21</f>
        <v>-60461900.3202222</v>
      </c>
      <c r="C18" s="31" t="n">
        <f aca="false">+'Channel 2_calculations'!J21</f>
        <v>10864772.3820761</v>
      </c>
      <c r="D18" s="31" t="n">
        <f aca="false">+'Channel 3_calculations'!J21</f>
        <v>6054684.94102139</v>
      </c>
      <c r="E18" s="43" t="n">
        <f aca="false">+SUM(B18:D18)</f>
        <v>-43542442.9971247</v>
      </c>
    </row>
    <row r="19" customFormat="false" ht="14.25" hidden="false" customHeight="false" outlineLevel="0" collapsed="false">
      <c r="A19" s="40" t="n">
        <f aca="false">+A18+1</f>
        <v>17</v>
      </c>
      <c r="B19" s="46" t="n">
        <f aca="false">+'Channel 1_calculations'!J22</f>
        <v>-60572564.4083654</v>
      </c>
      <c r="C19" s="31" t="n">
        <f aca="false">+'Channel 2_calculations'!J22</f>
        <v>12223542.0757521</v>
      </c>
      <c r="D19" s="31" t="n">
        <f aca="false">+'Channel 3_calculations'!J22</f>
        <v>6838143.57771363</v>
      </c>
      <c r="E19" s="43" t="n">
        <f aca="false">+SUM(B19:D19)</f>
        <v>-41510878.7548997</v>
      </c>
    </row>
    <row r="20" customFormat="false" ht="14.25" hidden="false" customHeight="false" outlineLevel="0" collapsed="false">
      <c r="A20" s="40" t="n">
        <f aca="false">+A19+1</f>
        <v>18</v>
      </c>
      <c r="B20" s="46" t="n">
        <f aca="false">+'Channel 1_calculations'!J23</f>
        <v>-60222627.8909544</v>
      </c>
      <c r="C20" s="31" t="n">
        <f aca="false">+'Channel 2_calculations'!J23</f>
        <v>13657811.9442284</v>
      </c>
      <c r="D20" s="31" t="n">
        <f aca="false">+'Channel 3_calculations'!J23</f>
        <v>7668922.46190304</v>
      </c>
      <c r="E20" s="43" t="n">
        <f aca="false">+SUM(B20:D20)</f>
        <v>-38895893.484823</v>
      </c>
    </row>
    <row r="21" customFormat="false" ht="14.25" hidden="false" customHeight="false" outlineLevel="0" collapsed="false">
      <c r="A21" s="40" t="n">
        <f aca="false">+A20+1</f>
        <v>19</v>
      </c>
      <c r="B21" s="46" t="n">
        <f aca="false">+'Channel 1_calculations'!J24</f>
        <v>-59417509.3215193</v>
      </c>
      <c r="C21" s="31" t="n">
        <f aca="false">+'Channel 2_calculations'!J24</f>
        <v>15167144.5636255</v>
      </c>
      <c r="D21" s="31" t="n">
        <f aca="false">+'Channel 3_calculations'!J24</f>
        <v>8546994.97635872</v>
      </c>
      <c r="E21" s="43" t="n">
        <f aca="false">+SUM(B21:D21)</f>
        <v>-35703369.7815351</v>
      </c>
    </row>
    <row r="22" customFormat="false" ht="14.25" hidden="false" customHeight="false" outlineLevel="0" collapsed="false">
      <c r="A22" s="40" t="n">
        <f aca="false">+A21+1</f>
        <v>20</v>
      </c>
      <c r="B22" s="46" t="n">
        <f aca="false">+'Channel 1_calculations'!J25</f>
        <v>-58162410.5585601</v>
      </c>
      <c r="C22" s="31" t="n">
        <f aca="false">+'Channel 2_calculations'!J25</f>
        <v>16751115.6830677</v>
      </c>
      <c r="D22" s="31" t="n">
        <f aca="false">+'Channel 3_calculations'!J25</f>
        <v>9472335.20366219</v>
      </c>
      <c r="E22" s="43" t="n">
        <f aca="false">+SUM(B22:D22)</f>
        <v>-31938959.6718302</v>
      </c>
    </row>
    <row r="23" customFormat="false" ht="14.25" hidden="false" customHeight="false" outlineLevel="0" collapsed="false">
      <c r="A23" s="40" t="n">
        <f aca="false">+A22+1</f>
        <v>21</v>
      </c>
      <c r="B23" s="46" t="n">
        <f aca="false">+'Channel 1_calculations'!J26</f>
        <v>-56462333.2333322</v>
      </c>
      <c r="C23" s="31" t="n">
        <f aca="false">+'Channel 2_calculations'!J26</f>
        <v>18409313.6454776</v>
      </c>
      <c r="D23" s="31" t="n">
        <f aca="false">+'Channel 3_calculations'!J26</f>
        <v>10444917.6961991</v>
      </c>
      <c r="E23" s="43" t="n">
        <f aca="false">+SUM(B23:D23)</f>
        <v>-27608101.8916555</v>
      </c>
    </row>
    <row r="24" customFormat="false" ht="14.25" hidden="false" customHeight="false" outlineLevel="0" collapsed="false">
      <c r="A24" s="40" t="n">
        <f aca="false">+A23+1</f>
        <v>22</v>
      </c>
      <c r="B24" s="46" t="n">
        <f aca="false">+'Channel 1_calculations'!J27</f>
        <v>-54322092.2122889</v>
      </c>
      <c r="C24" s="31" t="n">
        <f aca="false">+'Channel 2_calculations'!J27</f>
        <v>20141338.900934</v>
      </c>
      <c r="D24" s="31" t="n">
        <f aca="false">+'Channel 3_calculations'!J27</f>
        <v>11464717.7007117</v>
      </c>
      <c r="E24" s="43" t="n">
        <f aca="false">+SUM(B24:D24)</f>
        <v>-22716035.6106432</v>
      </c>
    </row>
    <row r="25" customFormat="false" ht="14.25" hidden="false" customHeight="false" outlineLevel="0" collapsed="false">
      <c r="A25" s="40" t="n">
        <f aca="false">+A24+1</f>
        <v>23</v>
      </c>
      <c r="B25" s="46" t="n">
        <f aca="false">+'Channel 1_calculations'!J28</f>
        <v>-51746326.4349281</v>
      </c>
      <c r="C25" s="31" t="n">
        <f aca="false">+'Channel 2_calculations'!J28</f>
        <v>21946803.6059648</v>
      </c>
      <c r="D25" s="31" t="n">
        <f aca="false">+'Channel 3_calculations'!J28</f>
        <v>12531710.9298484</v>
      </c>
      <c r="E25" s="43" t="n">
        <f aca="false">+SUM(B25:D25)</f>
        <v>-17267811.899115</v>
      </c>
    </row>
    <row r="26" customFormat="false" ht="14.25" hidden="false" customHeight="false" outlineLevel="0" collapsed="false">
      <c r="A26" s="40" t="n">
        <f aca="false">+A25+1</f>
        <v>24</v>
      </c>
      <c r="B26" s="46" t="n">
        <f aca="false">+'Channel 1_calculations'!J29</f>
        <v>-48739391.1488131</v>
      </c>
      <c r="C26" s="31" t="n">
        <f aca="false">+'Channel 2_calculations'!J29</f>
        <v>23825340.5633222</v>
      </c>
      <c r="D26" s="31" t="n">
        <f aca="false">+'Channel 3_calculations'!J29</f>
        <v>13645873.7869967</v>
      </c>
      <c r="E26" s="43" t="n">
        <f aca="false">+SUM(B26:D26)</f>
        <v>-11268176.7984942</v>
      </c>
    </row>
    <row r="27" customFormat="false" ht="14.25" hidden="false" customHeight="false" outlineLevel="0" collapsed="false">
      <c r="A27" s="40" t="n">
        <f aca="false">+A26+1</f>
        <v>25</v>
      </c>
      <c r="B27" s="46" t="n">
        <f aca="false">+'Channel 1_calculations'!J30</f>
        <v>-45575032.9765423</v>
      </c>
      <c r="C27" s="31" t="n">
        <f aca="false">+'Channel 2_calculations'!J30</f>
        <v>25933710.2246775</v>
      </c>
      <c r="D27" s="31" t="n">
        <f aca="false">+'Channel 3_calculations'!J30</f>
        <v>14867795.4861726</v>
      </c>
      <c r="E27" s="43" t="n">
        <f aca="false">+SUM(B27:D27)</f>
        <v>-4773527.26569228</v>
      </c>
    </row>
    <row r="28" customFormat="false" ht="14.25" hidden="false" customHeight="false" outlineLevel="0" collapsed="false">
      <c r="A28" s="40" t="n">
        <f aca="false">+A27+1</f>
        <v>26</v>
      </c>
      <c r="B28" s="46" t="n">
        <f aca="false">+'Channel 1_calculations'!J31</f>
        <v>-41929097.9493025</v>
      </c>
      <c r="C28" s="31" t="n">
        <f aca="false">+'Channel 2_calculations'!J31</f>
        <v>28125130.8245252</v>
      </c>
      <c r="D28" s="31" t="n">
        <f aca="false">+'Channel 3_calculations'!J31</f>
        <v>16141730.3960768</v>
      </c>
      <c r="E28" s="43" t="n">
        <f aca="false">+SUM(B28:D28)</f>
        <v>2337763.2712995</v>
      </c>
    </row>
    <row r="29" customFormat="false" ht="14.25" hidden="false" customHeight="false" outlineLevel="0" collapsed="false">
      <c r="A29" s="40" t="n">
        <f aca="false">+A28+1</f>
        <v>27</v>
      </c>
      <c r="B29" s="46" t="n">
        <f aca="false">+'Channel 1_calculations'!J32</f>
        <v>-37809051.9066796</v>
      </c>
      <c r="C29" s="31" t="n">
        <f aca="false">+'Channel 2_calculations'!J32</f>
        <v>30399009.2775</v>
      </c>
      <c r="D29" s="31" t="n">
        <f aca="false">+'Channel 3_calculations'!J32</f>
        <v>17467644.1458677</v>
      </c>
      <c r="E29" s="43" t="n">
        <f aca="false">+SUM(B29:D29)</f>
        <v>10057601.5166881</v>
      </c>
    </row>
    <row r="30" customFormat="false" ht="14.25" hidden="false" customHeight="false" outlineLevel="0" collapsed="false">
      <c r="A30" s="40" t="n">
        <f aca="false">+A29+1</f>
        <v>28</v>
      </c>
      <c r="B30" s="46" t="n">
        <f aca="false">+'Channel 1_calculations'!J33</f>
        <v>-33221203.2865549</v>
      </c>
      <c r="C30" s="31" t="n">
        <f aca="false">+'Channel 2_calculations'!J33</f>
        <v>32754823.5474067</v>
      </c>
      <c r="D30" s="31" t="n">
        <f aca="false">+'Channel 3_calculations'!J33</f>
        <v>18845505.6961545</v>
      </c>
      <c r="E30" s="43" t="n">
        <f aca="false">+SUM(B30:D30)</f>
        <v>18379125.9570063</v>
      </c>
    </row>
    <row r="31" customFormat="false" ht="14.25" hidden="false" customHeight="false" outlineLevel="0" collapsed="false">
      <c r="A31" s="40" t="n">
        <f aca="false">+A30+1</f>
        <v>29</v>
      </c>
      <c r="B31" s="46" t="n">
        <f aca="false">+'Channel 1_calculations'!J34</f>
        <v>-28171546.6699941</v>
      </c>
      <c r="C31" s="31" t="n">
        <f aca="false">+'Channel 2_calculations'!J34</f>
        <v>35192069.0850372</v>
      </c>
      <c r="D31" s="31" t="n">
        <f aca="false">+'Channel 3_calculations'!J34</f>
        <v>20275284.5394253</v>
      </c>
      <c r="E31" s="43" t="n">
        <f aca="false">+SUM(B31:D31)</f>
        <v>27295806.9544684</v>
      </c>
    </row>
    <row r="32" customFormat="false" ht="14.25" hidden="false" customHeight="false" outlineLevel="0" collapsed="false">
      <c r="A32" s="40" t="n">
        <f aca="false">+A31+1</f>
        <v>30</v>
      </c>
      <c r="B32" s="46" t="n">
        <f aca="false">+'Channel 1_calculations'!J35</f>
        <v>-22665794.5235471</v>
      </c>
      <c r="C32" s="31" t="n">
        <f aca="false">+'Channel 2_calculations'!J35</f>
        <v>37710257.7979785</v>
      </c>
      <c r="D32" s="31" t="n">
        <f aca="false">+'Channel 3_calculations'!J35</f>
        <v>21756950.9477136</v>
      </c>
      <c r="E32" s="43" t="n">
        <f aca="false">+SUM(B32:D32)</f>
        <v>36801414.222145</v>
      </c>
    </row>
    <row r="33" customFormat="false" ht="14.25" hidden="false" customHeight="false" outlineLevel="0" collapsed="false">
      <c r="A33" s="40" t="n">
        <f aca="false">+A32+1</f>
        <v>31</v>
      </c>
      <c r="B33" s="46" t="n">
        <f aca="false">+'Channel 1_calculations'!J36</f>
        <v>-16709403.6361037</v>
      </c>
      <c r="C33" s="31" t="n">
        <f aca="false">+'Channel 2_calculations'!J36</f>
        <v>40308917.1574864</v>
      </c>
      <c r="D33" s="31" t="n">
        <f aca="false">+'Channel 3_calculations'!J36</f>
        <v>23290475.7170262</v>
      </c>
      <c r="E33" s="43" t="n">
        <f aca="false">+SUM(B33:D33)</f>
        <v>46889989.2384089</v>
      </c>
    </row>
    <row r="34" customFormat="false" ht="14.25" hidden="false" customHeight="false" outlineLevel="0" collapsed="false">
      <c r="A34" s="40" t="n">
        <f aca="false">+A33+1</f>
        <v>32</v>
      </c>
      <c r="B34" s="46" t="n">
        <f aca="false">+'Channel 1_calculations'!J37</f>
        <v>-10307597.0619462</v>
      </c>
      <c r="C34" s="31" t="n">
        <f aca="false">+'Channel 2_calculations'!J37</f>
        <v>42987589.4298192</v>
      </c>
      <c r="D34" s="31" t="n">
        <f aca="false">+'Channel 3_calculations'!J37</f>
        <v>24875830.4148424</v>
      </c>
      <c r="E34" s="43" t="n">
        <f aca="false">+SUM(B34:D34)</f>
        <v>57555822.7827154</v>
      </c>
    </row>
    <row r="35" customFormat="false" ht="14.25" hidden="false" customHeight="false" outlineLevel="0" collapsed="false">
      <c r="A35" s="40" t="n">
        <f aca="false">+A34+1</f>
        <v>33</v>
      </c>
      <c r="B35" s="46" t="n">
        <f aca="false">+'Channel 1_calculations'!J38</f>
        <v>-3465382.2247675</v>
      </c>
      <c r="C35" s="31" t="n">
        <f aca="false">+'Channel 2_calculations'!J38</f>
        <v>45745831.0213329</v>
      </c>
      <c r="D35" s="31" t="n">
        <f aca="false">+'Channel 3_calculations'!J38</f>
        <v>26512987.1265299</v>
      </c>
      <c r="E35" s="43" t="n">
        <f aca="false">+SUM(B35:D35)</f>
        <v>68793435.9230953</v>
      </c>
    </row>
    <row r="36" customFormat="false" ht="14.25" hidden="false" customHeight="false" outlineLevel="0" collapsed="false">
      <c r="A36" s="40" t="n">
        <f aca="false">+A35+1</f>
        <v>34</v>
      </c>
      <c r="B36" s="46" t="n">
        <f aca="false">+'Channel 1_calculations'!J39</f>
        <v>3812434.29118655</v>
      </c>
      <c r="C36" s="31" t="n">
        <f aca="false">+'Channel 2_calculations'!J39</f>
        <v>48583211.9283239</v>
      </c>
      <c r="D36" s="31" t="n">
        <f aca="false">+'Channel 3_calculations'!J39</f>
        <v>28201918.7029138</v>
      </c>
      <c r="E36" s="43" t="n">
        <f aca="false">+SUM(B36:D36)</f>
        <v>80597564.9224242</v>
      </c>
    </row>
    <row r="37" customFormat="false" ht="14.25" hidden="false" customHeight="false" outlineLevel="0" collapsed="false">
      <c r="A37" s="40" t="n">
        <f aca="false">+A36+1</f>
        <v>35</v>
      </c>
      <c r="B37" s="46" t="n">
        <f aca="false">+'Channel 1_calculations'!J40</f>
        <v>11521234.843078</v>
      </c>
      <c r="C37" s="31" t="n">
        <f aca="false">+'Channel 2_calculations'!J40</f>
        <v>51499315.2841188</v>
      </c>
      <c r="D37" s="31" t="n">
        <f aca="false">+'Channel 3_calculations'!J40</f>
        <v>29942598.50841</v>
      </c>
      <c r="E37" s="43" t="n">
        <f aca="false">+SUM(B37:D37)</f>
        <v>92963148.6356069</v>
      </c>
    </row>
    <row r="38" customFormat="false" ht="14.25" hidden="false" customHeight="false" outlineLevel="0" collapsed="false">
      <c r="A38" s="40" t="n">
        <f aca="false">+A37+1</f>
        <v>36</v>
      </c>
      <c r="B38" s="46" t="n">
        <f aca="false">+'Channel 1_calculations'!J41</f>
        <v>19656709.5905476</v>
      </c>
      <c r="C38" s="31" t="n">
        <f aca="false">+'Channel 2_calculations'!J41</f>
        <v>54493747.4764737</v>
      </c>
      <c r="D38" s="31" t="n">
        <f aca="false">+'Channel 3_calculations'!J41</f>
        <v>31735000.6689039</v>
      </c>
      <c r="E38" s="43" t="n">
        <f aca="false">+SUM(B38:D38)</f>
        <v>105885457.735925</v>
      </c>
    </row>
    <row r="39" customFormat="false" ht="14.25" hidden="false" customHeight="false" outlineLevel="0" collapsed="false">
      <c r="A39" s="40" t="n">
        <f aca="false">+A38+1</f>
        <v>37</v>
      </c>
      <c r="B39" s="46" t="n">
        <f aca="false">+'Channel 1_calculations'!J42</f>
        <v>28156146.0494877</v>
      </c>
      <c r="C39" s="31" t="n">
        <f aca="false">+'Channel 2_calculations'!J42</f>
        <v>57804977.2737181</v>
      </c>
      <c r="D39" s="31" t="n">
        <f aca="false">+'Channel 3_calculations'!J42</f>
        <v>33674112.713512</v>
      </c>
      <c r="E39" s="43" t="n">
        <f aca="false">+SUM(B39:D39)</f>
        <v>119635236.036718</v>
      </c>
    </row>
    <row r="40" customFormat="false" ht="14.25" hidden="false" customHeight="false" outlineLevel="0" collapsed="false">
      <c r="A40" s="40" t="n">
        <f aca="false">+A39+1</f>
        <v>38</v>
      </c>
      <c r="B40" s="46" t="n">
        <f aca="false">+'Channel 1_calculations'!J43</f>
        <v>37136413.6752911</v>
      </c>
      <c r="C40" s="31" t="n">
        <f aca="false">+'Channel 2_calculations'!J43</f>
        <v>61205369.7639105</v>
      </c>
      <c r="D40" s="31" t="n">
        <f aca="false">+'Channel 3_calculations'!J43</f>
        <v>35670273.3512625</v>
      </c>
      <c r="E40" s="43" t="n">
        <f aca="false">+SUM(B40:D40)</f>
        <v>134012056.790464</v>
      </c>
    </row>
    <row r="41" customFormat="false" ht="14.25" hidden="false" customHeight="false" outlineLevel="0" collapsed="false">
      <c r="A41" s="40" t="n">
        <f aca="false">+A40+1</f>
        <v>39</v>
      </c>
      <c r="B41" s="46" t="n">
        <f aca="false">+'Channel 1_calculations'!J44</f>
        <v>46589782.4529716</v>
      </c>
      <c r="C41" s="31" t="n">
        <f aca="false">+'Channel 2_calculations'!J44</f>
        <v>64694278.2628414</v>
      </c>
      <c r="D41" s="31" t="n">
        <f aca="false">+'Channel 3_calculations'!J44</f>
        <v>37723444.8362883</v>
      </c>
      <c r="E41" s="43" t="n">
        <f aca="false">+SUM(B41:D41)</f>
        <v>149007505.552101</v>
      </c>
    </row>
    <row r="42" customFormat="false" ht="14.25" hidden="false" customHeight="false" outlineLevel="0" collapsed="false">
      <c r="A42" s="40" t="n">
        <f aca="false">+A41+1</f>
        <v>40</v>
      </c>
      <c r="B42" s="46" t="n">
        <f aca="false">+'Channel 1_calculations'!J45</f>
        <v>56509793.392191</v>
      </c>
      <c r="C42" s="31" t="n">
        <f aca="false">+'Channel 2_calculations'!J45</f>
        <v>68271136.2245217</v>
      </c>
      <c r="D42" s="31" t="n">
        <f aca="false">+'Channel 3_calculations'!J45</f>
        <v>39833593.0955728</v>
      </c>
      <c r="E42" s="43" t="n">
        <f aca="false">+SUM(B42:D42)</f>
        <v>164614522.712285</v>
      </c>
    </row>
    <row r="43" customFormat="false" ht="14.25" hidden="false" customHeight="false" outlineLevel="0" collapsed="false">
      <c r="A43" s="40" t="n">
        <f aca="false">+A42+1</f>
        <v>41</v>
      </c>
      <c r="B43" s="46" t="n">
        <f aca="false">+'Channel 1_calculations'!J46</f>
        <v>66890328.5691258</v>
      </c>
      <c r="C43" s="31" t="n">
        <f aca="false">+'Channel 2_calculations'!J46</f>
        <v>71935396.7399647</v>
      </c>
      <c r="D43" s="31" t="n">
        <f aca="false">+'Channel 3_calculations'!J46</f>
        <v>42000684.6424222</v>
      </c>
      <c r="E43" s="43" t="n">
        <f aca="false">+SUM(B43:D43)</f>
        <v>180826409.951513</v>
      </c>
    </row>
    <row r="44" customFormat="false" ht="14.25" hidden="false" customHeight="false" outlineLevel="0" collapsed="false">
      <c r="A44" s="40" t="n">
        <f aca="false">+A43+1</f>
        <v>42</v>
      </c>
      <c r="B44" s="46" t="n">
        <f aca="false">+'Channel 1_calculations'!J47</f>
        <v>77725576.1801884</v>
      </c>
      <c r="C44" s="31" t="n">
        <f aca="false">+'Channel 2_calculations'!J47</f>
        <v>75686531.3740996</v>
      </c>
      <c r="D44" s="31" t="n">
        <f aca="false">+'Channel 3_calculations'!J47</f>
        <v>44224686.8495173</v>
      </c>
      <c r="E44" s="43" t="n">
        <f aca="false">+SUM(B44:D44)</f>
        <v>197636794.403805</v>
      </c>
    </row>
    <row r="45" customFormat="false" ht="14.25" hidden="false" customHeight="false" outlineLevel="0" collapsed="false">
      <c r="A45" s="40" t="n">
        <f aca="false">+A44+1</f>
        <v>43</v>
      </c>
      <c r="B45" s="46" t="n">
        <f aca="false">+'Channel 1_calculations'!J48</f>
        <v>89010001.4445036</v>
      </c>
      <c r="C45" s="31" t="n">
        <f aca="false">+'Channel 2_calculations'!J48</f>
        <v>79524029.1575041</v>
      </c>
      <c r="D45" s="31" t="n">
        <f aca="false">+'Channel 3_calculations'!J48</f>
        <v>46505567.6671457</v>
      </c>
      <c r="E45" s="43" t="n">
        <f aca="false">+SUM(B45:D45)</f>
        <v>215039598.269153</v>
      </c>
    </row>
    <row r="46" customFormat="false" ht="14.25" hidden="false" customHeight="false" outlineLevel="0" collapsed="false">
      <c r="A46" s="40" t="n">
        <f aca="false">+A45+1</f>
        <v>44</v>
      </c>
      <c r="B46" s="46" t="n">
        <f aca="false">+'Channel 1_calculations'!J49</f>
        <v>100738322.460312</v>
      </c>
      <c r="C46" s="31" t="n">
        <f aca="false">+'Channel 2_calculations'!J49</f>
        <v>83447395.7187215</v>
      </c>
      <c r="D46" s="31" t="n">
        <f aca="false">+'Channel 3_calculations'!J49</f>
        <v>48843295.8960696</v>
      </c>
      <c r="E46" s="43" t="n">
        <f aca="false">+SUM(B46:D46)</f>
        <v>233029014.075103</v>
      </c>
    </row>
    <row r="47" customFormat="false" ht="14.25" hidden="false" customHeight="false" outlineLevel="0" collapsed="false">
      <c r="A47" s="40" t="n">
        <f aca="false">+A46+1</f>
        <v>45</v>
      </c>
      <c r="B47" s="46" t="n">
        <f aca="false">+'Channel 1_calculations'!J50</f>
        <v>112905490.293423</v>
      </c>
      <c r="C47" s="31" t="n">
        <f aca="false">+'Channel 2_calculations'!J50</f>
        <v>87456152.5450746</v>
      </c>
      <c r="D47" s="31" t="n">
        <f aca="false">+'Channel 3_calculations'!J50</f>
        <v>51237840.9079493</v>
      </c>
      <c r="E47" s="43" t="n">
        <f aca="false">+SUM(B47:D47)</f>
        <v>251599483.746447</v>
      </c>
    </row>
    <row r="48" customFormat="false" ht="14.25" hidden="false" customHeight="false" outlineLevel="0" collapsed="false">
      <c r="A48" s="40" t="n">
        <f aca="false">+A47+1</f>
        <v>46</v>
      </c>
      <c r="B48" s="46" t="n">
        <f aca="false">+'Channel 1_calculations'!J51</f>
        <v>125506672.717633</v>
      </c>
      <c r="C48" s="31" t="n">
        <f aca="false">+'Channel 2_calculations'!J51</f>
        <v>91549836.3617954</v>
      </c>
      <c r="D48" s="31" t="n">
        <f aca="false">+'Channel 3_calculations'!J51</f>
        <v>53689172.9182881</v>
      </c>
      <c r="E48" s="43" t="n">
        <f aca="false">+SUM(B48:D48)</f>
        <v>270745681.997716</v>
      </c>
    </row>
    <row r="49" customFormat="false" ht="14.25" hidden="false" customHeight="false" outlineLevel="0" collapsed="false">
      <c r="A49" s="40" t="n">
        <f aca="false">+A48+1</f>
        <v>47</v>
      </c>
      <c r="B49" s="46" t="n">
        <f aca="false">+'Channel 1_calculations'!J52</f>
        <v>138537241.14431</v>
      </c>
      <c r="C49" s="31" t="n">
        <f aca="false">+'Channel 2_calculations'!J52</f>
        <v>95727998.6209992</v>
      </c>
      <c r="D49" s="31" t="n">
        <f aca="false">+'Channel 3_calculations'!J52</f>
        <v>56197262.7087496</v>
      </c>
      <c r="E49" s="43" t="n">
        <f aca="false">+SUM(B49:D49)</f>
        <v>290462502.474059</v>
      </c>
    </row>
    <row r="50" customFormat="false" ht="14.25" hidden="false" customHeight="false" outlineLevel="0" collapsed="false">
      <c r="A50" s="40" t="n">
        <f aca="false">+A49+1</f>
        <v>48</v>
      </c>
      <c r="B50" s="46" t="n">
        <f aca="false">+'Channel 1_calculations'!J53</f>
        <v>151992901.71343</v>
      </c>
      <c r="C50" s="31" t="n">
        <f aca="false">+'Channel 2_calculations'!J53</f>
        <v>99990216.9304736</v>
      </c>
      <c r="D50" s="31" t="n">
        <f aca="false">+'Channel 3_calculations'!J53</f>
        <v>58762081.9004436</v>
      </c>
      <c r="E50" s="43" t="n">
        <f aca="false">+SUM(B50:D50)</f>
        <v>310745200.544347</v>
      </c>
    </row>
    <row r="51" customFormat="false" ht="14.25" hidden="false" customHeight="false" outlineLevel="0" collapsed="false">
      <c r="A51" s="40" t="n">
        <f aca="false">+A50+1</f>
        <v>49</v>
      </c>
      <c r="B51" s="46" t="n">
        <f aca="false">+'Channel 1_calculations'!J54</f>
        <v>166027038.906017</v>
      </c>
      <c r="C51" s="31" t="n">
        <f aca="false">+'Channel 2_calculations'!J54</f>
        <v>104664311.362642</v>
      </c>
      <c r="D51" s="31" t="n">
        <f aca="false">+'Channel 3_calculations'!J54</f>
        <v>61517774.4645609</v>
      </c>
      <c r="E51" s="43" t="n">
        <f aca="false">+SUM(B51:D51)</f>
        <v>332209124.73322</v>
      </c>
    </row>
    <row r="52" customFormat="false" ht="14.25" hidden="false" customHeight="false" outlineLevel="0" collapsed="false">
      <c r="A52" s="40" t="n">
        <f aca="false">+A51+1</f>
        <v>50</v>
      </c>
      <c r="B52" s="46" t="n">
        <f aca="false">+'Channel 1_calculations'!J55</f>
        <v>180544657.375105</v>
      </c>
      <c r="C52" s="31" t="n">
        <f aca="false">+'Channel 2_calculations'!J55</f>
        <v>109434249.780094</v>
      </c>
      <c r="D52" s="31" t="n">
        <f aca="false">+'Channel 3_calculations'!J55</f>
        <v>64336054.1918502</v>
      </c>
      <c r="E52" s="43" t="n">
        <f aca="false">+SUM(B52:D52)</f>
        <v>354314961.347049</v>
      </c>
    </row>
    <row r="53" customFormat="false" ht="14.25" hidden="false" customHeight="false" outlineLevel="0" collapsed="false">
      <c r="A53" s="40" t="n">
        <f aca="false">+A52+1</f>
        <v>51</v>
      </c>
      <c r="B53" s="46" t="n">
        <f aca="false">+'Channel 1_calculations'!J56</f>
        <v>195537701.130021</v>
      </c>
      <c r="C53" s="31" t="n">
        <f aca="false">+'Channel 2_calculations'!J56</f>
        <v>114299326.449858</v>
      </c>
      <c r="D53" s="31" t="n">
        <f aca="false">+'Channel 3_calculations'!J56</f>
        <v>67216879.6219484</v>
      </c>
      <c r="E53" s="43" t="n">
        <f aca="false">+SUM(B53:D53)</f>
        <v>377053907.201828</v>
      </c>
    </row>
    <row r="54" customFormat="false" ht="14.25" hidden="false" customHeight="false" outlineLevel="0" collapsed="false">
      <c r="A54" s="40" t="n">
        <f aca="false">+A53+1</f>
        <v>52</v>
      </c>
      <c r="B54" s="46" t="n">
        <f aca="false">+'Channel 1_calculations'!J57</f>
        <v>210999510.821259</v>
      </c>
      <c r="C54" s="31" t="n">
        <f aca="false">+'Channel 2_calculations'!J57</f>
        <v>119258925.889765</v>
      </c>
      <c r="D54" s="31" t="n">
        <f aca="false">+'Channel 3_calculations'!J57</f>
        <v>70160213.3437329</v>
      </c>
      <c r="E54" s="43" t="n">
        <f aca="false">+SUM(B54:D54)</f>
        <v>400418650.054757</v>
      </c>
    </row>
    <row r="55" customFormat="false" ht="14.25" hidden="false" customHeight="false" outlineLevel="0" collapsed="false">
      <c r="A55" s="40" t="n">
        <f aca="false">+A54+1</f>
        <v>53</v>
      </c>
      <c r="B55" s="46" t="n">
        <f aca="false">+'Channel 1_calculations'!J58</f>
        <v>226923798.50827</v>
      </c>
      <c r="C55" s="31" t="n">
        <f aca="false">+'Channel 2_calculations'!J58</f>
        <v>124312454.64449</v>
      </c>
      <c r="D55" s="31" t="n">
        <f aca="false">+'Channel 3_calculations'!J58</f>
        <v>73166018.5924247</v>
      </c>
      <c r="E55" s="43" t="n">
        <f aca="false">+SUM(B55:D55)</f>
        <v>424402271.745185</v>
      </c>
    </row>
    <row r="56" customFormat="false" ht="14.25" hidden="false" customHeight="false" outlineLevel="0" collapsed="false">
      <c r="A56" s="40" t="n">
        <f aca="false">+A55+1</f>
        <v>54</v>
      </c>
      <c r="B56" s="46" t="n">
        <f aca="false">+'Channel 1_calculations'!J59</f>
        <v>243304609.177363</v>
      </c>
      <c r="C56" s="31" t="n">
        <f aca="false">+'Channel 2_calculations'!J59</f>
        <v>129459339.974576</v>
      </c>
      <c r="D56" s="31" t="n">
        <f aca="false">+'Channel 3_calculations'!J59</f>
        <v>76234259.5506283</v>
      </c>
      <c r="E56" s="43" t="n">
        <f aca="false">+SUM(B56:D56)</f>
        <v>448998208.702567</v>
      </c>
    </row>
    <row r="57" customFormat="false" ht="14.25" hidden="false" customHeight="false" outlineLevel="0" collapsed="false">
      <c r="A57" s="40" t="n">
        <f aca="false">+A56+1</f>
        <v>55</v>
      </c>
      <c r="B57" s="46" t="n">
        <f aca="false">+'Channel 1_calculations'!J60</f>
        <v>260136288.707388</v>
      </c>
      <c r="C57" s="31" t="n">
        <f aca="false">+'Channel 2_calculations'!J60</f>
        <v>134699028.720038</v>
      </c>
      <c r="D57" s="31" t="n">
        <f aca="false">+'Channel 3_calculations'!J60</f>
        <v>79364901.0376824</v>
      </c>
      <c r="E57" s="43" t="n">
        <f aca="false">+SUM(B57:D57)</f>
        <v>474200218.465109</v>
      </c>
    </row>
    <row r="58" customFormat="false" ht="14.25" hidden="false" customHeight="false" outlineLevel="0" collapsed="false">
      <c r="A58" s="40" t="n">
        <f aca="false">+A57+1</f>
        <v>56</v>
      </c>
      <c r="B58" s="46" t="n">
        <f aca="false">+'Channel 1_calculations'!J61</f>
        <v>277413457.296673</v>
      </c>
      <c r="C58" s="31" t="n">
        <f aca="false">+'Channel 2_calculations'!J61</f>
        <v>140030986.322496</v>
      </c>
      <c r="D58" s="31" t="n">
        <f aca="false">+'Channel 3_calculations'!J61</f>
        <v>82557908.8104971</v>
      </c>
      <c r="E58" s="43" t="n">
        <f aca="false">+SUM(B58:D58)</f>
        <v>500002352.429666</v>
      </c>
    </row>
    <row r="59" customFormat="false" ht="14.25" hidden="false" customHeight="false" outlineLevel="0" collapsed="false">
      <c r="A59" s="40" t="n">
        <f aca="false">+A58+1</f>
        <v>57</v>
      </c>
      <c r="B59" s="46" t="n">
        <f aca="false">+'Channel 1_calculations'!J62</f>
        <v>295130987.555341</v>
      </c>
      <c r="C59" s="31" t="n">
        <f aca="false">+'Channel 2_calculations'!J62</f>
        <v>145454695.992197</v>
      </c>
      <c r="D59" s="31" t="n">
        <f aca="false">+'Channel 3_calculations'!J62</f>
        <v>85813249.2553202</v>
      </c>
      <c r="E59" s="43" t="n">
        <f aca="false">+SUM(B59:D59)</f>
        <v>526398932.802858</v>
      </c>
    </row>
    <row r="60" customFormat="false" ht="14.25" hidden="false" customHeight="false" outlineLevel="0" collapsed="false">
      <c r="A60" s="40" t="n">
        <f aca="false">+A59+1</f>
        <v>58</v>
      </c>
      <c r="B60" s="46" t="n">
        <f aca="false">+'Channel 1_calculations'!J63</f>
        <v>313283986.623468</v>
      </c>
      <c r="C60" s="31" t="n">
        <f aca="false">+'Channel 2_calculations'!J63</f>
        <v>150969658.008469</v>
      </c>
      <c r="D60" s="31" t="n">
        <f aca="false">+'Channel 3_calculations'!J63</f>
        <v>89130889.68866</v>
      </c>
      <c r="E60" s="43" t="n">
        <f aca="false">+SUM(B60:D60)</f>
        <v>553384534.320597</v>
      </c>
    </row>
    <row r="61" customFormat="false" ht="14.25" hidden="false" customHeight="false" outlineLevel="0" collapsed="false">
      <c r="A61" s="40" t="n">
        <f aca="false">+A60+1</f>
        <v>59</v>
      </c>
      <c r="B61" s="46" t="n">
        <f aca="false">+'Channel 1_calculations'!J64</f>
        <v>331867781.804861</v>
      </c>
      <c r="C61" s="31" t="n">
        <f aca="false">+'Channel 2_calculations'!J64</f>
        <v>156575389.144023</v>
      </c>
      <c r="D61" s="31" t="n">
        <f aca="false">+'Channel 3_calculations'!J64</f>
        <v>92510798.0511389</v>
      </c>
      <c r="E61" s="43" t="n">
        <f aca="false">+SUM(B61:D61)</f>
        <v>580953969.000023</v>
      </c>
    </row>
    <row r="62" customFormat="false" ht="14.25" hidden="false" customHeight="false" outlineLevel="0" collapsed="false">
      <c r="A62" s="40" t="n">
        <f aca="false">+A61+1</f>
        <v>60</v>
      </c>
      <c r="B62" s="48" t="n">
        <f aca="false">+'Channel 1_calculations'!J65</f>
        <v>350878065.138388</v>
      </c>
      <c r="C62" s="49" t="n">
        <f aca="false">+'Channel 2_calculations'!J65</f>
        <v>162271435.553262</v>
      </c>
      <c r="D62" s="49" t="n">
        <f aca="false">+'Channel 3_calculations'!J65</f>
        <v>95952943.2087925</v>
      </c>
      <c r="E62" s="50" t="n">
        <f aca="false">+SUM(B62:D62)</f>
        <v>609102443.900442</v>
      </c>
    </row>
  </sheetData>
  <mergeCells count="2">
    <mergeCell ref="A1:E1"/>
    <mergeCell ref="Q1:U1"/>
  </mergeCells>
  <conditionalFormatting sqref="W7">
    <cfRule type="cellIs" priority="2" operator="lessThan" aboveAverage="0" equalAverage="0" bottom="0" percent="0" rank="0" text="" dxfId="4">
      <formula>0</formula>
    </cfRule>
  </conditionalFormatting>
  <conditionalFormatting sqref="V3:V7">
    <cfRule type="cellIs" priority="3" operator="lessThan" aboveAverage="0" equalAverage="0" bottom="0" percent="0" rank="0" text="" dxfId="5">
      <formula>0</formula>
    </cfRule>
  </conditionalFormatting>
  <conditionalFormatting sqref="Q2:W2">
    <cfRule type="cellIs" priority="4" operator="lessThan" aboveAverage="0" equalAverage="0" bottom="0" percent="0" rank="0" text="" dxfId="6">
      <formula>0</formula>
    </cfRule>
  </conditionalFormatting>
  <conditionalFormatting sqref="Q1:Q7">
    <cfRule type="cellIs" priority="5" operator="lessThan" aboveAverage="0" equalAverage="0" bottom="0" percent="0" rank="0" text="" dxfId="7">
      <formula>0</formula>
    </cfRule>
  </conditionalFormatting>
  <conditionalFormatting sqref="A1:A62">
    <cfRule type="cellIs" priority="6" operator="lessThan" aboveAverage="0" equalAverage="0" bottom="0" percent="0" rank="0" text="" dxfId="8">
      <formula>0</formula>
    </cfRule>
  </conditionalFormatting>
  <conditionalFormatting sqref="A2:E2">
    <cfRule type="cellIs" priority="7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2" min="2" style="17" width="16.44"/>
    <col collapsed="false" customWidth="true" hidden="false" outlineLevel="0" max="3" min="3" style="17" width="11.33"/>
    <col collapsed="false" customWidth="true" hidden="false" outlineLevel="0" max="4" min="4" style="51" width="13.66"/>
    <col collapsed="false" customWidth="true" hidden="false" outlineLevel="0" max="5" min="5" style="17" width="15.33"/>
    <col collapsed="false" customWidth="true" hidden="false" outlineLevel="0" max="6" min="6" style="17" width="17"/>
    <col collapsed="false" customWidth="true" hidden="false" outlineLevel="0" max="7" min="7" style="17" width="18.44"/>
    <col collapsed="false" customWidth="true" hidden="false" outlineLevel="0" max="8" min="8" style="17" width="25.44"/>
    <col collapsed="false" customWidth="true" hidden="false" outlineLevel="0" max="9" min="9" style="17" width="16.33"/>
    <col collapsed="false" customWidth="true" hidden="false" outlineLevel="0" max="10" min="10" style="17" width="27.55"/>
    <col collapsed="false" customWidth="false" hidden="false" outlineLevel="0" max="11" min="11" style="17" width="9.11"/>
    <col collapsed="false" customWidth="true" hidden="false" outlineLevel="0" max="12" min="12" style="17" width="39.66"/>
    <col collapsed="false" customWidth="false" hidden="false" outlineLevel="0" max="16384" min="13" style="17" width="9.11"/>
  </cols>
  <sheetData>
    <row r="1" customFormat="false" ht="14.25" hidden="false" customHeight="false" outlineLevel="0" collapsed="false">
      <c r="B1" s="3" t="s">
        <v>93</v>
      </c>
      <c r="C1" s="52" t="n">
        <f aca="false">+'Inputs &amp; Assuptions'!$B$2</f>
        <v>600</v>
      </c>
      <c r="E1" s="3" t="s">
        <v>94</v>
      </c>
      <c r="F1" s="52" t="n">
        <v>4</v>
      </c>
      <c r="H1" s="16"/>
      <c r="J1" s="16"/>
    </row>
    <row r="2" customFormat="false" ht="14.25" hidden="false" customHeight="false" outlineLevel="0" collapsed="false">
      <c r="B2" s="3" t="s">
        <v>95</v>
      </c>
      <c r="C2" s="53" t="n">
        <f aca="false">+'Inputs &amp; Assuptions'!$B$3</f>
        <v>0.05</v>
      </c>
      <c r="E2" s="3" t="s">
        <v>96</v>
      </c>
      <c r="F2" s="54" t="n">
        <f aca="false">+'Inputs &amp; Assuptions'!$B$7</f>
        <v>0.25</v>
      </c>
    </row>
    <row r="3" customFormat="false" ht="14.25" hidden="false" customHeight="false" outlineLevel="0" collapsed="false">
      <c r="B3" s="3" t="s">
        <v>15</v>
      </c>
      <c r="C3" s="53" t="n">
        <f aca="false">+'Inputs &amp; Assuptions'!$B$8</f>
        <v>0.4</v>
      </c>
    </row>
    <row r="5" customFormat="false" ht="14.25" hidden="false" customHeight="false" outlineLevel="0" collapsed="false">
      <c r="A5" s="3" t="s">
        <v>89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9</v>
      </c>
      <c r="G5" s="3" t="s">
        <v>13</v>
      </c>
      <c r="H5" s="3" t="s">
        <v>101</v>
      </c>
      <c r="I5" s="3" t="s">
        <v>102</v>
      </c>
      <c r="J5" s="4" t="s">
        <v>103</v>
      </c>
    </row>
    <row r="6" customFormat="false" ht="14.25" hidden="false" customHeight="false" outlineLevel="0" collapsed="false">
      <c r="A6" s="3" t="n">
        <v>1</v>
      </c>
      <c r="B6" s="55" t="n">
        <f aca="false">+'Channel 1 Sales'!C6</f>
        <v>3480</v>
      </c>
      <c r="C6" s="56" t="n">
        <f aca="false" t="array" ref="C6:C65">+TRANSPOSE('Channel 1 Sales'!$F$67:$BM$67)</f>
        <v>3480</v>
      </c>
      <c r="D6" s="51" t="n">
        <f aca="false">IF(MOD($A6, 12) = 0, $C$1 * 1.05, $C$1)</f>
        <v>600</v>
      </c>
      <c r="E6" s="57" t="n">
        <f aca="false">+C6*D6</f>
        <v>2088000</v>
      </c>
      <c r="F6" s="57" t="n">
        <f aca="false">-$F$1*B6*D6</f>
        <v>-8352000</v>
      </c>
      <c r="G6" s="57" t="n">
        <f aca="false">-E6*$F$2</f>
        <v>-522000</v>
      </c>
      <c r="H6" s="57" t="n">
        <f aca="false">-E6*$C$3</f>
        <v>-835200</v>
      </c>
      <c r="I6" s="57" t="n">
        <f aca="false">+E6+F6+G6+H6</f>
        <v>-7621200</v>
      </c>
      <c r="J6" s="58" t="n">
        <f aca="false">+I6</f>
        <v>-7621200</v>
      </c>
    </row>
    <row r="7" customFormat="false" ht="14.25" hidden="false" customHeight="false" outlineLevel="0" collapsed="false">
      <c r="A7" s="3" t="n">
        <f aca="false">+A6+1</f>
        <v>2</v>
      </c>
      <c r="B7" s="59" t="n">
        <f aca="false">+'Channel 1 Sales'!C7</f>
        <v>3480</v>
      </c>
      <c r="C7" s="60" t="n">
        <v>6594.6</v>
      </c>
      <c r="D7" s="51" t="n">
        <f aca="false">IF(MOD($A7-1, 12) = 0, D6 * 1.05, D6)</f>
        <v>600</v>
      </c>
      <c r="E7" s="61" t="n">
        <f aca="false">+C7*D7</f>
        <v>3956760</v>
      </c>
      <c r="F7" s="61" t="n">
        <f aca="false">-$F$1*B7*D7</f>
        <v>-8352000</v>
      </c>
      <c r="G7" s="61" t="n">
        <f aca="false">-E7*$F$2</f>
        <v>-989190</v>
      </c>
      <c r="H7" s="61" t="n">
        <f aca="false">-E7*$C$3</f>
        <v>-1582704</v>
      </c>
      <c r="I7" s="61" t="n">
        <f aca="false">+E7+F7+G7+H7</f>
        <v>-6967134</v>
      </c>
      <c r="J7" s="58" t="n">
        <f aca="false">+J6+I7</f>
        <v>-14588334</v>
      </c>
    </row>
    <row r="8" customFormat="false" ht="14.25" hidden="false" customHeight="false" outlineLevel="0" collapsed="false">
      <c r="A8" s="3" t="n">
        <f aca="false">+A7+1</f>
        <v>3</v>
      </c>
      <c r="B8" s="59" t="n">
        <f aca="false">+'Channel 1 Sales'!C8</f>
        <v>3480</v>
      </c>
      <c r="C8" s="60" t="n">
        <v>9460.032</v>
      </c>
      <c r="D8" s="51" t="n">
        <f aca="false">IF(MOD($A8-1, 12) = 0, D7 * 1.05, D7)</f>
        <v>600</v>
      </c>
      <c r="E8" s="61" t="n">
        <f aca="false">+C8*D8</f>
        <v>5676019.2</v>
      </c>
      <c r="F8" s="61" t="n">
        <f aca="false">-$F$1*B8*D8</f>
        <v>-8352000</v>
      </c>
      <c r="G8" s="61" t="n">
        <f aca="false">-E8*$F$2</f>
        <v>-1419004.8</v>
      </c>
      <c r="H8" s="61" t="n">
        <f aca="false">-E8*$C$3</f>
        <v>-2270407.68</v>
      </c>
      <c r="I8" s="61" t="n">
        <f aca="false">+E8+F8+G8+H8</f>
        <v>-6365393.28</v>
      </c>
      <c r="J8" s="58" t="n">
        <f aca="false">+J7+I8</f>
        <v>-20953727.28</v>
      </c>
    </row>
    <row r="9" customFormat="false" ht="14.25" hidden="false" customHeight="false" outlineLevel="0" collapsed="false">
      <c r="A9" s="3" t="n">
        <f aca="false">+A8+1</f>
        <v>4</v>
      </c>
      <c r="B9" s="59" t="n">
        <f aca="false">+'Channel 1 Sales'!C9</f>
        <v>3480</v>
      </c>
      <c r="C9" s="60" t="n">
        <v>12167.86524</v>
      </c>
      <c r="D9" s="51" t="n">
        <f aca="false">IF(MOD($A9-1, 12) = 0, D8 * 1.05, D8)</f>
        <v>600</v>
      </c>
      <c r="E9" s="61" t="n">
        <f aca="false">+C9*D9</f>
        <v>7300719.144</v>
      </c>
      <c r="F9" s="61" t="n">
        <f aca="false">-$F$1*B9*D9</f>
        <v>-8352000</v>
      </c>
      <c r="G9" s="61" t="n">
        <f aca="false">-E9*$F$2</f>
        <v>-1825179.786</v>
      </c>
      <c r="H9" s="61" t="n">
        <f aca="false">-E9*$C$3</f>
        <v>-2920287.6576</v>
      </c>
      <c r="I9" s="61" t="n">
        <f aca="false">+E9+F9+G9+H9</f>
        <v>-5796748.2996</v>
      </c>
      <c r="J9" s="58" t="n">
        <f aca="false">+J8+I9</f>
        <v>-26750475.5796</v>
      </c>
    </row>
    <row r="10" customFormat="false" ht="14.25" hidden="false" customHeight="false" outlineLevel="0" collapsed="false">
      <c r="A10" s="3" t="n">
        <f aca="false">+A9+1</f>
        <v>5</v>
      </c>
      <c r="B10" s="59" t="n">
        <f aca="false">+'Channel 1 Sales'!C10</f>
        <v>3480</v>
      </c>
      <c r="C10" s="60" t="n">
        <v>14740.306818</v>
      </c>
      <c r="D10" s="51" t="n">
        <f aca="false">IF(MOD($A10-1, 12) = 0, D9 * 1.05, D9)</f>
        <v>600</v>
      </c>
      <c r="E10" s="61" t="n">
        <f aca="false">+C10*D10</f>
        <v>8844184.0908</v>
      </c>
      <c r="F10" s="61" t="n">
        <f aca="false">-$F$1*B10*D10</f>
        <v>-8352000</v>
      </c>
      <c r="G10" s="61" t="n">
        <f aca="false">-E10*$F$2</f>
        <v>-2211046.0227</v>
      </c>
      <c r="H10" s="61" t="n">
        <f aca="false">-E10*$C$3</f>
        <v>-3537673.63632</v>
      </c>
      <c r="I10" s="61" t="n">
        <f aca="false">+E10+F10+G10+H10</f>
        <v>-5256535.56822</v>
      </c>
      <c r="J10" s="58" t="n">
        <f aca="false">+J9+I10</f>
        <v>-32007011.14782</v>
      </c>
    </row>
    <row r="11" customFormat="false" ht="14.25" hidden="false" customHeight="false" outlineLevel="0" collapsed="false">
      <c r="A11" s="3" t="n">
        <f aca="false">+A10+1</f>
        <v>6</v>
      </c>
      <c r="B11" s="59" t="n">
        <f aca="false">+'Channel 1 Sales'!C11</f>
        <v>3480</v>
      </c>
      <c r="C11" s="60" t="n">
        <v>17196.98852499</v>
      </c>
      <c r="D11" s="51" t="n">
        <f aca="false">IF(MOD($A11-1, 12) = 0, D10 * 1.05, D10)</f>
        <v>600</v>
      </c>
      <c r="E11" s="61" t="n">
        <f aca="false">+C11*D11</f>
        <v>10318193.114994</v>
      </c>
      <c r="F11" s="61" t="n">
        <f aca="false">-$F$1*B11*D11</f>
        <v>-8352000</v>
      </c>
      <c r="G11" s="61" t="n">
        <f aca="false">-E11*$F$2</f>
        <v>-2579548.2787485</v>
      </c>
      <c r="H11" s="61" t="n">
        <f aca="false">-E11*$C$3</f>
        <v>-4127277.2459976</v>
      </c>
      <c r="I11" s="61" t="n">
        <f aca="false">+E11+F11+G11+H11</f>
        <v>-4740632.4097521</v>
      </c>
      <c r="J11" s="58" t="n">
        <f aca="false">+J10+I11</f>
        <v>-36747643.5575721</v>
      </c>
    </row>
    <row r="12" customFormat="false" ht="14.25" hidden="false" customHeight="false" outlineLevel="0" collapsed="false">
      <c r="A12" s="3" t="n">
        <f aca="false">+A11+1</f>
        <v>7</v>
      </c>
      <c r="B12" s="59" t="n">
        <f aca="false">+'Channel 1 Sales'!C12</f>
        <v>3480</v>
      </c>
      <c r="C12" s="60" t="n">
        <v>19555.4029637004</v>
      </c>
      <c r="D12" s="51" t="n">
        <f aca="false">IF(MOD($A12-1, 12) = 0, D11 * 1.05, D11)</f>
        <v>600</v>
      </c>
      <c r="E12" s="61" t="n">
        <f aca="false">+C12*D12</f>
        <v>11733241.7782202</v>
      </c>
      <c r="F12" s="61" t="n">
        <f aca="false">-$F$1*B12*D12</f>
        <v>-8352000</v>
      </c>
      <c r="G12" s="61" t="n">
        <f aca="false">-E12*$F$2</f>
        <v>-2933310.44455506</v>
      </c>
      <c r="H12" s="61" t="n">
        <f aca="false">-E12*$C$3</f>
        <v>-4693296.7112881</v>
      </c>
      <c r="I12" s="61" t="n">
        <f aca="false">+E12+F12+G12+H12</f>
        <v>-4245365.37762292</v>
      </c>
      <c r="J12" s="58" t="n">
        <f aca="false">+J11+I12</f>
        <v>-40993008.935195</v>
      </c>
    </row>
    <row r="13" customFormat="false" ht="14.25" hidden="false" customHeight="false" outlineLevel="0" collapsed="false">
      <c r="A13" s="3" t="n">
        <f aca="false">+A12+1</f>
        <v>8</v>
      </c>
      <c r="B13" s="59" t="n">
        <f aca="false">+'Channel 1 Sales'!C13</f>
        <v>3480</v>
      </c>
      <c r="C13" s="60" t="n">
        <v>21831.2728970559</v>
      </c>
      <c r="D13" s="51" t="n">
        <f aca="false">IF(MOD($A13-1, 12) = 0, D12 * 1.05, D12)</f>
        <v>600</v>
      </c>
      <c r="E13" s="61" t="n">
        <f aca="false">+C13*D13</f>
        <v>13098763.7382336</v>
      </c>
      <c r="F13" s="61" t="n">
        <f aca="false">-$F$1*B13*D13</f>
        <v>-8352000</v>
      </c>
      <c r="G13" s="61" t="n">
        <f aca="false">-E13*$F$2</f>
        <v>-3274690.93455839</v>
      </c>
      <c r="H13" s="61" t="n">
        <f aca="false">-E13*$C$3</f>
        <v>-5239505.49529343</v>
      </c>
      <c r="I13" s="61" t="n">
        <f aca="false">+E13+F13+G13+H13</f>
        <v>-3767432.69161825</v>
      </c>
      <c r="J13" s="58" t="n">
        <f aca="false">+J12+I13</f>
        <v>-44760441.6268133</v>
      </c>
    </row>
    <row r="14" customFormat="false" ht="14.25" hidden="false" customHeight="false" outlineLevel="0" collapsed="false">
      <c r="A14" s="3" t="n">
        <f aca="false">+A13+1</f>
        <v>9</v>
      </c>
      <c r="B14" s="59" t="n">
        <f aca="false">+'Channel 1 Sales'!C14</f>
        <v>3480</v>
      </c>
      <c r="C14" s="60" t="n">
        <v>24038.8667324108</v>
      </c>
      <c r="D14" s="51" t="n">
        <f aca="false">IF(MOD($A14-1, 12) = 0, D13 * 1.05, D13)</f>
        <v>600</v>
      </c>
      <c r="E14" s="61" t="n">
        <f aca="false">+C14*D14</f>
        <v>14423320.0394465</v>
      </c>
      <c r="F14" s="61" t="n">
        <f aca="false">-$F$1*B14*D14</f>
        <v>-8352000</v>
      </c>
      <c r="G14" s="61" t="n">
        <f aca="false">-E14*$F$2</f>
        <v>-3605830.00986162</v>
      </c>
      <c r="H14" s="61" t="n">
        <f aca="false">-E14*$C$3</f>
        <v>-5769328.01577859</v>
      </c>
      <c r="I14" s="61" t="n">
        <f aca="false">+E14+F14+G14+H14</f>
        <v>-3303837.98619373</v>
      </c>
      <c r="J14" s="58" t="n">
        <f aca="false">+J13+I14</f>
        <v>-48064279.613007</v>
      </c>
    </row>
    <row r="15" customFormat="false" ht="14.25" hidden="false" customHeight="false" outlineLevel="0" collapsed="false">
      <c r="A15" s="3" t="n">
        <f aca="false">+A14+1</f>
        <v>10</v>
      </c>
      <c r="B15" s="59" t="n">
        <f aca="false">+'Channel 1 Sales'!C15</f>
        <v>3480</v>
      </c>
      <c r="C15" s="60" t="n">
        <v>26191.2707218818</v>
      </c>
      <c r="D15" s="51" t="n">
        <f aca="false">IF(MOD($A15-1, 12) = 0, D14 * 1.05, D14)</f>
        <v>600</v>
      </c>
      <c r="E15" s="61" t="n">
        <f aca="false">+C15*D15</f>
        <v>15714762.4331291</v>
      </c>
      <c r="F15" s="61" t="n">
        <f aca="false">-$F$1*B15*D15</f>
        <v>-8352000</v>
      </c>
      <c r="G15" s="61" t="n">
        <f aca="false">-E15*$F$2</f>
        <v>-3928690.60828227</v>
      </c>
      <c r="H15" s="61" t="n">
        <f aca="false">-E15*$C$3</f>
        <v>-6285904.97325163</v>
      </c>
      <c r="I15" s="61" t="n">
        <f aca="false">+E15+F15+G15+H15</f>
        <v>-2851833.14840482</v>
      </c>
      <c r="J15" s="58" t="n">
        <f aca="false">+J14+I15</f>
        <v>-50916112.7614118</v>
      </c>
    </row>
    <row r="16" customFormat="false" ht="14.25" hidden="false" customHeight="false" outlineLevel="0" collapsed="false">
      <c r="A16" s="3" t="n">
        <f aca="false">+A15+1</f>
        <v>11</v>
      </c>
      <c r="B16" s="59" t="n">
        <f aca="false">+'Channel 1 Sales'!C16</f>
        <v>3480</v>
      </c>
      <c r="C16" s="60" t="n">
        <v>28300.6266315634</v>
      </c>
      <c r="D16" s="51" t="n">
        <f aca="false">IF(MOD($A16-1, 12) = 0, D15 * 1.05, D15)</f>
        <v>600</v>
      </c>
      <c r="E16" s="61" t="n">
        <f aca="false">+C16*D16</f>
        <v>16980375.978938</v>
      </c>
      <c r="F16" s="61" t="n">
        <f aca="false">-$F$1*B16*D16</f>
        <v>-8352000</v>
      </c>
      <c r="G16" s="61" t="n">
        <f aca="false">-E16*$F$2</f>
        <v>-4245093.99473451</v>
      </c>
      <c r="H16" s="61" t="n">
        <f aca="false">-E16*$C$3</f>
        <v>-6792150.39157521</v>
      </c>
      <c r="I16" s="61" t="n">
        <f aca="false">+E16+F16+G16+H16</f>
        <v>-2408868.40737169</v>
      </c>
      <c r="J16" s="58" t="n">
        <f aca="false">+J15+I16</f>
        <v>-53324981.1687835</v>
      </c>
    </row>
    <row r="17" customFormat="false" ht="14.25" hidden="false" customHeight="false" outlineLevel="0" collapsed="false">
      <c r="A17" s="3" t="n">
        <f aca="false">+A16+1</f>
        <v>12</v>
      </c>
      <c r="B17" s="59" t="n">
        <f aca="false">+'Channel 1 Sales'!C17</f>
        <v>3480</v>
      </c>
      <c r="C17" s="60" t="n">
        <v>30388.8889821481</v>
      </c>
      <c r="D17" s="51" t="n">
        <f aca="false">IF(MOD($A17-1, 12) = 0, D16 * 1.05, D16)</f>
        <v>600</v>
      </c>
      <c r="E17" s="61" t="n">
        <f aca="false">+C17*D17</f>
        <v>18233333.3892889</v>
      </c>
      <c r="F17" s="61" t="n">
        <f aca="false">-$F$1*B17*D17</f>
        <v>-8352000</v>
      </c>
      <c r="G17" s="61" t="n">
        <f aca="false">-E17*$F$2</f>
        <v>-4558333.34732222</v>
      </c>
      <c r="H17" s="61" t="n">
        <f aca="false">-E17*$C$3</f>
        <v>-7293333.35571556</v>
      </c>
      <c r="I17" s="61" t="n">
        <f aca="false">+E17+F17+G17+H17</f>
        <v>-1970333.31374889</v>
      </c>
      <c r="J17" s="58" t="n">
        <f aca="false">+J16+I17</f>
        <v>-55295314.4825324</v>
      </c>
    </row>
    <row r="18" customFormat="false" ht="14.25" hidden="false" customHeight="false" outlineLevel="0" collapsed="false">
      <c r="A18" s="3" t="n">
        <f aca="false">+A17+1</f>
        <v>13</v>
      </c>
      <c r="B18" s="59" t="n">
        <f aca="false">+'Channel 1 Sales'!C18</f>
        <v>3654</v>
      </c>
      <c r="C18" s="60" t="n">
        <v>32630.2687092271</v>
      </c>
      <c r="D18" s="51" t="n">
        <f aca="false">IF(MOD($A18-1, 12) = 0, D17 * 1.05, D17)</f>
        <v>630</v>
      </c>
      <c r="E18" s="61" t="n">
        <f aca="false">+C18*D18</f>
        <v>20557069.286813</v>
      </c>
      <c r="F18" s="61" t="n">
        <f aca="false">-$F$1*B18*D18</f>
        <v>-9208080</v>
      </c>
      <c r="G18" s="61" t="n">
        <f aca="false">-E18*$F$2</f>
        <v>-5139267.32170326</v>
      </c>
      <c r="H18" s="61" t="n">
        <f aca="false">-E18*$C$3</f>
        <v>-8222827.71472522</v>
      </c>
      <c r="I18" s="61" t="n">
        <f aca="false">+E18+F18+G18+H18</f>
        <v>-2013105.74961544</v>
      </c>
      <c r="J18" s="58" t="n">
        <f aca="false">+J17+I18</f>
        <v>-57308420.2321479</v>
      </c>
    </row>
    <row r="19" customFormat="false" ht="14.25" hidden="false" customHeight="false" outlineLevel="0" collapsed="false">
      <c r="A19" s="3" t="n">
        <f aca="false">+A18+1</f>
        <v>14</v>
      </c>
      <c r="B19" s="59" t="n">
        <f aca="false">+'Channel 1 Sales'!C19</f>
        <v>3654</v>
      </c>
      <c r="C19" s="60" t="n">
        <v>34832.7046390352</v>
      </c>
      <c r="D19" s="51" t="n">
        <f aca="false">IF(MOD($A19-1, 12) = 0, D18 * 1.05, D18)</f>
        <v>630</v>
      </c>
      <c r="E19" s="61" t="n">
        <f aca="false">+C19*D19</f>
        <v>21944603.9225922</v>
      </c>
      <c r="F19" s="61" t="n">
        <f aca="false">-$F$1*B19*D19</f>
        <v>-9208080</v>
      </c>
      <c r="G19" s="61" t="n">
        <f aca="false">-E19*$F$2</f>
        <v>-5486150.98064804</v>
      </c>
      <c r="H19" s="61" t="n">
        <f aca="false">-E19*$C$3</f>
        <v>-8777841.56903687</v>
      </c>
      <c r="I19" s="61" t="n">
        <f aca="false">+E19+F19+G19+H19</f>
        <v>-1527468.62709274</v>
      </c>
      <c r="J19" s="58" t="n">
        <f aca="false">+J18+I19</f>
        <v>-58835888.8592406</v>
      </c>
    </row>
    <row r="20" customFormat="false" ht="14.25" hidden="false" customHeight="false" outlineLevel="0" collapsed="false">
      <c r="A20" s="3" t="n">
        <f aca="false">+A19+1</f>
        <v>15</v>
      </c>
      <c r="B20" s="59" t="n">
        <f aca="false">+'Channel 1 Sales'!C20</f>
        <v>3654</v>
      </c>
      <c r="C20" s="60" t="n">
        <v>37002.2151095452</v>
      </c>
      <c r="D20" s="51" t="n">
        <f aca="false">IF(MOD($A20-1, 12) = 0, D19 * 1.05, D19)</f>
        <v>630</v>
      </c>
      <c r="E20" s="61" t="n">
        <f aca="false">+C20*D20</f>
        <v>23311395.5190135</v>
      </c>
      <c r="F20" s="61" t="n">
        <f aca="false">-$F$1*B20*D20</f>
        <v>-9208080</v>
      </c>
      <c r="G20" s="61" t="n">
        <f aca="false">-E20*$F$2</f>
        <v>-5827848.87975337</v>
      </c>
      <c r="H20" s="61" t="n">
        <f aca="false">-E20*$C$3</f>
        <v>-9324558.2076054</v>
      </c>
      <c r="I20" s="61" t="n">
        <f aca="false">+E20+F20+G20+H20</f>
        <v>-1049091.56834528</v>
      </c>
      <c r="J20" s="58" t="n">
        <f aca="false">+J19+I20</f>
        <v>-59884980.4275859</v>
      </c>
    </row>
    <row r="21" customFormat="false" ht="14.25" hidden="false" customHeight="false" outlineLevel="0" collapsed="false">
      <c r="A21" s="3" t="n">
        <f aca="false">+A20+1</f>
        <v>16</v>
      </c>
      <c r="B21" s="59" t="n">
        <f aca="false">+'Channel 1 Sales'!C21</f>
        <v>3654</v>
      </c>
      <c r="C21" s="60" t="n">
        <v>39143.5832533502</v>
      </c>
      <c r="D21" s="51" t="n">
        <f aca="false">IF(MOD($A21-1, 12) = 0, D20 * 1.05, D20)</f>
        <v>630</v>
      </c>
      <c r="E21" s="61" t="n">
        <f aca="false">+C21*D21</f>
        <v>24660457.4496106</v>
      </c>
      <c r="F21" s="61" t="n">
        <f aca="false">-$F$1*B21*D21</f>
        <v>-9208080</v>
      </c>
      <c r="G21" s="61" t="n">
        <f aca="false">-E21*$F$2</f>
        <v>-6165114.36240265</v>
      </c>
      <c r="H21" s="61" t="n">
        <f aca="false">-E21*$C$3</f>
        <v>-9864182.97984424</v>
      </c>
      <c r="I21" s="61" t="n">
        <f aca="false">+E21+F21+G21+H21</f>
        <v>-576919.89263629</v>
      </c>
      <c r="J21" s="58" t="n">
        <f aca="false">+J20+I21</f>
        <v>-60461900.3202222</v>
      </c>
    </row>
    <row r="22" customFormat="false" ht="14.25" hidden="false" customHeight="false" outlineLevel="0" collapsed="false">
      <c r="A22" s="3" t="n">
        <f aca="false">+A21+1</f>
        <v>17</v>
      </c>
      <c r="B22" s="59" t="n">
        <f aca="false">+'Channel 1 Sales'!C22</f>
        <v>3654</v>
      </c>
      <c r="C22" s="60" t="n">
        <v>41258.1220492371</v>
      </c>
      <c r="D22" s="51" t="n">
        <f aca="false">IF(MOD($A22-1, 12) = 0, D21 * 1.05, D21)</f>
        <v>630</v>
      </c>
      <c r="E22" s="61" t="n">
        <f aca="false">+C22*D22</f>
        <v>25992616.8910193</v>
      </c>
      <c r="F22" s="61" t="n">
        <f aca="false">-$F$1*B22*D22</f>
        <v>-9208080</v>
      </c>
      <c r="G22" s="61" t="n">
        <f aca="false">-E22*$F$2</f>
        <v>-6498154.22275484</v>
      </c>
      <c r="H22" s="61" t="n">
        <f aca="false">-E22*$C$3</f>
        <v>-10397046.7564077</v>
      </c>
      <c r="I22" s="61" t="n">
        <f aca="false">+E22+F22+G22+H22</f>
        <v>-110664.088143231</v>
      </c>
      <c r="J22" s="58" t="n">
        <f aca="false">+J21+I22</f>
        <v>-60572564.4083654</v>
      </c>
    </row>
    <row r="23" customFormat="false" ht="14.25" hidden="false" customHeight="false" outlineLevel="0" collapsed="false">
      <c r="A23" s="3" t="n">
        <f aca="false">+A22+1</f>
        <v>18</v>
      </c>
      <c r="B23" s="59" t="n">
        <f aca="false">+'Channel 1 Sales'!C23</f>
        <v>3654</v>
      </c>
      <c r="C23" s="60" t="n">
        <v>43347.0136844036</v>
      </c>
      <c r="D23" s="51" t="n">
        <f aca="false">IF(MOD($A23-1, 12) = 0, D22 * 1.05, D22)</f>
        <v>630</v>
      </c>
      <c r="E23" s="61" t="n">
        <f aca="false">+C23*D23</f>
        <v>27308618.6211743</v>
      </c>
      <c r="F23" s="61" t="n">
        <f aca="false">-$F$1*B23*D23</f>
        <v>-9208080</v>
      </c>
      <c r="G23" s="61" t="n">
        <f aca="false">-E23*$F$2</f>
        <v>-6827154.65529357</v>
      </c>
      <c r="H23" s="61" t="n">
        <f aca="false">-E23*$C$3</f>
        <v>-10923447.4484697</v>
      </c>
      <c r="I23" s="61" t="n">
        <f aca="false">+E23+F23+G23+H23</f>
        <v>349936.51741099</v>
      </c>
      <c r="J23" s="58" t="n">
        <f aca="false">+J22+I23</f>
        <v>-60222627.8909544</v>
      </c>
    </row>
    <row r="24" customFormat="false" ht="14.25" hidden="false" customHeight="false" outlineLevel="0" collapsed="false">
      <c r="A24" s="3" t="n">
        <f aca="false">+A23+1</f>
        <v>19</v>
      </c>
      <c r="B24" s="59" t="n">
        <f aca="false">+'Channel 1 Sales'!C24</f>
        <v>3654</v>
      </c>
      <c r="C24" s="60" t="n">
        <v>45411.331380658</v>
      </c>
      <c r="D24" s="51" t="n">
        <f aca="false">IF(MOD($A24-1, 12) = 0, D23 * 1.05, D23)</f>
        <v>630</v>
      </c>
      <c r="E24" s="61" t="n">
        <f aca="false">+C24*D24</f>
        <v>28609138.7698145</v>
      </c>
      <c r="F24" s="61" t="n">
        <f aca="false">-$F$1*B24*D24</f>
        <v>-9208080</v>
      </c>
      <c r="G24" s="61" t="n">
        <f aca="false">-E24*$F$2</f>
        <v>-7152284.69245363</v>
      </c>
      <c r="H24" s="61" t="n">
        <f aca="false">-E24*$C$3</f>
        <v>-11443655.5079258</v>
      </c>
      <c r="I24" s="61" t="n">
        <f aca="false">+E24+F24+G24+H24</f>
        <v>805118.569435079</v>
      </c>
      <c r="J24" s="58" t="n">
        <f aca="false">+J23+I24</f>
        <v>-59417509.3215193</v>
      </c>
    </row>
    <row r="25" customFormat="false" ht="14.25" hidden="false" customHeight="false" outlineLevel="0" collapsed="false">
      <c r="A25" s="3" t="n">
        <f aca="false">+A24+1</f>
        <v>20</v>
      </c>
      <c r="B25" s="59" t="n">
        <f aca="false">+'Channel 1 Sales'!C25</f>
        <v>3654</v>
      </c>
      <c r="C25" s="60" t="n">
        <v>47452.0578819014</v>
      </c>
      <c r="D25" s="51" t="n">
        <f aca="false">IF(MOD($A25-1, 12) = 0, D24 * 1.05, D24)</f>
        <v>630</v>
      </c>
      <c r="E25" s="61" t="n">
        <f aca="false">+C25*D25</f>
        <v>29894796.4655979</v>
      </c>
      <c r="F25" s="61" t="n">
        <f aca="false">-$F$1*B25*D25</f>
        <v>-9208080</v>
      </c>
      <c r="G25" s="61" t="n">
        <f aca="false">-E25*$F$2</f>
        <v>-7473699.11639947</v>
      </c>
      <c r="H25" s="61" t="n">
        <f aca="false">-E25*$C$3</f>
        <v>-11957918.5862392</v>
      </c>
      <c r="I25" s="61" t="n">
        <f aca="false">+E25+F25+G25+H25</f>
        <v>1255098.76295926</v>
      </c>
      <c r="J25" s="58" t="n">
        <f aca="false">+J24+I25</f>
        <v>-58162410.5585601</v>
      </c>
    </row>
    <row r="26" customFormat="false" ht="14.25" hidden="false" customHeight="false" outlineLevel="0" collapsed="false">
      <c r="A26" s="3" t="n">
        <f aca="false">+A25+1</f>
        <v>21</v>
      </c>
      <c r="B26" s="59" t="n">
        <f aca="false">+'Channel 1 Sales'!C26</f>
        <v>3654</v>
      </c>
      <c r="C26" s="60" t="n">
        <v>49470.1012481991</v>
      </c>
      <c r="D26" s="51" t="n">
        <f aca="false">IF(MOD($A26-1, 12) = 0, D25 * 1.05, D25)</f>
        <v>630</v>
      </c>
      <c r="E26" s="61" t="n">
        <f aca="false">+C26*D26</f>
        <v>31166163.7863654</v>
      </c>
      <c r="F26" s="61" t="n">
        <f aca="false">-$F$1*B26*D26</f>
        <v>-9208080</v>
      </c>
      <c r="G26" s="61" t="n">
        <f aca="false">-E26*$F$2</f>
        <v>-7791540.94659135</v>
      </c>
      <c r="H26" s="61" t="n">
        <f aca="false">-E26*$C$3</f>
        <v>-12466465.5145462</v>
      </c>
      <c r="I26" s="61" t="n">
        <f aca="false">+E26+F26+G26+H26</f>
        <v>1700077.32522789</v>
      </c>
      <c r="J26" s="58" t="n">
        <f aca="false">+J25+I26</f>
        <v>-56462333.2333322</v>
      </c>
    </row>
    <row r="27" customFormat="false" ht="14.25" hidden="false" customHeight="false" outlineLevel="0" collapsed="false">
      <c r="A27" s="3" t="n">
        <f aca="false">+A26+1</f>
        <v>22</v>
      </c>
      <c r="B27" s="59" t="n">
        <f aca="false">+'Channel 1 Sales'!C27</f>
        <v>3654</v>
      </c>
      <c r="C27" s="60" t="n">
        <v>51466.3084854572</v>
      </c>
      <c r="D27" s="51" t="n">
        <f aca="false">IF(MOD($A27-1, 12) = 0, D26 * 1.05, D26)</f>
        <v>630</v>
      </c>
      <c r="E27" s="61" t="n">
        <f aca="false">+C27*D27</f>
        <v>32423774.345838</v>
      </c>
      <c r="F27" s="61" t="n">
        <f aca="false">-$F$1*B27*D27</f>
        <v>-9208080</v>
      </c>
      <c r="G27" s="61" t="n">
        <f aca="false">-E27*$F$2</f>
        <v>-8105943.58645951</v>
      </c>
      <c r="H27" s="61" t="n">
        <f aca="false">-E27*$C$3</f>
        <v>-12969509.7383352</v>
      </c>
      <c r="I27" s="61" t="n">
        <f aca="false">+E27+F27+G27+H27</f>
        <v>2140241.02104331</v>
      </c>
      <c r="J27" s="58" t="n">
        <f aca="false">+J26+I27</f>
        <v>-54322092.2122889</v>
      </c>
    </row>
    <row r="28" customFormat="false" ht="14.25" hidden="false" customHeight="false" outlineLevel="0" collapsed="false">
      <c r="A28" s="3" t="n">
        <f aca="false">+A27+1</f>
        <v>23</v>
      </c>
      <c r="B28" s="59" t="n">
        <f aca="false">+'Channel 1 Sales'!C28</f>
        <v>3654</v>
      </c>
      <c r="C28" s="60" t="n">
        <v>53441.4774483481</v>
      </c>
      <c r="D28" s="51" t="n">
        <f aca="false">IF(MOD($A28-1, 12) = 0, D27 * 1.05, D27)</f>
        <v>630</v>
      </c>
      <c r="E28" s="61" t="n">
        <f aca="false">+C28*D28</f>
        <v>33668130.7924593</v>
      </c>
      <c r="F28" s="61" t="n">
        <f aca="false">-$F$1*B28*D28</f>
        <v>-9208080</v>
      </c>
      <c r="G28" s="61" t="n">
        <f aca="false">-E28*$F$2</f>
        <v>-8417032.69811482</v>
      </c>
      <c r="H28" s="61" t="n">
        <f aca="false">-E28*$C$3</f>
        <v>-13467252.3169837</v>
      </c>
      <c r="I28" s="61" t="n">
        <f aca="false">+E28+F28+G28+H28</f>
        <v>2575765.77736075</v>
      </c>
      <c r="J28" s="58" t="n">
        <f aca="false">+J27+I28</f>
        <v>-51746326.4349281</v>
      </c>
    </row>
    <row r="29" customFormat="false" ht="14.25" hidden="false" customHeight="false" outlineLevel="0" collapsed="false">
      <c r="A29" s="3" t="n">
        <f aca="false">+A28+1</f>
        <v>24</v>
      </c>
      <c r="B29" s="59" t="n">
        <f aca="false">+'Channel 1 Sales'!C29</f>
        <v>3654</v>
      </c>
      <c r="C29" s="60" t="n">
        <v>55396.89472161</v>
      </c>
      <c r="D29" s="51" t="n">
        <f aca="false">IF(MOD($A29-1, 12) = 0, D28 * 1.05, D28)</f>
        <v>630</v>
      </c>
      <c r="E29" s="61" t="n">
        <f aca="false">+C29*D29</f>
        <v>34900043.6746143</v>
      </c>
      <c r="F29" s="61" t="n">
        <f aca="false">-$F$1*B29*D29</f>
        <v>-9208080</v>
      </c>
      <c r="G29" s="61" t="n">
        <f aca="false">-E29*$F$2</f>
        <v>-8725010.91865358</v>
      </c>
      <c r="H29" s="61" t="n">
        <f aca="false">-E29*$C$3</f>
        <v>-13960017.4698457</v>
      </c>
      <c r="I29" s="61" t="n">
        <f aca="false">+E29+F29+G29+H29</f>
        <v>3006935.286115</v>
      </c>
      <c r="J29" s="58" t="n">
        <f aca="false">+J28+I29</f>
        <v>-48739391.1488131</v>
      </c>
    </row>
    <row r="30" customFormat="false" ht="14.25" hidden="false" customHeight="false" outlineLevel="0" collapsed="false">
      <c r="A30" s="3" t="n">
        <f aca="false">+A29+1</f>
        <v>25</v>
      </c>
      <c r="B30" s="59" t="n">
        <f aca="false">+'Channel 1 Sales'!C30</f>
        <v>3836.7</v>
      </c>
      <c r="C30" s="60" t="n">
        <v>57515.4578221393</v>
      </c>
      <c r="D30" s="51" t="n">
        <f aca="false">IF(MOD($A30-1, 12) = 0, D29 * 1.05, D29)</f>
        <v>661.5</v>
      </c>
      <c r="E30" s="61" t="n">
        <f aca="false">+C30*D30</f>
        <v>38046475.3493452</v>
      </c>
      <c r="F30" s="61" t="n">
        <f aca="false">-$F$1*B30*D30</f>
        <v>-10151908.2</v>
      </c>
      <c r="G30" s="61" t="n">
        <f aca="false">-E30*$F$2</f>
        <v>-9511618.83733629</v>
      </c>
      <c r="H30" s="61" t="n">
        <f aca="false">-E30*$C$3</f>
        <v>-15218590.1397381</v>
      </c>
      <c r="I30" s="61" t="n">
        <f aca="false">+E30+F30+G30+H30</f>
        <v>3164358.1722708</v>
      </c>
      <c r="J30" s="58" t="n">
        <f aca="false">+J29+I30</f>
        <v>-45575032.9765423</v>
      </c>
    </row>
    <row r="31" customFormat="false" ht="14.25" hidden="false" customHeight="false" outlineLevel="0" collapsed="false">
      <c r="A31" s="3" t="n">
        <f aca="false">+A30+1</f>
        <v>26</v>
      </c>
      <c r="B31" s="59" t="n">
        <f aca="false">+'Channel 1 Sales'!C31</f>
        <v>3836.7</v>
      </c>
      <c r="C31" s="60" t="n">
        <v>59595.4787916633</v>
      </c>
      <c r="D31" s="51" t="n">
        <f aca="false">IF(MOD($A31-1, 12) = 0, D30 * 1.05, D30)</f>
        <v>661.5</v>
      </c>
      <c r="E31" s="61" t="n">
        <f aca="false">+C31*D31</f>
        <v>39422409.2206853</v>
      </c>
      <c r="F31" s="61" t="n">
        <f aca="false">-$F$1*B31*D31</f>
        <v>-10151908.2</v>
      </c>
      <c r="G31" s="61" t="n">
        <f aca="false">-E31*$F$2</f>
        <v>-9855602.30517132</v>
      </c>
      <c r="H31" s="61" t="n">
        <f aca="false">-E31*$C$3</f>
        <v>-15768963.6882741</v>
      </c>
      <c r="I31" s="61" t="n">
        <f aca="false">+E31+F31+G31+H31</f>
        <v>3645935.02723985</v>
      </c>
      <c r="J31" s="58" t="n">
        <f aca="false">+J30+I31</f>
        <v>-41929097.9493025</v>
      </c>
    </row>
    <row r="32" customFormat="false" ht="14.25" hidden="false" customHeight="false" outlineLevel="0" collapsed="false">
      <c r="A32" s="3" t="n">
        <f aca="false">+A31+1</f>
        <v>27</v>
      </c>
      <c r="B32" s="59" t="n">
        <f aca="false">+'Channel 1 Sales'!C32</f>
        <v>3836.7</v>
      </c>
      <c r="C32" s="60" t="n">
        <v>61643.2533964921</v>
      </c>
      <c r="D32" s="51" t="n">
        <f aca="false">IF(MOD($A32-1, 12) = 0, D31 * 1.05, D31)</f>
        <v>661.5</v>
      </c>
      <c r="E32" s="61" t="n">
        <f aca="false">+C32*D32</f>
        <v>40777012.1217795</v>
      </c>
      <c r="F32" s="61" t="n">
        <f aca="false">-$F$1*B32*D32</f>
        <v>-10151908.2</v>
      </c>
      <c r="G32" s="61" t="n">
        <f aca="false">-E32*$F$2</f>
        <v>-10194253.0304449</v>
      </c>
      <c r="H32" s="61" t="n">
        <f aca="false">-E32*$C$3</f>
        <v>-16310804.8487118</v>
      </c>
      <c r="I32" s="61" t="n">
        <f aca="false">+E32+F32+G32+H32</f>
        <v>4120046.04262284</v>
      </c>
      <c r="J32" s="58" t="n">
        <f aca="false">+J31+I32</f>
        <v>-37809051.9066796</v>
      </c>
    </row>
    <row r="33" customFormat="false" ht="14.25" hidden="false" customHeight="false" outlineLevel="0" collapsed="false">
      <c r="A33" s="3" t="n">
        <f aca="false">+A32+1</f>
        <v>28</v>
      </c>
      <c r="B33" s="59" t="n">
        <f aca="false">+'Channel 1 Sales'!C33</f>
        <v>3836.7</v>
      </c>
      <c r="C33" s="60" t="n">
        <v>63663.7806721726</v>
      </c>
      <c r="D33" s="51" t="n">
        <f aca="false">IF(MOD($A33-1, 12) = 0, D32 * 1.05, D32)</f>
        <v>661.5</v>
      </c>
      <c r="E33" s="61" t="n">
        <f aca="false">+C33*D33</f>
        <v>42113590.9146422</v>
      </c>
      <c r="F33" s="61" t="n">
        <f aca="false">-$F$1*B33*D33</f>
        <v>-10151908.2</v>
      </c>
      <c r="G33" s="61" t="n">
        <f aca="false">-E33*$F$2</f>
        <v>-10528397.7286605</v>
      </c>
      <c r="H33" s="61" t="n">
        <f aca="false">-E33*$C$3</f>
        <v>-16845436.3658569</v>
      </c>
      <c r="I33" s="61" t="n">
        <f aca="false">+E33+F33+G33+H33</f>
        <v>4587848.62012476</v>
      </c>
      <c r="J33" s="58" t="n">
        <f aca="false">+J32+I33</f>
        <v>-33221203.2865549</v>
      </c>
    </row>
    <row r="34" customFormat="false" ht="14.25" hidden="false" customHeight="false" outlineLevel="0" collapsed="false">
      <c r="A34" s="3" t="n">
        <f aca="false">+A33+1</f>
        <v>29</v>
      </c>
      <c r="B34" s="59" t="n">
        <f aca="false">+'Channel 1 Sales'!C34</f>
        <v>3836.7</v>
      </c>
      <c r="C34" s="60" t="n">
        <v>65658.4162252923</v>
      </c>
      <c r="D34" s="51" t="n">
        <f aca="false">IF(MOD($A34-1, 12) = 0, D33 * 1.05, D33)</f>
        <v>661.5</v>
      </c>
      <c r="E34" s="61" t="n">
        <f aca="false">+C34*D34</f>
        <v>43433042.3330309</v>
      </c>
      <c r="F34" s="61" t="n">
        <f aca="false">-$F$1*B34*D34</f>
        <v>-10151908.2</v>
      </c>
      <c r="G34" s="61" t="n">
        <f aca="false">-E34*$F$2</f>
        <v>-10858260.5832577</v>
      </c>
      <c r="H34" s="61" t="n">
        <f aca="false">-E34*$C$3</f>
        <v>-17373216.9332123</v>
      </c>
      <c r="I34" s="61" t="n">
        <f aca="false">+E34+F34+G34+H34</f>
        <v>5049656.6165608</v>
      </c>
      <c r="J34" s="58" t="n">
        <f aca="false">+J33+I34</f>
        <v>-28171546.6699941</v>
      </c>
    </row>
    <row r="35" customFormat="false" ht="14.25" hidden="false" customHeight="false" outlineLevel="0" collapsed="false">
      <c r="A35" s="3" t="n">
        <f aca="false">+A34+1</f>
        <v>30</v>
      </c>
      <c r="B35" s="59" t="n">
        <f aca="false">+'Channel 1 Sales'!C35</f>
        <v>3836.7</v>
      </c>
      <c r="C35" s="60" t="n">
        <v>67628.3785614812</v>
      </c>
      <c r="D35" s="51" t="n">
        <f aca="false">IF(MOD($A35-1, 12) = 0, D34 * 1.05, D34)</f>
        <v>661.5</v>
      </c>
      <c r="E35" s="61" t="n">
        <f aca="false">+C35*D35</f>
        <v>44736172.4184198</v>
      </c>
      <c r="F35" s="61" t="n">
        <f aca="false">-$F$1*B35*D35</f>
        <v>-10151908.2</v>
      </c>
      <c r="G35" s="61" t="n">
        <f aca="false">-E35*$F$2</f>
        <v>-11184043.104605</v>
      </c>
      <c r="H35" s="61" t="n">
        <f aca="false">-E35*$C$3</f>
        <v>-17894468.9673679</v>
      </c>
      <c r="I35" s="61" t="n">
        <f aca="false">+E35+F35+G35+H35</f>
        <v>5505752.14644694</v>
      </c>
      <c r="J35" s="58" t="n">
        <f aca="false">+J34+I35</f>
        <v>-22665794.5235471</v>
      </c>
    </row>
    <row r="36" customFormat="false" ht="14.25" hidden="false" customHeight="false" outlineLevel="0" collapsed="false">
      <c r="A36" s="3" t="n">
        <f aca="false">+A35+1</f>
        <v>31</v>
      </c>
      <c r="B36" s="59" t="n">
        <f aca="false">+'Channel 1 Sales'!C36</f>
        <v>3836.7</v>
      </c>
      <c r="C36" s="60" t="n">
        <v>69574.7720006197</v>
      </c>
      <c r="D36" s="51" t="n">
        <f aca="false">IF(MOD($A36-1, 12) = 0, D35 * 1.05, D35)</f>
        <v>661.5</v>
      </c>
      <c r="E36" s="61" t="n">
        <f aca="false">+C36*D36</f>
        <v>46023711.67841</v>
      </c>
      <c r="F36" s="61" t="n">
        <f aca="false">-$F$1*B36*D36</f>
        <v>-10151908.2</v>
      </c>
      <c r="G36" s="61" t="n">
        <f aca="false">-E36*$F$2</f>
        <v>-11505927.9196025</v>
      </c>
      <c r="H36" s="61" t="n">
        <f aca="false">-E36*$C$3</f>
        <v>-18409484.671364</v>
      </c>
      <c r="I36" s="61" t="n">
        <f aca="false">+E36+F36+G36+H36</f>
        <v>5956390.88744348</v>
      </c>
      <c r="J36" s="58" t="n">
        <f aca="false">+J35+I36</f>
        <v>-16709403.6361037</v>
      </c>
    </row>
    <row r="37" customFormat="false" ht="14.25" hidden="false" customHeight="false" outlineLevel="0" collapsed="false">
      <c r="A37" s="3" t="n">
        <f aca="false">+A36+1</f>
        <v>32</v>
      </c>
      <c r="B37" s="59" t="n">
        <f aca="false">+'Channel 1 Sales'!C37</f>
        <v>3836.7</v>
      </c>
      <c r="C37" s="60" t="n">
        <v>71498.6060864161</v>
      </c>
      <c r="D37" s="51" t="n">
        <f aca="false">IF(MOD($A37-1, 12) = 0, D36 * 1.05, D36)</f>
        <v>661.5</v>
      </c>
      <c r="E37" s="61" t="n">
        <f aca="false">+C37*D37</f>
        <v>47296327.9261642</v>
      </c>
      <c r="F37" s="61" t="n">
        <f aca="false">-$F$1*B37*D37</f>
        <v>-10151908.2</v>
      </c>
      <c r="G37" s="61" t="n">
        <f aca="false">-E37*$F$2</f>
        <v>-11824081.9815411</v>
      </c>
      <c r="H37" s="61" t="n">
        <f aca="false">-E37*$C$3</f>
        <v>-18918531.1704657</v>
      </c>
      <c r="I37" s="61" t="n">
        <f aca="false">+E37+F37+G37+H37</f>
        <v>6401806.57415747</v>
      </c>
      <c r="J37" s="58" t="n">
        <f aca="false">+J36+I37</f>
        <v>-10307597.0619462</v>
      </c>
    </row>
    <row r="38" customFormat="false" ht="14.25" hidden="false" customHeight="false" outlineLevel="0" collapsed="false">
      <c r="A38" s="3" t="n">
        <f aca="false">+A37+1</f>
        <v>33</v>
      </c>
      <c r="B38" s="59" t="n">
        <f aca="false">+'Channel 1 Sales'!C38</f>
        <v>3836.7</v>
      </c>
      <c r="C38" s="60" t="n">
        <v>73400.8121679244</v>
      </c>
      <c r="D38" s="51" t="n">
        <f aca="false">IF(MOD($A38-1, 12) = 0, D37 * 1.05, D37)</f>
        <v>661.5</v>
      </c>
      <c r="E38" s="61" t="n">
        <f aca="false">+C38*D38</f>
        <v>48554637.249082</v>
      </c>
      <c r="F38" s="61" t="n">
        <f aca="false">-$F$1*B38*D38</f>
        <v>-10151908.2</v>
      </c>
      <c r="G38" s="61" t="n">
        <f aca="false">-E38*$F$2</f>
        <v>-12138659.3122705</v>
      </c>
      <c r="H38" s="61" t="n">
        <f aca="false">-E38*$C$3</f>
        <v>-19421854.8996328</v>
      </c>
      <c r="I38" s="61" t="n">
        <f aca="false">+E38+F38+G38+H38</f>
        <v>6842214.83717869</v>
      </c>
      <c r="J38" s="58" t="n">
        <f aca="false">+J37+I38</f>
        <v>-3465382.2247675</v>
      </c>
    </row>
    <row r="39" customFormat="false" ht="14.25" hidden="false" customHeight="false" outlineLevel="0" collapsed="false">
      <c r="A39" s="3" t="n">
        <f aca="false">+A38+1</f>
        <v>34</v>
      </c>
      <c r="B39" s="59" t="n">
        <f aca="false">+'Channel 1 Sales'!C39</f>
        <v>3836.7</v>
      </c>
      <c r="C39" s="60" t="n">
        <v>75282.2577084723</v>
      </c>
      <c r="D39" s="51" t="n">
        <f aca="false">IF(MOD($A39-1, 12) = 0, D38 * 1.05, D38)</f>
        <v>661.5</v>
      </c>
      <c r="E39" s="61" t="n">
        <f aca="false">+C39*D39</f>
        <v>49799213.4741544</v>
      </c>
      <c r="F39" s="61" t="n">
        <f aca="false">-$F$1*B39*D39</f>
        <v>-10151908.2</v>
      </c>
      <c r="G39" s="61" t="n">
        <f aca="false">-E39*$F$2</f>
        <v>-12449803.3685386</v>
      </c>
      <c r="H39" s="61" t="n">
        <f aca="false">-E39*$C$3</f>
        <v>-19919685.3896618</v>
      </c>
      <c r="I39" s="61" t="n">
        <f aca="false">+E39+F39+G39+H39</f>
        <v>7277816.51595405</v>
      </c>
      <c r="J39" s="58" t="n">
        <f aca="false">+J38+I39</f>
        <v>3812434.29118655</v>
      </c>
    </row>
    <row r="40" customFormat="false" ht="14.25" hidden="false" customHeight="false" outlineLevel="0" collapsed="false">
      <c r="A40" s="3" t="n">
        <f aca="false">+A39+1</f>
        <v>35</v>
      </c>
      <c r="B40" s="59" t="n">
        <f aca="false">+'Channel 1 Sales'!C40</f>
        <v>3836.7</v>
      </c>
      <c r="C40" s="60" t="n">
        <v>77143.7587815203</v>
      </c>
      <c r="D40" s="51" t="n">
        <f aca="false">IF(MOD($A40-1, 12) = 0, D39 * 1.05, D39)</f>
        <v>661.5</v>
      </c>
      <c r="E40" s="61" t="n">
        <f aca="false">+C40*D40</f>
        <v>51030596.4339757</v>
      </c>
      <c r="F40" s="61" t="n">
        <f aca="false">-$F$1*B40*D40</f>
        <v>-10151908.2</v>
      </c>
      <c r="G40" s="61" t="n">
        <f aca="false">-E40*$F$2</f>
        <v>-12757649.1084939</v>
      </c>
      <c r="H40" s="61" t="n">
        <f aca="false">-E40*$C$3</f>
        <v>-20412238.5735903</v>
      </c>
      <c r="I40" s="61" t="n">
        <f aca="false">+E40+F40+G40+H40</f>
        <v>7708800.55189148</v>
      </c>
      <c r="J40" s="58" t="n">
        <f aca="false">+J39+I40</f>
        <v>11521234.843078</v>
      </c>
    </row>
    <row r="41" customFormat="false" ht="14.25" hidden="false" customHeight="false" outlineLevel="0" collapsed="false">
      <c r="A41" s="3" t="n">
        <f aca="false">+A40+1</f>
        <v>36</v>
      </c>
      <c r="B41" s="59" t="n">
        <f aca="false">+'Channel 1 Sales'!C41</f>
        <v>3836.7</v>
      </c>
      <c r="C41" s="60" t="n">
        <v>78986.6448438378</v>
      </c>
      <c r="D41" s="51" t="n">
        <f aca="false">IF(MOD($A41-1, 12) = 0, D40 * 1.05, D40)</f>
        <v>661.5</v>
      </c>
      <c r="E41" s="61" t="n">
        <f aca="false">+C41*D41</f>
        <v>52249665.5641987</v>
      </c>
      <c r="F41" s="61" t="n">
        <f aca="false">-$F$1*B41*D41</f>
        <v>-10151908.2</v>
      </c>
      <c r="G41" s="61" t="n">
        <f aca="false">-E41*$F$2</f>
        <v>-13062416.3910497</v>
      </c>
      <c r="H41" s="61" t="n">
        <f aca="false">-E41*$C$3</f>
        <v>-20899866.2256795</v>
      </c>
      <c r="I41" s="61" t="n">
        <f aca="false">+E41+F41+G41+H41</f>
        <v>8135474.74746953</v>
      </c>
      <c r="J41" s="58" t="n">
        <f aca="false">+J40+I41</f>
        <v>19656709.5905476</v>
      </c>
    </row>
    <row r="42" customFormat="false" ht="14.25" hidden="false" customHeight="false" outlineLevel="0" collapsed="false">
      <c r="A42" s="3" t="n">
        <f aca="false">+A41+1</f>
        <v>37</v>
      </c>
      <c r="B42" s="59" t="n">
        <f aca="false">+'Channel 1 Sales'!C42</f>
        <v>4028.535</v>
      </c>
      <c r="C42" s="60" t="n">
        <v>81002.9370455321</v>
      </c>
      <c r="D42" s="51" t="n">
        <f aca="false">IF(MOD($A42-1, 12) = 0, D41 * 1.05, D41)</f>
        <v>694.575</v>
      </c>
      <c r="E42" s="61" t="n">
        <f aca="false">+C42*D42</f>
        <v>56262614.9984004</v>
      </c>
      <c r="F42" s="61" t="n">
        <f aca="false">-$F$1*B42*D42</f>
        <v>-11192478.7905</v>
      </c>
      <c r="G42" s="61" t="n">
        <f aca="false">-E42*$F$2</f>
        <v>-14065653.7496001</v>
      </c>
      <c r="H42" s="61" t="n">
        <f aca="false">-E42*$C$3</f>
        <v>-22505045.9993602</v>
      </c>
      <c r="I42" s="61" t="n">
        <f aca="false">+E42+F42+G42+H42</f>
        <v>8499436.45894015</v>
      </c>
      <c r="J42" s="58" t="n">
        <f aca="false">+J41+I42</f>
        <v>28156146.0494877</v>
      </c>
    </row>
    <row r="43" customFormat="false" ht="14.25" hidden="false" customHeight="false" outlineLevel="0" collapsed="false">
      <c r="A43" s="3" t="n">
        <f aca="false">+A42+1</f>
        <v>38</v>
      </c>
      <c r="B43" s="59" t="n">
        <f aca="false">+'Channel 1 Sales'!C43</f>
        <v>4028.535</v>
      </c>
      <c r="C43" s="60" t="n">
        <v>82980.8420002095</v>
      </c>
      <c r="D43" s="51" t="n">
        <f aca="false">IF(MOD($A43-1, 12) = 0, D42 * 1.05, D42)</f>
        <v>694.575</v>
      </c>
      <c r="E43" s="61" t="n">
        <f aca="false">+C43*D43</f>
        <v>57636418.3322955</v>
      </c>
      <c r="F43" s="61" t="n">
        <f aca="false">-$F$1*B43*D43</f>
        <v>-11192478.7905</v>
      </c>
      <c r="G43" s="61" t="n">
        <f aca="false">-E43*$F$2</f>
        <v>-14409104.5830739</v>
      </c>
      <c r="H43" s="61" t="n">
        <f aca="false">-E43*$C$3</f>
        <v>-23054567.3329182</v>
      </c>
      <c r="I43" s="61" t="n">
        <f aca="false">+E43+F43+G43+H43</f>
        <v>8980267.62580342</v>
      </c>
      <c r="J43" s="58" t="n">
        <f aca="false">+J42+I43</f>
        <v>37136413.6752911</v>
      </c>
    </row>
    <row r="44" customFormat="false" ht="14.25" hidden="false" customHeight="false" outlineLevel="0" collapsed="false">
      <c r="A44" s="3" t="n">
        <f aca="false">+A43+1</f>
        <v>39</v>
      </c>
      <c r="B44" s="59" t="n">
        <f aca="false">+'Channel 1 Sales'!C44</f>
        <v>4028.535</v>
      </c>
      <c r="C44" s="60" t="n">
        <v>84926.94944259</v>
      </c>
      <c r="D44" s="51" t="n">
        <f aca="false">IF(MOD($A44-1, 12) = 0, D43 * 1.05, D43)</f>
        <v>694.575</v>
      </c>
      <c r="E44" s="61" t="n">
        <f aca="false">+C44*D44</f>
        <v>58988135.909087</v>
      </c>
      <c r="F44" s="61" t="n">
        <f aca="false">-$F$1*B44*D44</f>
        <v>-11192478.7905</v>
      </c>
      <c r="G44" s="61" t="n">
        <f aca="false">-E44*$F$2</f>
        <v>-14747033.9772717</v>
      </c>
      <c r="H44" s="61" t="n">
        <f aca="false">-E44*$C$3</f>
        <v>-23595254.3636348</v>
      </c>
      <c r="I44" s="61" t="n">
        <f aca="false">+E44+F44+G44+H44</f>
        <v>9453368.77768044</v>
      </c>
      <c r="J44" s="58" t="n">
        <f aca="false">+J43+I44</f>
        <v>46589782.4529716</v>
      </c>
    </row>
    <row r="45" customFormat="false" ht="14.25" hidden="false" customHeight="false" outlineLevel="0" collapsed="false">
      <c r="A45" s="3" t="n">
        <f aca="false">+A44+1</f>
        <v>40</v>
      </c>
      <c r="B45" s="59" t="n">
        <f aca="false">+'Channel 1 Sales'!C45</f>
        <v>4028.535</v>
      </c>
      <c r="C45" s="60" t="n">
        <v>86846.4877482918</v>
      </c>
      <c r="D45" s="51" t="n">
        <f aca="false">IF(MOD($A45-1, 12) = 0, D44 * 1.05, D44)</f>
        <v>694.575</v>
      </c>
      <c r="E45" s="61" t="n">
        <f aca="false">+C45*D45</f>
        <v>60321399.2277698</v>
      </c>
      <c r="F45" s="61" t="n">
        <f aca="false">-$F$1*B45*D45</f>
        <v>-11192478.7905</v>
      </c>
      <c r="G45" s="61" t="n">
        <f aca="false">-E45*$F$2</f>
        <v>-15080349.8069425</v>
      </c>
      <c r="H45" s="61" t="n">
        <f aca="false">-E45*$C$3</f>
        <v>-24128559.6911079</v>
      </c>
      <c r="I45" s="61" t="n">
        <f aca="false">+E45+F45+G45+H45</f>
        <v>9920010.93921943</v>
      </c>
      <c r="J45" s="58" t="n">
        <f aca="false">+J44+I45</f>
        <v>56509793.392191</v>
      </c>
    </row>
    <row r="46" customFormat="false" ht="14.25" hidden="false" customHeight="false" outlineLevel="0" collapsed="false">
      <c r="A46" s="3" t="n">
        <f aca="false">+A45+1</f>
        <v>41</v>
      </c>
      <c r="B46" s="59" t="n">
        <f aca="false">+'Channel 1 Sales'!C46</f>
        <v>4028.535</v>
      </c>
      <c r="C46" s="60" t="n">
        <v>88740.8598986424</v>
      </c>
      <c r="D46" s="51" t="n">
        <f aca="false">IF(MOD($A46-1, 12) = 0, D45 * 1.05, D45)</f>
        <v>694.575</v>
      </c>
      <c r="E46" s="61" t="n">
        <f aca="false">+C46*D46</f>
        <v>61637182.7640995</v>
      </c>
      <c r="F46" s="61" t="n">
        <f aca="false">-$F$1*B46*D46</f>
        <v>-11192478.7905</v>
      </c>
      <c r="G46" s="61" t="n">
        <f aca="false">-E46*$F$2</f>
        <v>-15409295.6910249</v>
      </c>
      <c r="H46" s="61" t="n">
        <f aca="false">-E46*$C$3</f>
        <v>-24654873.1056398</v>
      </c>
      <c r="I46" s="61" t="n">
        <f aca="false">+E46+F46+G46+H46</f>
        <v>10380535.1769348</v>
      </c>
      <c r="J46" s="58" t="n">
        <f aca="false">+J45+I46</f>
        <v>66890328.5691258</v>
      </c>
    </row>
    <row r="47" customFormat="false" ht="14.25" hidden="false" customHeight="false" outlineLevel="0" collapsed="false">
      <c r="A47" s="3" t="n">
        <f aca="false">+A46+1</f>
        <v>42</v>
      </c>
      <c r="B47" s="59" t="n">
        <f aca="false">+'Channel 1 Sales'!C47</f>
        <v>4028.535</v>
      </c>
      <c r="C47" s="60" t="n">
        <v>90611.3251230199</v>
      </c>
      <c r="D47" s="51" t="n">
        <f aca="false">IF(MOD($A47-1, 12) = 0, D46 * 1.05, D46)</f>
        <v>694.575</v>
      </c>
      <c r="E47" s="61" t="n">
        <f aca="false">+C47*D47</f>
        <v>62936361.1473215</v>
      </c>
      <c r="F47" s="61" t="n">
        <f aca="false">-$F$1*B47*D47</f>
        <v>-11192478.7905</v>
      </c>
      <c r="G47" s="61" t="n">
        <f aca="false">-E47*$F$2</f>
        <v>-15734090.2868304</v>
      </c>
      <c r="H47" s="61" t="n">
        <f aca="false">-E47*$C$3</f>
        <v>-25174544.4589286</v>
      </c>
      <c r="I47" s="61" t="n">
        <f aca="false">+E47+F47+G47+H47</f>
        <v>10835247.6110625</v>
      </c>
      <c r="J47" s="58" t="n">
        <f aca="false">+J46+I47</f>
        <v>77725576.1801884</v>
      </c>
    </row>
    <row r="48" customFormat="false" ht="14.25" hidden="false" customHeight="false" outlineLevel="0" collapsed="false">
      <c r="A48" s="3" t="n">
        <f aca="false">+A47+1</f>
        <v>43</v>
      </c>
      <c r="B48" s="59" t="n">
        <f aca="false">+'Channel 1 Sales'!C48</f>
        <v>4028.535</v>
      </c>
      <c r="C48" s="60" t="n">
        <v>92459.0229577807</v>
      </c>
      <c r="D48" s="51" t="n">
        <f aca="false">IF(MOD($A48-1, 12) = 0, D47 * 1.05, D47)</f>
        <v>694.575</v>
      </c>
      <c r="E48" s="61" t="n">
        <f aca="false">+C48*D48</f>
        <v>64219725.8709005</v>
      </c>
      <c r="F48" s="61" t="n">
        <f aca="false">-$F$1*B48*D48</f>
        <v>-11192478.7905</v>
      </c>
      <c r="G48" s="61" t="n">
        <f aca="false">-E48*$F$2</f>
        <v>-16054931.4677251</v>
      </c>
      <c r="H48" s="61" t="n">
        <f aca="false">-E48*$C$3</f>
        <v>-25687890.3483602</v>
      </c>
      <c r="I48" s="61" t="n">
        <f aca="false">+E48+F48+G48+H48</f>
        <v>11284425.2643152</v>
      </c>
      <c r="J48" s="58" t="n">
        <f aca="false">+J47+I48</f>
        <v>89010001.4445036</v>
      </c>
    </row>
    <row r="49" customFormat="false" ht="14.25" hidden="false" customHeight="false" outlineLevel="0" collapsed="false">
      <c r="A49" s="3" t="n">
        <f aca="false">+A48+1</f>
        <v>44</v>
      </c>
      <c r="B49" s="59" t="n">
        <f aca="false">+'Channel 1 Sales'!C49</f>
        <v>4028.535</v>
      </c>
      <c r="C49" s="60" t="n">
        <v>94284.9936242955</v>
      </c>
      <c r="D49" s="51" t="n">
        <f aca="false">IF(MOD($A49-1, 12) = 0, D48 * 1.05, D48)</f>
        <v>694.575</v>
      </c>
      <c r="E49" s="61" t="n">
        <f aca="false">+C49*D49</f>
        <v>65487999.4465951</v>
      </c>
      <c r="F49" s="61" t="n">
        <f aca="false">-$F$1*B49*D49</f>
        <v>-11192478.7905</v>
      </c>
      <c r="G49" s="61" t="n">
        <f aca="false">-E49*$F$2</f>
        <v>-16371999.8616488</v>
      </c>
      <c r="H49" s="61" t="n">
        <f aca="false">-E49*$C$3</f>
        <v>-26195199.778638</v>
      </c>
      <c r="I49" s="61" t="n">
        <f aca="false">+E49+F49+G49+H49</f>
        <v>11728321.0158083</v>
      </c>
      <c r="J49" s="58" t="n">
        <f aca="false">+J48+I49</f>
        <v>100738322.460312</v>
      </c>
    </row>
    <row r="50" customFormat="false" ht="14.25" hidden="false" customHeight="false" outlineLevel="0" collapsed="false">
      <c r="A50" s="3" t="n">
        <f aca="false">+A49+1</f>
        <v>45</v>
      </c>
      <c r="B50" s="59" t="n">
        <f aca="false">+'Channel 1 Sales'!C50</f>
        <v>4028.535</v>
      </c>
      <c r="C50" s="60" t="n">
        <v>96090.1954375437</v>
      </c>
      <c r="D50" s="51" t="n">
        <f aca="false">IF(MOD($A50-1, 12) = 0, D49 * 1.05, D49)</f>
        <v>694.575</v>
      </c>
      <c r="E50" s="61" t="n">
        <f aca="false">+C50*D50</f>
        <v>66741847.4960319</v>
      </c>
      <c r="F50" s="61" t="n">
        <f aca="false">-$F$1*B50*D50</f>
        <v>-11192478.7905</v>
      </c>
      <c r="G50" s="61" t="n">
        <f aca="false">-E50*$F$2</f>
        <v>-16685461.874008</v>
      </c>
      <c r="H50" s="61" t="n">
        <f aca="false">-E50*$C$3</f>
        <v>-26696738.9984128</v>
      </c>
      <c r="I50" s="61" t="n">
        <f aca="false">+E50+F50+G50+H50</f>
        <v>12167167.8331112</v>
      </c>
      <c r="J50" s="58" t="n">
        <f aca="false">+J49+I50</f>
        <v>112905490.293423</v>
      </c>
    </row>
    <row r="51" customFormat="false" ht="14.25" hidden="false" customHeight="false" outlineLevel="0" collapsed="false">
      <c r="A51" s="3" t="n">
        <f aca="false">+A50+1</f>
        <v>46</v>
      </c>
      <c r="B51" s="59" t="n">
        <f aca="false">+'Channel 1 Sales'!C51</f>
        <v>4028.535</v>
      </c>
      <c r="C51" s="60" t="n">
        <v>97875.5198285068</v>
      </c>
      <c r="D51" s="51" t="n">
        <f aca="false">IF(MOD($A51-1, 12) = 0, D50 * 1.05, D50)</f>
        <v>694.575</v>
      </c>
      <c r="E51" s="61" t="n">
        <f aca="false">+C51*D51</f>
        <v>67981889.1848851</v>
      </c>
      <c r="F51" s="61" t="n">
        <f aca="false">-$F$1*B51*D51</f>
        <v>-11192478.7905</v>
      </c>
      <c r="G51" s="61" t="n">
        <f aca="false">-E51*$F$2</f>
        <v>-16995472.2962213</v>
      </c>
      <c r="H51" s="61" t="n">
        <f aca="false">-E51*$C$3</f>
        <v>-27192755.673954</v>
      </c>
      <c r="I51" s="61" t="n">
        <f aca="false">+E51+F51+G51+H51</f>
        <v>12601182.4242098</v>
      </c>
      <c r="J51" s="58" t="n">
        <f aca="false">+J50+I51</f>
        <v>125506672.717633</v>
      </c>
    </row>
    <row r="52" customFormat="false" ht="14.25" hidden="false" customHeight="false" outlineLevel="0" collapsed="false">
      <c r="A52" s="3" t="n">
        <f aca="false">+A51+1</f>
        <v>47</v>
      </c>
      <c r="B52" s="59" t="n">
        <f aca="false">+'Channel 1 Sales'!C52</f>
        <v>4028.535</v>
      </c>
      <c r="C52" s="60" t="n">
        <v>99641.8044628611</v>
      </c>
      <c r="D52" s="51" t="n">
        <f aca="false">IF(MOD($A52-1, 12) = 0, D51 * 1.05, D51)</f>
        <v>694.575</v>
      </c>
      <c r="E52" s="61" t="n">
        <f aca="false">+C52*D52</f>
        <v>69208706.3347917</v>
      </c>
      <c r="F52" s="61" t="n">
        <f aca="false">-$F$1*B52*D52</f>
        <v>-11192478.7905</v>
      </c>
      <c r="G52" s="61" t="n">
        <f aca="false">-E52*$F$2</f>
        <v>-17302176.5836979</v>
      </c>
      <c r="H52" s="61" t="n">
        <f aca="false">-E52*$C$3</f>
        <v>-27683482.5339167</v>
      </c>
      <c r="I52" s="61" t="n">
        <f aca="false">+E52+F52+G52+H52</f>
        <v>13030568.4266771</v>
      </c>
      <c r="J52" s="58" t="n">
        <f aca="false">+J51+I52</f>
        <v>138537241.14431</v>
      </c>
    </row>
    <row r="53" customFormat="false" ht="14.25" hidden="false" customHeight="false" outlineLevel="0" collapsed="false">
      <c r="A53" s="3" t="n">
        <f aca="false">+A52+1</f>
        <v>48</v>
      </c>
      <c r="B53" s="59" t="n">
        <f aca="false">+'Channel 1 Sales'!C53</f>
        <v>4028.535</v>
      </c>
      <c r="C53" s="60" t="n">
        <v>101390.426250872</v>
      </c>
      <c r="D53" s="51" t="n">
        <f aca="false">IF(MOD($A53-1, 12) = 0, D52 * 1.05, D52)</f>
        <v>694.575</v>
      </c>
      <c r="E53" s="61" t="n">
        <f aca="false">+C53*D53</f>
        <v>70423255.3131993</v>
      </c>
      <c r="F53" s="61" t="n">
        <f aca="false">-$F$1*B53*D53</f>
        <v>-11192478.7905</v>
      </c>
      <c r="G53" s="61" t="n">
        <f aca="false">-E53*$F$2</f>
        <v>-17605813.8282998</v>
      </c>
      <c r="H53" s="61" t="n">
        <f aca="false">-E53*$C$3</f>
        <v>-28169302.1252797</v>
      </c>
      <c r="I53" s="61" t="n">
        <f aca="false">+E53+F53+G53+H53</f>
        <v>13455660.5691197</v>
      </c>
      <c r="J53" s="58" t="n">
        <f aca="false">+J52+I53</f>
        <v>151992901.71343</v>
      </c>
    </row>
    <row r="54" customFormat="false" ht="14.25" hidden="false" customHeight="false" outlineLevel="0" collapsed="false">
      <c r="A54" s="3" t="n">
        <f aca="false">+A53+1</f>
        <v>49</v>
      </c>
      <c r="B54" s="59" t="n">
        <f aca="false">+'Channel 1 Sales'!C54</f>
        <v>4229.96175</v>
      </c>
      <c r="C54" s="60" t="n">
        <v>103322.988571002</v>
      </c>
      <c r="D54" s="51" t="n">
        <f aca="false">IF(MOD($A54-1, 12) = 0, D53 * 1.05, D53)</f>
        <v>729.30375</v>
      </c>
      <c r="E54" s="61" t="n">
        <f aca="false">+C54*D54</f>
        <v>75353843.0260392</v>
      </c>
      <c r="F54" s="61" t="n">
        <f aca="false">-$F$1*B54*D54</f>
        <v>-12339707.8665263</v>
      </c>
      <c r="G54" s="61" t="n">
        <f aca="false">-E54*$F$2</f>
        <v>-18838460.7565098</v>
      </c>
      <c r="H54" s="61" t="n">
        <f aca="false">-E54*$C$3</f>
        <v>-30141537.2104157</v>
      </c>
      <c r="I54" s="61" t="n">
        <f aca="false">+E54+F54+G54+H54</f>
        <v>14034137.1925875</v>
      </c>
      <c r="J54" s="58" t="n">
        <f aca="false">+J53+I54</f>
        <v>166027038.906017</v>
      </c>
    </row>
    <row r="55" customFormat="false" ht="14.25" hidden="false" customHeight="false" outlineLevel="0" collapsed="false">
      <c r="A55" s="3" t="n">
        <f aca="false">+A54+1</f>
        <v>50</v>
      </c>
      <c r="B55" s="59" t="n">
        <f aca="false">+'Channel 1 Sales'!C55</f>
        <v>4229.96175</v>
      </c>
      <c r="C55" s="60" t="n">
        <v>105217.089726682</v>
      </c>
      <c r="D55" s="51" t="n">
        <f aca="false">IF(MOD($A55-1, 12) = 0, D54 * 1.05, D54)</f>
        <v>729.30375</v>
      </c>
      <c r="E55" s="61" t="n">
        <f aca="false">+C55*D55</f>
        <v>76735218.1017554</v>
      </c>
      <c r="F55" s="61" t="n">
        <f aca="false">-$F$1*B55*D55</f>
        <v>-12339707.8665263</v>
      </c>
      <c r="G55" s="61" t="n">
        <f aca="false">-E55*$F$2</f>
        <v>-19183804.5254389</v>
      </c>
      <c r="H55" s="61" t="n">
        <f aca="false">-E55*$C$3</f>
        <v>-30694087.2407022</v>
      </c>
      <c r="I55" s="61" t="n">
        <f aca="false">+E55+F55+G55+H55</f>
        <v>14517618.4690881</v>
      </c>
      <c r="J55" s="58" t="n">
        <f aca="false">+J54+I55</f>
        <v>180544657.375105</v>
      </c>
    </row>
    <row r="56" customFormat="false" ht="14.25" hidden="false" customHeight="false" outlineLevel="0" collapsed="false">
      <c r="A56" s="3" t="n">
        <f aca="false">+A55+1</f>
        <v>51</v>
      </c>
      <c r="B56" s="59" t="n">
        <f aca="false">+'Channel 1 Sales'!C56</f>
        <v>4229.96175</v>
      </c>
      <c r="C56" s="60" t="n">
        <v>107079.630484917</v>
      </c>
      <c r="D56" s="51" t="n">
        <f aca="false">IF(MOD($A56-1, 12) = 0, D55 * 1.05, D55)</f>
        <v>729.30375</v>
      </c>
      <c r="E56" s="61" t="n">
        <f aca="false">+C56*D56</f>
        <v>78093576.061264</v>
      </c>
      <c r="F56" s="61" t="n">
        <f aca="false">-$F$1*B56*D56</f>
        <v>-12339707.8665263</v>
      </c>
      <c r="G56" s="61" t="n">
        <f aca="false">-E56*$F$2</f>
        <v>-19523394.015316</v>
      </c>
      <c r="H56" s="61" t="n">
        <f aca="false">-E56*$C$3</f>
        <v>-31237430.4245056</v>
      </c>
      <c r="I56" s="61" t="n">
        <f aca="false">+E56+F56+G56+H56</f>
        <v>14993043.7549162</v>
      </c>
      <c r="J56" s="58" t="n">
        <f aca="false">+J55+I56</f>
        <v>195537701.130021</v>
      </c>
    </row>
    <row r="57" customFormat="false" ht="14.25" hidden="false" customHeight="false" outlineLevel="0" collapsed="false">
      <c r="A57" s="3" t="n">
        <f aca="false">+A56+1</f>
        <v>52</v>
      </c>
      <c r="B57" s="59" t="n">
        <f aca="false">+'Channel 1 Sales'!C57</f>
        <v>4229.96175</v>
      </c>
      <c r="C57" s="60" t="n">
        <v>108916.082370202</v>
      </c>
      <c r="D57" s="51" t="n">
        <f aca="false">IF(MOD($A57-1, 12) = 0, D56 * 1.05, D56)</f>
        <v>729.30375</v>
      </c>
      <c r="E57" s="61" t="n">
        <f aca="false">+C57*D57</f>
        <v>79432907.3078969</v>
      </c>
      <c r="F57" s="61" t="n">
        <f aca="false">-$F$1*B57*D57</f>
        <v>-12339707.8665263</v>
      </c>
      <c r="G57" s="61" t="n">
        <f aca="false">-E57*$F$2</f>
        <v>-19858226.8269742</v>
      </c>
      <c r="H57" s="61" t="n">
        <f aca="false">-E57*$C$3</f>
        <v>-31773162.9231588</v>
      </c>
      <c r="I57" s="61" t="n">
        <f aca="false">+E57+F57+G57+H57</f>
        <v>15461809.6912377</v>
      </c>
      <c r="J57" s="58" t="n">
        <f aca="false">+J56+I57</f>
        <v>210999510.821259</v>
      </c>
    </row>
    <row r="58" customFormat="false" ht="14.25" hidden="false" customHeight="false" outlineLevel="0" collapsed="false">
      <c r="A58" s="3" t="n">
        <f aca="false">+A57+1</f>
        <v>53</v>
      </c>
      <c r="B58" s="59" t="n">
        <f aca="false">+'Channel 1 Sales'!C58</f>
        <v>4229.96175</v>
      </c>
      <c r="C58" s="60" t="n">
        <v>110727.900425725</v>
      </c>
      <c r="D58" s="51" t="n">
        <f aca="false">IF(MOD($A58-1, 12) = 0, D57 * 1.05, D57)</f>
        <v>729.30375</v>
      </c>
      <c r="E58" s="61" t="n">
        <f aca="false">+C58*D58</f>
        <v>80754273.0101076</v>
      </c>
      <c r="F58" s="61" t="n">
        <f aca="false">-$F$1*B58*D58</f>
        <v>-12339707.8665263</v>
      </c>
      <c r="G58" s="61" t="n">
        <f aca="false">-E58*$F$2</f>
        <v>-20188568.2525269</v>
      </c>
      <c r="H58" s="61" t="n">
        <f aca="false">-E58*$C$3</f>
        <v>-32301709.2040431</v>
      </c>
      <c r="I58" s="61" t="n">
        <f aca="false">+E58+F58+G58+H58</f>
        <v>15924287.6870114</v>
      </c>
      <c r="J58" s="58" t="n">
        <f aca="false">+J57+I58</f>
        <v>226923798.50827</v>
      </c>
    </row>
    <row r="59" customFormat="false" ht="14.25" hidden="false" customHeight="false" outlineLevel="0" collapsed="false">
      <c r="A59" s="3" t="n">
        <f aca="false">+A58+1</f>
        <v>54</v>
      </c>
      <c r="B59" s="59" t="n">
        <f aca="false">+'Channel 1 Sales'!C59</f>
        <v>4229.96175</v>
      </c>
      <c r="C59" s="60" t="n">
        <v>112516.388936</v>
      </c>
      <c r="D59" s="51" t="n">
        <f aca="false">IF(MOD($A59-1, 12) = 0, D58 * 1.05, D58)</f>
        <v>729.30375</v>
      </c>
      <c r="E59" s="61" t="n">
        <f aca="false">+C59*D59</f>
        <v>82058624.387483</v>
      </c>
      <c r="F59" s="61" t="n">
        <f aca="false">-$F$1*B59*D59</f>
        <v>-12339707.8665263</v>
      </c>
      <c r="G59" s="61" t="n">
        <f aca="false">-E59*$F$2</f>
        <v>-20514656.0968708</v>
      </c>
      <c r="H59" s="61" t="n">
        <f aca="false">-E59*$C$3</f>
        <v>-32823449.7549932</v>
      </c>
      <c r="I59" s="61" t="n">
        <f aca="false">+E59+F59+G59+H59</f>
        <v>16380810.6690928</v>
      </c>
      <c r="J59" s="58" t="n">
        <f aca="false">+J58+I59</f>
        <v>243304609.177363</v>
      </c>
    </row>
    <row r="60" customFormat="false" ht="14.25" hidden="false" customHeight="false" outlineLevel="0" collapsed="false">
      <c r="A60" s="3" t="n">
        <f aca="false">+A59+1</f>
        <v>55</v>
      </c>
      <c r="B60" s="59" t="n">
        <f aca="false">+'Channel 1 Sales'!C60</f>
        <v>4229.96175</v>
      </c>
      <c r="C60" s="60" t="n">
        <v>114282.72668693</v>
      </c>
      <c r="D60" s="51" t="n">
        <f aca="false">IF(MOD($A60-1, 12) = 0, D59 * 1.05, D59)</f>
        <v>729.30375</v>
      </c>
      <c r="E60" s="61" t="n">
        <f aca="false">+C60*D60</f>
        <v>83346821.1330032</v>
      </c>
      <c r="F60" s="61" t="n">
        <f aca="false">-$F$1*B60*D60</f>
        <v>-12339707.8665263</v>
      </c>
      <c r="G60" s="61" t="n">
        <f aca="false">-E60*$F$2</f>
        <v>-20836705.2832508</v>
      </c>
      <c r="H60" s="61" t="n">
        <f aca="false">-E60*$C$3</f>
        <v>-33338728.4532013</v>
      </c>
      <c r="I60" s="61" t="n">
        <f aca="false">+E60+F60+G60+H60</f>
        <v>16831679.5300249</v>
      </c>
      <c r="J60" s="58" t="n">
        <f aca="false">+J59+I60</f>
        <v>260136288.707388</v>
      </c>
    </row>
    <row r="61" customFormat="false" ht="14.25" hidden="false" customHeight="false" outlineLevel="0" collapsed="false">
      <c r="A61" s="3" t="n">
        <f aca="false">+A60+1</f>
        <v>56</v>
      </c>
      <c r="B61" s="59" t="n">
        <f aca="false">+'Channel 1 Sales'!C61</f>
        <v>4229.96175</v>
      </c>
      <c r="C61" s="60" t="n">
        <v>116027.988360958</v>
      </c>
      <c r="D61" s="51" t="n">
        <f aca="false">IF(MOD($A61-1, 12) = 0, D60 * 1.05, D60)</f>
        <v>729.30375</v>
      </c>
      <c r="E61" s="61" t="n">
        <f aca="false">+C61*D61</f>
        <v>84619647.0166031</v>
      </c>
      <c r="F61" s="61" t="n">
        <f aca="false">-$F$1*B61*D61</f>
        <v>-12339707.8665263</v>
      </c>
      <c r="G61" s="61" t="n">
        <f aca="false">-E61*$F$2</f>
        <v>-21154911.7541508</v>
      </c>
      <c r="H61" s="61" t="n">
        <f aca="false">-E61*$C$3</f>
        <v>-33847858.8066413</v>
      </c>
      <c r="I61" s="61" t="n">
        <f aca="false">+E61+F61+G61+H61</f>
        <v>17277168.5892849</v>
      </c>
      <c r="J61" s="58" t="n">
        <f aca="false">+J60+I61</f>
        <v>277413457.296673</v>
      </c>
    </row>
    <row r="62" customFormat="false" ht="14.25" hidden="false" customHeight="false" outlineLevel="0" collapsed="false">
      <c r="A62" s="3" t="n">
        <f aca="false">+A61+1</f>
        <v>57</v>
      </c>
      <c r="B62" s="59" t="n">
        <f aca="false">+'Channel 1 Sales'!C62</f>
        <v>4229.96175</v>
      </c>
      <c r="C62" s="60" t="n">
        <v>117753.162814314</v>
      </c>
      <c r="D62" s="51" t="n">
        <f aca="false">IF(MOD($A62-1, 12) = 0, D61 * 1.05, D61)</f>
        <v>729.30375</v>
      </c>
      <c r="E62" s="61" t="n">
        <f aca="false">+C62*D62</f>
        <v>85877823.2148399</v>
      </c>
      <c r="F62" s="61" t="n">
        <f aca="false">-$F$1*B62*D62</f>
        <v>-12339707.8665263</v>
      </c>
      <c r="G62" s="61" t="n">
        <f aca="false">-E62*$F$2</f>
        <v>-21469455.80371</v>
      </c>
      <c r="H62" s="61" t="n">
        <f aca="false">-E62*$C$3</f>
        <v>-34351129.285936</v>
      </c>
      <c r="I62" s="61" t="n">
        <f aca="false">+E62+F62+G62+H62</f>
        <v>17717530.2586677</v>
      </c>
      <c r="J62" s="58" t="n">
        <f aca="false">+J61+I62</f>
        <v>295130987.555341</v>
      </c>
    </row>
    <row r="63" customFormat="false" ht="14.25" hidden="false" customHeight="false" outlineLevel="0" collapsed="false">
      <c r="A63" s="3" t="n">
        <f aca="false">+A62+1</f>
        <v>58</v>
      </c>
      <c r="B63" s="59" t="n">
        <f aca="false">+'Channel 1 Sales'!C63</f>
        <v>4229.96175</v>
      </c>
      <c r="C63" s="60" t="n">
        <v>119459.168848777</v>
      </c>
      <c r="D63" s="51" t="n">
        <f aca="false">IF(MOD($A63-1, 12) = 0, D62 * 1.05, D62)</f>
        <v>729.30375</v>
      </c>
      <c r="E63" s="61" t="n">
        <f aca="false">+C63*D63</f>
        <v>87122019.8132959</v>
      </c>
      <c r="F63" s="61" t="n">
        <f aca="false">-$F$1*B63*D63</f>
        <v>-12339707.8665263</v>
      </c>
      <c r="G63" s="61" t="n">
        <f aca="false">-E63*$F$2</f>
        <v>-21780504.953324</v>
      </c>
      <c r="H63" s="61" t="n">
        <f aca="false">-E63*$C$3</f>
        <v>-34848807.9253184</v>
      </c>
      <c r="I63" s="61" t="n">
        <f aca="false">+E63+F63+G63+H63</f>
        <v>18152999.0681273</v>
      </c>
      <c r="J63" s="58" t="n">
        <f aca="false">+J62+I63</f>
        <v>313283986.623468</v>
      </c>
    </row>
    <row r="64" customFormat="false" ht="14.25" hidden="false" customHeight="false" outlineLevel="0" collapsed="false">
      <c r="A64" s="3" t="n">
        <f aca="false">+A63+1</f>
        <v>59</v>
      </c>
      <c r="B64" s="59" t="n">
        <f aca="false">+'Channel 1 Sales'!C64</f>
        <v>4229.96175</v>
      </c>
      <c r="C64" s="60" t="n">
        <v>121146.86898456</v>
      </c>
      <c r="D64" s="51" t="n">
        <f aca="false">IF(MOD($A64-1, 12) = 0, D63 * 1.05, D63)</f>
        <v>729.30375</v>
      </c>
      <c r="E64" s="61" t="n">
        <f aca="false">+C64*D64</f>
        <v>88352865.8511984</v>
      </c>
      <c r="F64" s="61" t="n">
        <f aca="false">-$F$1*B64*D64</f>
        <v>-12339707.8665263</v>
      </c>
      <c r="G64" s="61" t="n">
        <f aca="false">-E64*$F$2</f>
        <v>-22088216.4627996</v>
      </c>
      <c r="H64" s="61" t="n">
        <f aca="false">-E64*$C$3</f>
        <v>-35341146.3404793</v>
      </c>
      <c r="I64" s="61" t="n">
        <f aca="false">+E64+F64+G64+H64</f>
        <v>18583795.1813932</v>
      </c>
      <c r="J64" s="58" t="n">
        <f aca="false">+J63+I64</f>
        <v>331867781.804861</v>
      </c>
    </row>
    <row r="65" customFormat="false" ht="14.25" hidden="false" customHeight="false" outlineLevel="0" collapsed="false">
      <c r="A65" s="3" t="n">
        <f aca="false">+A64+1</f>
        <v>60</v>
      </c>
      <c r="B65" s="62" t="n">
        <f aca="false">+'Channel 1 Sales'!C65</f>
        <v>4229.96175</v>
      </c>
      <c r="C65" s="63" t="n">
        <v>122817.692118986</v>
      </c>
      <c r="D65" s="64" t="n">
        <f aca="false">IF(MOD($A65-1, 12) = 0, D64 * 1.05, D64)</f>
        <v>729.30375</v>
      </c>
      <c r="E65" s="65" t="n">
        <f aca="false">+C65*D65</f>
        <v>89571403.4287218</v>
      </c>
      <c r="F65" s="65" t="n">
        <f aca="false">-$F$1*B65*D65</f>
        <v>-12339707.8665263</v>
      </c>
      <c r="G65" s="65" t="n">
        <f aca="false">-E65*$F$2</f>
        <v>-22392850.8571804</v>
      </c>
      <c r="H65" s="65" t="n">
        <f aca="false">-E65*$C$3</f>
        <v>-35828561.3714887</v>
      </c>
      <c r="I65" s="65" t="n">
        <f aca="false">+E65+F65+G65+H65</f>
        <v>19010283.3335264</v>
      </c>
      <c r="J65" s="66" t="n">
        <f aca="false">+J64+I65</f>
        <v>350878065.138388</v>
      </c>
    </row>
    <row r="66" customFormat="false" ht="14.25" hidden="false" customHeight="false" outlineLevel="0" collapsed="false">
      <c r="E66" s="67"/>
      <c r="F66" s="67"/>
      <c r="G66" s="67"/>
      <c r="H66" s="67"/>
      <c r="I66" s="67"/>
      <c r="J66" s="67"/>
    </row>
    <row r="67" customFormat="false" ht="14.25" hidden="false" customHeight="false" outlineLevel="0" collapsed="false">
      <c r="E67" s="67"/>
      <c r="F67" s="67"/>
      <c r="G67" s="67"/>
      <c r="H67" s="67"/>
      <c r="I67" s="67"/>
      <c r="J67" s="67"/>
    </row>
    <row r="68" customFormat="false" ht="14.25" hidden="false" customHeight="false" outlineLevel="0" collapsed="false">
      <c r="E68" s="67"/>
      <c r="F68" s="67"/>
      <c r="G68" s="67"/>
      <c r="H68" s="67"/>
      <c r="I68" s="67"/>
      <c r="J68" s="67"/>
    </row>
    <row r="69" customFormat="false" ht="14.25" hidden="false" customHeight="false" outlineLevel="0" collapsed="false">
      <c r="E69" s="67"/>
      <c r="F69" s="67"/>
      <c r="G69" s="67"/>
      <c r="H69" s="67"/>
      <c r="I69" s="67"/>
      <c r="J69" s="67"/>
    </row>
    <row r="70" customFormat="false" ht="14.25" hidden="false" customHeight="false" outlineLevel="0" collapsed="false">
      <c r="E70" s="67"/>
      <c r="F70" s="67"/>
      <c r="G70" s="67"/>
      <c r="H70" s="67"/>
      <c r="I70" s="67"/>
      <c r="J70" s="67"/>
    </row>
    <row r="71" customFormat="false" ht="14.25" hidden="false" customHeight="false" outlineLevel="0" collapsed="false">
      <c r="E71" s="67"/>
      <c r="F71" s="67"/>
      <c r="G71" s="67"/>
      <c r="H71" s="67"/>
      <c r="I71" s="67"/>
      <c r="J71" s="67"/>
    </row>
    <row r="72" customFormat="false" ht="14.25" hidden="false" customHeight="false" outlineLevel="0" collapsed="false">
      <c r="E72" s="67"/>
      <c r="F72" s="67"/>
      <c r="G72" s="67"/>
      <c r="H72" s="67"/>
      <c r="I72" s="67"/>
      <c r="J72" s="67"/>
    </row>
    <row r="73" customFormat="false" ht="14.25" hidden="false" customHeight="false" outlineLevel="0" collapsed="false">
      <c r="E73" s="67"/>
      <c r="F73" s="67"/>
      <c r="G73" s="67"/>
      <c r="H73" s="67"/>
      <c r="I73" s="67"/>
      <c r="J73" s="67"/>
    </row>
    <row r="74" customFormat="false" ht="14.25" hidden="false" customHeight="false" outlineLevel="0" collapsed="false">
      <c r="E74" s="67"/>
      <c r="F74" s="67"/>
      <c r="G74" s="67"/>
      <c r="H74" s="67"/>
      <c r="I74" s="67"/>
      <c r="J74" s="67"/>
    </row>
    <row r="75" customFormat="false" ht="14.25" hidden="false" customHeight="false" outlineLevel="0" collapsed="false">
      <c r="E75" s="67"/>
      <c r="F75" s="67"/>
      <c r="G75" s="67"/>
      <c r="H75" s="67"/>
      <c r="I75" s="67"/>
      <c r="J75" s="67"/>
    </row>
    <row r="76" customFormat="false" ht="14.25" hidden="false" customHeight="false" outlineLevel="0" collapsed="false">
      <c r="E76" s="67"/>
      <c r="F76" s="67"/>
      <c r="G76" s="67"/>
      <c r="H76" s="67"/>
      <c r="I76" s="67"/>
      <c r="J76" s="67"/>
    </row>
    <row r="77" customFormat="false" ht="14.25" hidden="false" customHeight="false" outlineLevel="0" collapsed="false">
      <c r="E77" s="67"/>
      <c r="F77" s="67"/>
      <c r="G77" s="67"/>
      <c r="H77" s="67"/>
      <c r="I77" s="67"/>
      <c r="J77" s="67"/>
    </row>
    <row r="78" customFormat="false" ht="14.25" hidden="false" customHeight="false" outlineLevel="0" collapsed="false">
      <c r="E78" s="67"/>
      <c r="F78" s="67"/>
      <c r="G78" s="67"/>
      <c r="H78" s="67"/>
      <c r="I78" s="67"/>
      <c r="J78" s="67"/>
    </row>
    <row r="79" customFormat="false" ht="14.25" hidden="false" customHeight="false" outlineLevel="0" collapsed="false">
      <c r="E79" s="67"/>
      <c r="F79" s="67"/>
      <c r="G79" s="67"/>
      <c r="H79" s="67"/>
      <c r="I79" s="67"/>
      <c r="J79" s="67"/>
    </row>
    <row r="80" customFormat="false" ht="14.25" hidden="false" customHeight="false" outlineLevel="0" collapsed="false">
      <c r="E80" s="67"/>
      <c r="F80" s="67"/>
      <c r="G80" s="67"/>
      <c r="H80" s="67"/>
      <c r="I80" s="67"/>
      <c r="J80" s="67"/>
    </row>
    <row r="81" customFormat="false" ht="14.25" hidden="false" customHeight="false" outlineLevel="0" collapsed="false">
      <c r="E81" s="67"/>
      <c r="F81" s="67"/>
      <c r="G81" s="67"/>
      <c r="H81" s="67"/>
      <c r="I81" s="67"/>
      <c r="J81" s="67"/>
    </row>
    <row r="82" customFormat="false" ht="14.25" hidden="false" customHeight="false" outlineLevel="0" collapsed="false">
      <c r="E82" s="67"/>
      <c r="F82" s="67"/>
      <c r="G82" s="67"/>
      <c r="H82" s="67"/>
      <c r="I82" s="67"/>
      <c r="J82" s="67"/>
    </row>
    <row r="83" customFormat="false" ht="14.25" hidden="false" customHeight="false" outlineLevel="0" collapsed="false">
      <c r="E83" s="67"/>
      <c r="F83" s="67"/>
      <c r="G83" s="67"/>
      <c r="H83" s="67"/>
      <c r="I83" s="67"/>
      <c r="J83" s="67"/>
    </row>
    <row r="84" customFormat="false" ht="14.25" hidden="false" customHeight="false" outlineLevel="0" collapsed="false">
      <c r="E84" s="67"/>
      <c r="F84" s="67"/>
      <c r="G84" s="67"/>
      <c r="H84" s="67"/>
      <c r="I84" s="67"/>
      <c r="J84" s="67"/>
    </row>
    <row r="85" customFormat="false" ht="14.25" hidden="false" customHeight="false" outlineLevel="0" collapsed="false">
      <c r="E85" s="67"/>
      <c r="F85" s="67"/>
      <c r="G85" s="67"/>
      <c r="H85" s="67"/>
      <c r="I85" s="67"/>
      <c r="J85" s="67"/>
    </row>
    <row r="86" customFormat="false" ht="14.25" hidden="false" customHeight="false" outlineLevel="0" collapsed="false">
      <c r="E86" s="67"/>
      <c r="F86" s="67"/>
      <c r="G86" s="67"/>
      <c r="H86" s="67"/>
      <c r="I86" s="67"/>
      <c r="J86" s="67"/>
    </row>
    <row r="87" customFormat="false" ht="14.25" hidden="false" customHeight="false" outlineLevel="0" collapsed="false">
      <c r="E87" s="67"/>
      <c r="F87" s="67"/>
      <c r="G87" s="67"/>
      <c r="H87" s="67"/>
      <c r="I87" s="67"/>
      <c r="J87" s="67"/>
    </row>
    <row r="88" customFormat="false" ht="14.25" hidden="false" customHeight="false" outlineLevel="0" collapsed="false">
      <c r="E88" s="67"/>
      <c r="F88" s="67"/>
      <c r="G88" s="67"/>
      <c r="H88" s="67"/>
      <c r="I88" s="67"/>
      <c r="J88" s="67"/>
    </row>
    <row r="89" customFormat="false" ht="14.25" hidden="false" customHeight="false" outlineLevel="0" collapsed="false">
      <c r="E89" s="67"/>
      <c r="F89" s="67"/>
      <c r="G89" s="67"/>
      <c r="H89" s="67"/>
      <c r="I89" s="67"/>
      <c r="J89" s="67"/>
    </row>
    <row r="90" customFormat="false" ht="14.25" hidden="false" customHeight="false" outlineLevel="0" collapsed="false">
      <c r="E90" s="67"/>
      <c r="F90" s="67"/>
      <c r="G90" s="67"/>
      <c r="H90" s="67"/>
      <c r="I90" s="67"/>
      <c r="J90" s="67"/>
    </row>
    <row r="91" customFormat="false" ht="14.25" hidden="false" customHeight="false" outlineLevel="0" collapsed="false">
      <c r="E91" s="67"/>
      <c r="F91" s="67"/>
      <c r="G91" s="67"/>
      <c r="H91" s="67"/>
      <c r="I91" s="67"/>
      <c r="J91" s="67"/>
    </row>
    <row r="92" customFormat="false" ht="14.25" hidden="false" customHeight="false" outlineLevel="0" collapsed="false">
      <c r="E92" s="67"/>
      <c r="F92" s="67"/>
      <c r="G92" s="67"/>
      <c r="H92" s="67"/>
      <c r="I92" s="67"/>
      <c r="J92" s="67"/>
    </row>
    <row r="93" customFormat="false" ht="14.25" hidden="false" customHeight="false" outlineLevel="0" collapsed="false">
      <c r="E93" s="67"/>
      <c r="F93" s="67"/>
      <c r="G93" s="67"/>
      <c r="H93" s="67"/>
      <c r="I93" s="67"/>
      <c r="J93" s="67"/>
    </row>
    <row r="94" customFormat="false" ht="14.25" hidden="false" customHeight="false" outlineLevel="0" collapsed="false">
      <c r="E94" s="67"/>
      <c r="F94" s="67"/>
      <c r="G94" s="67"/>
      <c r="H94" s="67"/>
      <c r="I94" s="67"/>
      <c r="J94" s="67"/>
    </row>
    <row r="95" customFormat="false" ht="14.25" hidden="false" customHeight="false" outlineLevel="0" collapsed="false">
      <c r="E95" s="67"/>
      <c r="F95" s="67"/>
      <c r="G95" s="67"/>
      <c r="H95" s="67"/>
      <c r="I95" s="67"/>
      <c r="J95" s="67"/>
    </row>
    <row r="96" customFormat="false" ht="14.25" hidden="false" customHeight="false" outlineLevel="0" collapsed="false">
      <c r="E96" s="67"/>
      <c r="F96" s="67"/>
      <c r="G96" s="67"/>
      <c r="H96" s="67"/>
      <c r="I96" s="67"/>
      <c r="J96" s="67"/>
    </row>
    <row r="97" customFormat="false" ht="14.25" hidden="false" customHeight="false" outlineLevel="0" collapsed="false">
      <c r="E97" s="67"/>
      <c r="F97" s="67"/>
      <c r="G97" s="67"/>
      <c r="H97" s="67"/>
      <c r="I97" s="67"/>
      <c r="J97" s="67"/>
    </row>
    <row r="98" customFormat="false" ht="14.25" hidden="false" customHeight="false" outlineLevel="0" collapsed="false">
      <c r="E98" s="67"/>
      <c r="F98" s="67"/>
      <c r="G98" s="67"/>
      <c r="H98" s="67"/>
      <c r="I98" s="67"/>
      <c r="J98" s="67"/>
    </row>
    <row r="99" customFormat="false" ht="14.25" hidden="false" customHeight="false" outlineLevel="0" collapsed="false">
      <c r="E99" s="67"/>
      <c r="F99" s="67"/>
      <c r="G99" s="67"/>
      <c r="H99" s="67"/>
      <c r="I99" s="67"/>
      <c r="J99" s="67"/>
    </row>
    <row r="100" customFormat="false" ht="14.25" hidden="false" customHeight="false" outlineLevel="0" collapsed="false">
      <c r="E100" s="67"/>
      <c r="F100" s="67"/>
      <c r="G100" s="67"/>
      <c r="H100" s="67"/>
      <c r="I100" s="67"/>
      <c r="J100" s="67"/>
    </row>
    <row r="101" customFormat="false" ht="14.25" hidden="false" customHeight="false" outlineLevel="0" collapsed="false">
      <c r="E101" s="67"/>
      <c r="F101" s="67"/>
      <c r="G101" s="67"/>
      <c r="H101" s="67"/>
      <c r="I101" s="67"/>
      <c r="J101" s="67"/>
    </row>
    <row r="102" customFormat="false" ht="14.25" hidden="false" customHeight="false" outlineLevel="0" collapsed="false">
      <c r="E102" s="67"/>
      <c r="F102" s="67"/>
      <c r="G102" s="67"/>
      <c r="H102" s="67"/>
      <c r="I102" s="67"/>
    </row>
    <row r="103" customFormat="false" ht="14.25" hidden="false" customHeight="false" outlineLevel="0" collapsed="false">
      <c r="E103" s="67"/>
      <c r="F103" s="67"/>
      <c r="G103" s="67"/>
      <c r="H103" s="67"/>
      <c r="I103" s="67"/>
    </row>
    <row r="104" customFormat="false" ht="14.25" hidden="false" customHeight="false" outlineLevel="0" collapsed="false">
      <c r="E104" s="67"/>
      <c r="F104" s="67"/>
      <c r="G104" s="67"/>
      <c r="H104" s="67"/>
      <c r="I104" s="67"/>
    </row>
    <row r="105" customFormat="false" ht="14.25" hidden="false" customHeight="false" outlineLevel="0" collapsed="false">
      <c r="E105" s="67"/>
      <c r="F105" s="67"/>
      <c r="G105" s="67"/>
      <c r="H105" s="67"/>
      <c r="I105" s="67"/>
    </row>
    <row r="106" customFormat="false" ht="14.25" hidden="false" customHeight="false" outlineLevel="0" collapsed="false">
      <c r="E106" s="67"/>
      <c r="F106" s="67"/>
      <c r="G106" s="67"/>
      <c r="H106" s="67"/>
      <c r="I106" s="67"/>
    </row>
    <row r="107" customFormat="false" ht="14.25" hidden="false" customHeight="false" outlineLevel="0" collapsed="false">
      <c r="E107" s="67"/>
      <c r="F107" s="67"/>
      <c r="G107" s="67"/>
      <c r="H107" s="67"/>
      <c r="I107" s="67"/>
    </row>
    <row r="108" customFormat="false" ht="14.25" hidden="false" customHeight="false" outlineLevel="0" collapsed="false">
      <c r="E108" s="67"/>
      <c r="F108" s="67"/>
      <c r="G108" s="67"/>
      <c r="H108" s="67"/>
      <c r="I108" s="67"/>
    </row>
    <row r="109" customFormat="false" ht="14.25" hidden="false" customHeight="false" outlineLevel="0" collapsed="false">
      <c r="E109" s="67"/>
      <c r="F109" s="67"/>
      <c r="G109" s="67"/>
      <c r="H109" s="67"/>
      <c r="I109" s="67"/>
    </row>
    <row r="110" customFormat="false" ht="14.25" hidden="false" customHeight="false" outlineLevel="0" collapsed="false">
      <c r="E110" s="67"/>
      <c r="F110" s="67"/>
      <c r="G110" s="67"/>
      <c r="H110" s="67"/>
      <c r="I110" s="67"/>
    </row>
    <row r="111" customFormat="false" ht="14.25" hidden="false" customHeight="false" outlineLevel="0" collapsed="false">
      <c r="E111" s="67"/>
      <c r="F111" s="67"/>
      <c r="G111" s="67"/>
      <c r="H111" s="67"/>
      <c r="I111" s="67"/>
    </row>
    <row r="112" customFormat="false" ht="14.25" hidden="false" customHeight="false" outlineLevel="0" collapsed="false">
      <c r="E112" s="67"/>
      <c r="F112" s="67"/>
      <c r="G112" s="67"/>
      <c r="H112" s="67"/>
      <c r="I112" s="67"/>
    </row>
    <row r="113" customFormat="false" ht="14.25" hidden="false" customHeight="false" outlineLevel="0" collapsed="false">
      <c r="E113" s="67"/>
      <c r="F113" s="67"/>
      <c r="G113" s="67"/>
      <c r="H113" s="67"/>
      <c r="I113" s="67"/>
    </row>
    <row r="114" customFormat="false" ht="14.25" hidden="false" customHeight="false" outlineLevel="0" collapsed="false">
      <c r="E114" s="67"/>
      <c r="F114" s="67"/>
      <c r="G114" s="67"/>
      <c r="H114" s="67"/>
      <c r="I114" s="67"/>
    </row>
    <row r="115" customFormat="false" ht="14.25" hidden="false" customHeight="false" outlineLevel="0" collapsed="false">
      <c r="E115" s="67"/>
      <c r="F115" s="67"/>
      <c r="G115" s="67"/>
      <c r="H115" s="67"/>
      <c r="I115" s="67"/>
    </row>
    <row r="116" customFormat="false" ht="14.25" hidden="false" customHeight="false" outlineLevel="0" collapsed="false">
      <c r="E116" s="67"/>
      <c r="F116" s="67"/>
      <c r="G116" s="67"/>
      <c r="H116" s="67"/>
      <c r="I116" s="67"/>
    </row>
    <row r="117" customFormat="false" ht="14.25" hidden="false" customHeight="false" outlineLevel="0" collapsed="false">
      <c r="E117" s="67"/>
      <c r="F117" s="67"/>
      <c r="G117" s="67"/>
      <c r="H117" s="67"/>
      <c r="I117" s="67"/>
    </row>
    <row r="118" customFormat="false" ht="14.25" hidden="false" customHeight="false" outlineLevel="0" collapsed="false">
      <c r="E118" s="67"/>
      <c r="F118" s="67"/>
      <c r="G118" s="67"/>
      <c r="H118" s="67"/>
      <c r="I118" s="67"/>
    </row>
    <row r="119" customFormat="false" ht="14.25" hidden="false" customHeight="false" outlineLevel="0" collapsed="false">
      <c r="E119" s="67"/>
      <c r="F119" s="67"/>
      <c r="G119" s="67"/>
      <c r="H119" s="67"/>
      <c r="I119" s="67"/>
    </row>
    <row r="120" customFormat="false" ht="14.25" hidden="false" customHeight="false" outlineLevel="0" collapsed="false">
      <c r="E120" s="67"/>
      <c r="F120" s="67"/>
      <c r="G120" s="67"/>
      <c r="H120" s="67"/>
      <c r="I120" s="67"/>
    </row>
    <row r="121" customFormat="false" ht="14.25" hidden="false" customHeight="false" outlineLevel="0" collapsed="false">
      <c r="E121" s="67"/>
      <c r="F121" s="67"/>
      <c r="G121" s="67"/>
      <c r="H121" s="67"/>
      <c r="I121" s="67"/>
    </row>
    <row r="122" customFormat="false" ht="14.25" hidden="false" customHeight="false" outlineLevel="0" collapsed="false">
      <c r="E122" s="67"/>
      <c r="F122" s="67"/>
      <c r="G122" s="67"/>
      <c r="H122" s="67"/>
      <c r="I122" s="67"/>
    </row>
    <row r="123" customFormat="false" ht="14.25" hidden="false" customHeight="false" outlineLevel="0" collapsed="false">
      <c r="E123" s="67"/>
      <c r="F123" s="67"/>
      <c r="G123" s="67"/>
      <c r="H123" s="67"/>
      <c r="I123" s="67"/>
    </row>
    <row r="124" customFormat="false" ht="14.25" hidden="false" customHeight="false" outlineLevel="0" collapsed="false">
      <c r="E124" s="67"/>
      <c r="F124" s="67"/>
      <c r="G124" s="67"/>
      <c r="H124" s="67"/>
      <c r="I124" s="67"/>
    </row>
    <row r="125" customFormat="false" ht="14.25" hidden="false" customHeight="false" outlineLevel="0" collapsed="false">
      <c r="E125" s="67"/>
      <c r="F125" s="67"/>
      <c r="G125" s="67"/>
      <c r="H125" s="67"/>
      <c r="I125" s="67"/>
    </row>
    <row r="126" customFormat="false" ht="14.25" hidden="false" customHeight="false" outlineLevel="0" collapsed="false">
      <c r="E126" s="67"/>
      <c r="F126" s="67"/>
      <c r="G126" s="67"/>
      <c r="H126" s="67"/>
      <c r="I126" s="67"/>
    </row>
    <row r="127" customFormat="false" ht="14.25" hidden="false" customHeight="false" outlineLevel="0" collapsed="false">
      <c r="E127" s="67"/>
      <c r="F127" s="67"/>
      <c r="G127" s="67"/>
      <c r="H127" s="67"/>
      <c r="I127" s="67"/>
    </row>
    <row r="128" customFormat="false" ht="14.25" hidden="false" customHeight="false" outlineLevel="0" collapsed="false">
      <c r="E128" s="67"/>
      <c r="F128" s="67"/>
      <c r="G128" s="67"/>
      <c r="H128" s="67"/>
      <c r="I128" s="67"/>
    </row>
    <row r="129" customFormat="false" ht="14.25" hidden="false" customHeight="false" outlineLevel="0" collapsed="false">
      <c r="E129" s="67"/>
      <c r="F129" s="67"/>
      <c r="G129" s="67"/>
      <c r="H129" s="67"/>
      <c r="I129" s="67"/>
    </row>
    <row r="130" customFormat="false" ht="14.25" hidden="false" customHeight="false" outlineLevel="0" collapsed="false">
      <c r="E130" s="67"/>
      <c r="F130" s="67"/>
      <c r="G130" s="67"/>
      <c r="H130" s="67"/>
      <c r="I130" s="67"/>
    </row>
    <row r="131" customFormat="false" ht="14.25" hidden="false" customHeight="false" outlineLevel="0" collapsed="false">
      <c r="E131" s="67"/>
      <c r="F131" s="67"/>
      <c r="G131" s="67"/>
      <c r="H131" s="67"/>
      <c r="I131" s="67"/>
    </row>
  </sheetData>
  <conditionalFormatting sqref="A1:XFD1048576">
    <cfRule type="cellIs" priority="2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false" showOutlineSymbols="true" defaultGridColor="true" view="normal" topLeftCell="A50" colorId="64" zoomScale="120" zoomScaleNormal="120" zoomScalePageLayoutView="100" workbookViewId="0">
      <selection pane="topLeft" activeCell="D6" activeCellId="0" sqref="D6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2" min="2" style="17" width="16.44"/>
    <col collapsed="false" customWidth="true" hidden="false" outlineLevel="0" max="3" min="3" style="17" width="11.44"/>
    <col collapsed="false" customWidth="true" hidden="false" outlineLevel="0" max="4" min="4" style="17" width="13.66"/>
    <col collapsed="false" customWidth="true" hidden="false" outlineLevel="0" max="5" min="5" style="17" width="21.33"/>
    <col collapsed="false" customWidth="true" hidden="false" outlineLevel="0" max="6" min="6" style="17" width="20.11"/>
    <col collapsed="false" customWidth="true" hidden="false" outlineLevel="0" max="7" min="7" style="17" width="15"/>
    <col collapsed="false" customWidth="true" hidden="false" outlineLevel="0" max="8" min="8" style="17" width="20.44"/>
    <col collapsed="false" customWidth="true" hidden="false" outlineLevel="0" max="9" min="9" style="17" width="16.33"/>
    <col collapsed="false" customWidth="true" hidden="false" outlineLevel="0" max="10" min="10" style="17" width="26.11"/>
    <col collapsed="false" customWidth="true" hidden="false" outlineLevel="0" max="11" min="11" style="17" width="33.33"/>
    <col collapsed="false" customWidth="false" hidden="false" outlineLevel="0" max="16384" min="12" style="17" width="9.11"/>
  </cols>
  <sheetData>
    <row r="1" customFormat="false" ht="14.25" hidden="false" customHeight="false" outlineLevel="0" collapsed="false">
      <c r="B1" s="3" t="s">
        <v>104</v>
      </c>
      <c r="C1" s="52" t="n">
        <f aca="false">+'Inputs &amp; Assuptions'!$C$2</f>
        <v>600</v>
      </c>
      <c r="E1" s="3" t="s">
        <v>94</v>
      </c>
      <c r="F1" s="54" t="s">
        <v>105</v>
      </c>
      <c r="H1" s="51" t="n">
        <f aca="false">IF(MOD($A1, 12) = 0, $C$1 * 1.05, $C$1)</f>
        <v>630</v>
      </c>
      <c r="J1" s="16"/>
    </row>
    <row r="2" customFormat="false" ht="14.25" hidden="false" customHeight="false" outlineLevel="0" collapsed="false">
      <c r="B2" s="3" t="s">
        <v>95</v>
      </c>
      <c r="C2" s="53" t="n">
        <f aca="false">+'Inputs &amp; Assuptions'!$C$3</f>
        <v>0.05</v>
      </c>
      <c r="E2" s="3" t="s">
        <v>96</v>
      </c>
      <c r="F2" s="54" t="n">
        <f aca="false">+'Inputs &amp; Assuptions'!$C$7</f>
        <v>0.25</v>
      </c>
      <c r="H2" s="51" t="n">
        <f aca="false">IF(MOD($A2-1, 12) = 0, H1 * 1.05, H1)</f>
        <v>630</v>
      </c>
    </row>
    <row r="3" customFormat="false" ht="14.25" hidden="false" customHeight="false" outlineLevel="0" collapsed="false">
      <c r="B3" s="3" t="s">
        <v>15</v>
      </c>
      <c r="C3" s="53" t="n">
        <f aca="false">+'Inputs &amp; Assuptions'!$C$8</f>
        <v>0.4</v>
      </c>
    </row>
    <row r="5" customFormat="false" ht="14.25" hidden="false" customHeight="false" outlineLevel="0" collapsed="false">
      <c r="A5" s="3" t="s">
        <v>89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9</v>
      </c>
      <c r="G5" s="3" t="s">
        <v>13</v>
      </c>
      <c r="H5" s="3" t="s">
        <v>101</v>
      </c>
      <c r="I5" s="3" t="s">
        <v>102</v>
      </c>
      <c r="J5" s="3" t="s">
        <v>103</v>
      </c>
    </row>
    <row r="6" customFormat="false" ht="14.25" hidden="false" customHeight="false" outlineLevel="0" collapsed="false">
      <c r="A6" s="3" t="n">
        <v>1</v>
      </c>
      <c r="B6" s="55" t="n">
        <f aca="false">+'Channel 2 Sales'!C6</f>
        <v>1170</v>
      </c>
      <c r="C6" s="56" t="n">
        <f aca="false" t="array" ref="C6:C65">+TRANSPOSE('Channel 2 Sales'!$F$67:$BM$67)</f>
        <v>1170</v>
      </c>
      <c r="D6" s="57" t="n">
        <f aca="false">IF(MOD($A6, 12) = 0, $C$1 * 1.05, $C$1)</f>
        <v>600</v>
      </c>
      <c r="E6" s="57" t="n">
        <f aca="false">+C6*D6</f>
        <v>702000</v>
      </c>
      <c r="F6" s="57" t="n">
        <f aca="false">-((D6*25%)-(MAX(0,(D6-300))*5%)-(MAX(0,(D6-600))*5%)-(MAX(0,(D6-1200))*5%)-(MAX(0,(D6-1500))*5%))*C6</f>
        <v>-157950</v>
      </c>
      <c r="G6" s="57" t="n">
        <f aca="false">-E6*$F$2</f>
        <v>-175500</v>
      </c>
      <c r="H6" s="57" t="n">
        <f aca="false">-E6*$C$3</f>
        <v>-280800</v>
      </c>
      <c r="I6" s="57" t="n">
        <f aca="false">+E6+F6+G6+H6</f>
        <v>87750</v>
      </c>
      <c r="J6" s="68" t="n">
        <f aca="false">+I6</f>
        <v>87750</v>
      </c>
    </row>
    <row r="7" customFormat="false" ht="14.25" hidden="false" customHeight="false" outlineLevel="0" collapsed="false">
      <c r="A7" s="3" t="n">
        <f aca="false">+A6+1</f>
        <v>2</v>
      </c>
      <c r="B7" s="59" t="n">
        <f aca="false">+'Channel 2 Sales'!C7</f>
        <v>1170</v>
      </c>
      <c r="C7" s="60" t="n">
        <v>2278.575</v>
      </c>
      <c r="D7" s="61" t="n">
        <f aca="false">IF(MOD($A7-1, 12) = 0, D6 * 1.05, D6)</f>
        <v>600</v>
      </c>
      <c r="E7" s="61" t="n">
        <f aca="false">+C7*D7</f>
        <v>1367145</v>
      </c>
      <c r="F7" s="61" t="n">
        <f aca="false">-((D7*25%)-(MAX(0,(D7-300))*5%)-(MAX(0,(D7-600))*5%)-(MAX(0,(D7-1200))*5%)-(MAX(0,(D7-1500))*5%))*C7</f>
        <v>-307607.625</v>
      </c>
      <c r="G7" s="61" t="n">
        <f aca="false">-E7*$F$2</f>
        <v>-341786.25</v>
      </c>
      <c r="H7" s="61" t="n">
        <f aca="false">-E7*$C$3</f>
        <v>-546858</v>
      </c>
      <c r="I7" s="61" t="n">
        <f aca="false">+E7+F7+G7+H7</f>
        <v>170893.125</v>
      </c>
      <c r="J7" s="58" t="n">
        <f aca="false">+J6+I7</f>
        <v>258643.125</v>
      </c>
    </row>
    <row r="8" customFormat="false" ht="14.25" hidden="false" customHeight="false" outlineLevel="0" collapsed="false">
      <c r="A8" s="3" t="n">
        <f aca="false">+A7+1</f>
        <v>3</v>
      </c>
      <c r="B8" s="59" t="n">
        <f aca="false">+'Channel 2 Sales'!C8</f>
        <v>1170</v>
      </c>
      <c r="C8" s="60" t="n">
        <v>3342.807</v>
      </c>
      <c r="D8" s="61" t="n">
        <f aca="false">IF(MOD($A8-1, 12) = 0, D7 * 1.05, D7)</f>
        <v>600</v>
      </c>
      <c r="E8" s="61" t="n">
        <f aca="false">+C8*D8</f>
        <v>2005684.2</v>
      </c>
      <c r="F8" s="61" t="n">
        <f aca="false">-((D8*25%)-(MAX(0,(D8-300))*5%)-(MAX(0,(D8-600))*5%)-(MAX(0,(D8-1200))*5%)-(MAX(0,(D8-1500))*5%))*C8</f>
        <v>-451278.945</v>
      </c>
      <c r="G8" s="61" t="n">
        <f aca="false">-E8*$F$2</f>
        <v>-501421.05</v>
      </c>
      <c r="H8" s="61" t="n">
        <f aca="false">-E8*$C$3</f>
        <v>-802273.68</v>
      </c>
      <c r="I8" s="61" t="n">
        <f aca="false">+E8+F8+G8+H8</f>
        <v>250710.525</v>
      </c>
      <c r="J8" s="58" t="n">
        <f aca="false">+J7+I8</f>
        <v>509353.65</v>
      </c>
    </row>
    <row r="9" customFormat="false" ht="14.25" hidden="false" customHeight="false" outlineLevel="0" collapsed="false">
      <c r="A9" s="3" t="n">
        <f aca="false">+A8+1</f>
        <v>4</v>
      </c>
      <c r="B9" s="59" t="n">
        <f aca="false">+'Channel 2 Sales'!C9</f>
        <v>1170</v>
      </c>
      <c r="C9" s="60" t="n">
        <v>5547.77262</v>
      </c>
      <c r="D9" s="61" t="n">
        <f aca="false">IF(MOD($A9-1, 12) = 0, D8 * 1.05, D8)</f>
        <v>600</v>
      </c>
      <c r="E9" s="61" t="n">
        <f aca="false">+C9*D9</f>
        <v>3328663.572</v>
      </c>
      <c r="F9" s="61" t="n">
        <f aca="false">-((D9*25%)-(MAX(0,(D9-300))*5%)-(MAX(0,(D9-600))*5%)-(MAX(0,(D9-1200))*5%)-(MAX(0,(D9-1500))*5%))*C9</f>
        <v>-748949.3037</v>
      </c>
      <c r="G9" s="61" t="n">
        <f aca="false">-E9*$F$2</f>
        <v>-832165.893</v>
      </c>
      <c r="H9" s="61" t="n">
        <f aca="false">-E9*$C$3</f>
        <v>-1331465.4288</v>
      </c>
      <c r="I9" s="61" t="n">
        <f aca="false">+E9+F9+G9+H9</f>
        <v>416082.9465</v>
      </c>
      <c r="J9" s="58" t="n">
        <f aca="false">+J8+I9</f>
        <v>925436.5965</v>
      </c>
    </row>
    <row r="10" customFormat="false" ht="14.25" hidden="false" customHeight="false" outlineLevel="0" collapsed="false">
      <c r="A10" s="3" t="n">
        <f aca="false">+A9+1</f>
        <v>5</v>
      </c>
      <c r="B10" s="59" t="n">
        <f aca="false">+'Channel 2 Sales'!C10</f>
        <v>1170</v>
      </c>
      <c r="C10" s="60" t="n">
        <v>5448.2890995</v>
      </c>
      <c r="D10" s="61" t="n">
        <f aca="false">IF(MOD($A10-1, 12) = 0, D9 * 1.05, D9)</f>
        <v>600</v>
      </c>
      <c r="E10" s="61" t="n">
        <f aca="false">+C10*D10</f>
        <v>3268973.4597</v>
      </c>
      <c r="F10" s="61" t="n">
        <f aca="false">-((D10*25%)-(MAX(0,(D10-300))*5%)-(MAX(0,(D10-600))*5%)-(MAX(0,(D10-1200))*5%)-(MAX(0,(D10-1500))*5%))*C10</f>
        <v>-735519.0284325</v>
      </c>
      <c r="G10" s="61" t="n">
        <f aca="false">-E10*$F$2</f>
        <v>-817243.364925</v>
      </c>
      <c r="H10" s="61" t="n">
        <f aca="false">-E10*$C$3</f>
        <v>-1307589.38388</v>
      </c>
      <c r="I10" s="61" t="n">
        <f aca="false">+E10+F10+G10+H10</f>
        <v>408621.6824625</v>
      </c>
      <c r="J10" s="58" t="n">
        <f aca="false">+J9+I10</f>
        <v>1334058.2789625</v>
      </c>
    </row>
    <row r="11" customFormat="false" ht="14.25" hidden="false" customHeight="false" outlineLevel="0" collapsed="false">
      <c r="A11" s="3" t="n">
        <f aca="false">+A10+1</f>
        <v>6</v>
      </c>
      <c r="B11" s="59" t="n">
        <f aca="false">+'Channel 2 Sales'!C11</f>
        <v>1170</v>
      </c>
      <c r="C11" s="60" t="n">
        <v>6432.21902071125</v>
      </c>
      <c r="D11" s="61" t="n">
        <f aca="false">IF(MOD($A11-1, 12) = 0, D10 * 1.05, D10)</f>
        <v>600</v>
      </c>
      <c r="E11" s="61" t="n">
        <f aca="false">+C11*D11</f>
        <v>3859331.41242675</v>
      </c>
      <c r="F11" s="61" t="n">
        <f aca="false">-((D11*25%)-(MAX(0,(D11-300))*5%)-(MAX(0,(D11-600))*5%)-(MAX(0,(D11-1200))*5%)-(MAX(0,(D11-1500))*5%))*C11</f>
        <v>-868349.567796019</v>
      </c>
      <c r="G11" s="61" t="n">
        <f aca="false">-E11*$F$2</f>
        <v>-964832.853106687</v>
      </c>
      <c r="H11" s="61" t="n">
        <f aca="false">-E11*$C$3</f>
        <v>-1543732.5649707</v>
      </c>
      <c r="I11" s="61" t="n">
        <f aca="false">+E11+F11+G11+H11</f>
        <v>482416.426553343</v>
      </c>
      <c r="J11" s="58" t="n">
        <f aca="false">+J10+I11</f>
        <v>1816474.70551584</v>
      </c>
    </row>
    <row r="12" customFormat="false" ht="14.25" hidden="false" customHeight="false" outlineLevel="0" collapsed="false">
      <c r="A12" s="3" t="n">
        <f aca="false">+A11+1</f>
        <v>7</v>
      </c>
      <c r="B12" s="59" t="n">
        <f aca="false">+'Channel 2 Sales'!C12</f>
        <v>1170</v>
      </c>
      <c r="C12" s="60" t="n">
        <v>7397.25658349828</v>
      </c>
      <c r="D12" s="61" t="n">
        <f aca="false">IF(MOD($A12-1, 12) = 0, D11 * 1.05, D11)</f>
        <v>600</v>
      </c>
      <c r="E12" s="61" t="n">
        <f aca="false">+C12*D12</f>
        <v>4438353.95009897</v>
      </c>
      <c r="F12" s="61" t="n">
        <f aca="false">-((D12*25%)-(MAX(0,(D12-300))*5%)-(MAX(0,(D12-600))*5%)-(MAX(0,(D12-1200))*5%)-(MAX(0,(D12-1500))*5%))*C12</f>
        <v>-998629.638772267</v>
      </c>
      <c r="G12" s="61" t="n">
        <f aca="false">-E12*$F$2</f>
        <v>-1109588.48752474</v>
      </c>
      <c r="H12" s="61" t="n">
        <f aca="false">-E12*$C$3</f>
        <v>-1775341.58003959</v>
      </c>
      <c r="I12" s="61" t="n">
        <f aca="false">+E12+F12+G12+H12</f>
        <v>554794.243762371</v>
      </c>
      <c r="J12" s="58" t="n">
        <f aca="false">+J11+I12</f>
        <v>2371268.94927821</v>
      </c>
    </row>
    <row r="13" customFormat="false" ht="14.25" hidden="false" customHeight="false" outlineLevel="0" collapsed="false">
      <c r="A13" s="3" t="n">
        <f aca="false">+A12+1</f>
        <v>8</v>
      </c>
      <c r="B13" s="59" t="n">
        <f aca="false">+'Channel 2 Sales'!C13</f>
        <v>1170</v>
      </c>
      <c r="C13" s="60" t="n">
        <v>8345.56557108653</v>
      </c>
      <c r="D13" s="61" t="n">
        <f aca="false">IF(MOD($A13-1, 12) = 0, D12 * 1.05, D12)</f>
        <v>600</v>
      </c>
      <c r="E13" s="61" t="n">
        <f aca="false">+C13*D13</f>
        <v>5007339.34265192</v>
      </c>
      <c r="F13" s="61" t="n">
        <f aca="false">-((D13*25%)-(MAX(0,(D13-300))*5%)-(MAX(0,(D13-600))*5%)-(MAX(0,(D13-1200))*5%)-(MAX(0,(D13-1500))*5%))*C13</f>
        <v>-1126651.35209668</v>
      </c>
      <c r="G13" s="61" t="n">
        <f aca="false">-E13*$F$2</f>
        <v>-1251834.83566298</v>
      </c>
      <c r="H13" s="61" t="n">
        <f aca="false">-E13*$C$3</f>
        <v>-2002935.73706077</v>
      </c>
      <c r="I13" s="61" t="n">
        <f aca="false">+E13+F13+G13+H13</f>
        <v>625917.417831489</v>
      </c>
      <c r="J13" s="58" t="n">
        <f aca="false">+J12+I13</f>
        <v>2997186.3671097</v>
      </c>
    </row>
    <row r="14" customFormat="false" ht="14.25" hidden="false" customHeight="false" outlineLevel="0" collapsed="false">
      <c r="A14" s="3" t="n">
        <f aca="false">+A13+1</f>
        <v>9</v>
      </c>
      <c r="B14" s="59" t="n">
        <f aca="false">+'Channel 2 Sales'!C14</f>
        <v>1170</v>
      </c>
      <c r="C14" s="60" t="n">
        <v>9279.80404225721</v>
      </c>
      <c r="D14" s="61" t="n">
        <f aca="false">IF(MOD($A14-1, 12) = 0, D13 * 1.05, D13)</f>
        <v>600</v>
      </c>
      <c r="E14" s="61" t="n">
        <f aca="false">+C14*D14</f>
        <v>5567882.42535432</v>
      </c>
      <c r="F14" s="61" t="n">
        <f aca="false">-((D14*25%)-(MAX(0,(D14-300))*5%)-(MAX(0,(D14-600))*5%)-(MAX(0,(D14-1200))*5%)-(MAX(0,(D14-1500))*5%))*C14</f>
        <v>-1252773.54570472</v>
      </c>
      <c r="G14" s="61" t="n">
        <f aca="false">-E14*$F$2</f>
        <v>-1391970.60633858</v>
      </c>
      <c r="H14" s="61" t="n">
        <f aca="false">-E14*$C$3</f>
        <v>-2227152.97014173</v>
      </c>
      <c r="I14" s="61" t="n">
        <f aca="false">+E14+F14+G14+H14</f>
        <v>695985.303169291</v>
      </c>
      <c r="J14" s="58" t="n">
        <f aca="false">+J13+I14</f>
        <v>3693171.67027899</v>
      </c>
    </row>
    <row r="15" customFormat="false" ht="14.25" hidden="false" customHeight="false" outlineLevel="0" collapsed="false">
      <c r="A15" s="3" t="n">
        <f aca="false">+A14+1</f>
        <v>10</v>
      </c>
      <c r="B15" s="59" t="n">
        <f aca="false">+'Channel 2 Sales'!C15</f>
        <v>1170</v>
      </c>
      <c r="C15" s="60" t="n">
        <v>10202.5137496111</v>
      </c>
      <c r="D15" s="61" t="n">
        <f aca="false">IF(MOD($A15-1, 12) = 0, D14 * 1.05, D14)</f>
        <v>600</v>
      </c>
      <c r="E15" s="61" t="n">
        <f aca="false">+C15*D15</f>
        <v>6121508.24976665</v>
      </c>
      <c r="F15" s="61" t="n">
        <f aca="false">-((D15*25%)-(MAX(0,(D15-300))*5%)-(MAX(0,(D15-600))*5%)-(MAX(0,(D15-1200))*5%)-(MAX(0,(D15-1500))*5%))*C15</f>
        <v>-1377339.3561975</v>
      </c>
      <c r="G15" s="61" t="n">
        <f aca="false">-E15*$F$2</f>
        <v>-1530377.06244166</v>
      </c>
      <c r="H15" s="61" t="n">
        <f aca="false">-E15*$C$3</f>
        <v>-2448603.29990666</v>
      </c>
      <c r="I15" s="61" t="n">
        <f aca="false">+E15+F15+G15+H15</f>
        <v>765188.531220831</v>
      </c>
      <c r="J15" s="58" t="n">
        <f aca="false">+J14+I15</f>
        <v>4458360.20149983</v>
      </c>
    </row>
    <row r="16" customFormat="false" ht="14.25" hidden="false" customHeight="false" outlineLevel="0" collapsed="false">
      <c r="A16" s="3" t="n">
        <f aca="false">+A15+1</f>
        <v>11</v>
      </c>
      <c r="B16" s="59" t="n">
        <f aca="false">+'Channel 2 Sales'!C16</f>
        <v>1170</v>
      </c>
      <c r="C16" s="60" t="n">
        <v>11116.1411948048</v>
      </c>
      <c r="D16" s="61" t="n">
        <f aca="false">IF(MOD($A16-1, 12) = 0, D15 * 1.05, D15)</f>
        <v>600</v>
      </c>
      <c r="E16" s="61" t="n">
        <f aca="false">+C16*D16</f>
        <v>6669684.71688287</v>
      </c>
      <c r="F16" s="61" t="n">
        <f aca="false">-((D16*25%)-(MAX(0,(D16-300))*5%)-(MAX(0,(D16-600))*5%)-(MAX(0,(D16-1200))*5%)-(MAX(0,(D16-1500))*5%))*C16</f>
        <v>-1500679.06129865</v>
      </c>
      <c r="G16" s="61" t="n">
        <f aca="false">-E16*$F$2</f>
        <v>-1667421.17922072</v>
      </c>
      <c r="H16" s="61" t="n">
        <f aca="false">-E16*$C$3</f>
        <v>-2667873.88675315</v>
      </c>
      <c r="I16" s="61" t="n">
        <f aca="false">+E16+F16+G16+H16</f>
        <v>833710.589610359</v>
      </c>
      <c r="J16" s="58" t="n">
        <f aca="false">+J15+I16</f>
        <v>5292070.79111018</v>
      </c>
    </row>
    <row r="17" customFormat="false" ht="14.25" hidden="false" customHeight="false" outlineLevel="0" collapsed="false">
      <c r="A17" s="3" t="n">
        <f aca="false">+A16+1</f>
        <v>12</v>
      </c>
      <c r="B17" s="59" t="n">
        <f aca="false">+'Channel 2 Sales'!C17</f>
        <v>1170</v>
      </c>
      <c r="C17" s="60" t="n">
        <v>12025.3437800274</v>
      </c>
      <c r="D17" s="61" t="n">
        <f aca="false">IF(MOD($A17-1, 12) = 0, D16 * 1.05, D16)</f>
        <v>600</v>
      </c>
      <c r="E17" s="61" t="n">
        <f aca="false">+C17*D17</f>
        <v>7215206.26801643</v>
      </c>
      <c r="F17" s="61" t="n">
        <f aca="false">-((D17*25%)-(MAX(0,(D17-300))*5%)-(MAX(0,(D17-600))*5%)-(MAX(0,(D17-1200))*5%)-(MAX(0,(D17-1500))*5%))*C17</f>
        <v>-1623421.4103037</v>
      </c>
      <c r="G17" s="61" t="n">
        <f aca="false">-E17*$F$2</f>
        <v>-1803801.56700411</v>
      </c>
      <c r="H17" s="61" t="n">
        <f aca="false">-E17*$C$3</f>
        <v>-2886082.50720657</v>
      </c>
      <c r="I17" s="61" t="n">
        <f aca="false">+E17+F17+G17+H17</f>
        <v>901900.783502054</v>
      </c>
      <c r="J17" s="58" t="n">
        <f aca="false">+J16+I17</f>
        <v>6193971.57461224</v>
      </c>
    </row>
    <row r="18" customFormat="false" ht="14.25" hidden="false" customHeight="false" outlineLevel="0" collapsed="false">
      <c r="A18" s="3" t="n">
        <f aca="false">+A17+1</f>
        <v>13</v>
      </c>
      <c r="B18" s="59" t="n">
        <f aca="false">+'Channel 2 Sales'!C18</f>
        <v>1228.5</v>
      </c>
      <c r="C18" s="60" t="n">
        <v>12988.6378332104</v>
      </c>
      <c r="D18" s="61" t="n">
        <f aca="false">IF(MOD($A18-1, 12) = 0, D17 * 1.05, D17)</f>
        <v>630</v>
      </c>
      <c r="E18" s="61" t="n">
        <f aca="false">+C18*D18</f>
        <v>8182841.83492252</v>
      </c>
      <c r="F18" s="61" t="n">
        <f aca="false">-((D18*25%)-(MAX(0,(D18-300))*5%)-(MAX(0,(D18-600))*5%)-(MAX(0,(D18-1200))*5%)-(MAX(0,(D18-1500))*5%))*C18</f>
        <v>-1811914.97773284</v>
      </c>
      <c r="G18" s="61" t="n">
        <f aca="false">-E18*$F$2</f>
        <v>-2045710.45873063</v>
      </c>
      <c r="H18" s="61" t="n">
        <f aca="false">-E18*$C$3</f>
        <v>-3273136.73396901</v>
      </c>
      <c r="I18" s="61" t="n">
        <f aca="false">+E18+F18+G18+H18</f>
        <v>1052079.66449004</v>
      </c>
      <c r="J18" s="58" t="n">
        <f aca="false">+J17+I18</f>
        <v>7246051.23910228</v>
      </c>
    </row>
    <row r="19" customFormat="false" ht="14.25" hidden="false" customHeight="false" outlineLevel="0" collapsed="false">
      <c r="A19" s="3" t="n">
        <f aca="false">+A18+1</f>
        <v>14</v>
      </c>
      <c r="B19" s="59" t="n">
        <f aca="false">+'Channel 2 Sales'!C19</f>
        <v>1228.5</v>
      </c>
      <c r="C19" s="60" t="n">
        <v>13944.4694930557</v>
      </c>
      <c r="D19" s="61" t="n">
        <f aca="false">IF(MOD($A19-1, 12) = 0, D18 * 1.05, D18)</f>
        <v>630</v>
      </c>
      <c r="E19" s="61" t="n">
        <f aca="false">+C19*D19</f>
        <v>8785015.78062506</v>
      </c>
      <c r="F19" s="61" t="n">
        <f aca="false">-((D19*25%)-(MAX(0,(D19-300))*5%)-(MAX(0,(D19-600))*5%)-(MAX(0,(D19-1200))*5%)-(MAX(0,(D19-1500))*5%))*C19</f>
        <v>-1945253.49428126</v>
      </c>
      <c r="G19" s="61" t="n">
        <f aca="false">-E19*$F$2</f>
        <v>-2196253.94515627</v>
      </c>
      <c r="H19" s="61" t="n">
        <f aca="false">-E19*$C$3</f>
        <v>-3514006.31225002</v>
      </c>
      <c r="I19" s="61" t="n">
        <f aca="false">+E19+F19+G19+H19</f>
        <v>1129502.02893751</v>
      </c>
      <c r="J19" s="58" t="n">
        <f aca="false">+J18+I19</f>
        <v>8375553.26803978</v>
      </c>
    </row>
    <row r="20" customFormat="false" ht="14.25" hidden="false" customHeight="false" outlineLevel="0" collapsed="false">
      <c r="A20" s="3" t="n">
        <f aca="false">+A19+1</f>
        <v>15</v>
      </c>
      <c r="B20" s="59" t="n">
        <f aca="false">+'Channel 2 Sales'!C20</f>
        <v>1228.5</v>
      </c>
      <c r="C20" s="60" t="n">
        <v>14893.8379231647</v>
      </c>
      <c r="D20" s="61" t="n">
        <f aca="false">IF(MOD($A20-1, 12) = 0, D19 * 1.05, D19)</f>
        <v>630</v>
      </c>
      <c r="E20" s="61" t="n">
        <f aca="false">+C20*D20</f>
        <v>9383117.89159374</v>
      </c>
      <c r="F20" s="61" t="n">
        <f aca="false">-((D20*25%)-(MAX(0,(D20-300))*5%)-(MAX(0,(D20-600))*5%)-(MAX(0,(D20-1200))*5%)-(MAX(0,(D20-1500))*5%))*C20</f>
        <v>-2077690.39028147</v>
      </c>
      <c r="G20" s="61" t="n">
        <f aca="false">-E20*$F$2</f>
        <v>-2345779.47289844</v>
      </c>
      <c r="H20" s="61" t="n">
        <f aca="false">-E20*$C$3</f>
        <v>-3753247.1566375</v>
      </c>
      <c r="I20" s="61" t="n">
        <f aca="false">+E20+F20+G20+H20</f>
        <v>1206400.87177634</v>
      </c>
      <c r="J20" s="58" t="n">
        <f aca="false">+J19+I20</f>
        <v>9581954.13981612</v>
      </c>
    </row>
    <row r="21" customFormat="false" ht="14.25" hidden="false" customHeight="false" outlineLevel="0" collapsed="false">
      <c r="A21" s="3" t="n">
        <f aca="false">+A20+1</f>
        <v>16</v>
      </c>
      <c r="B21" s="59" t="n">
        <f aca="false">+'Channel 2 Sales'!C21</f>
        <v>1228.5</v>
      </c>
      <c r="C21" s="60" t="n">
        <v>15837.2622501231</v>
      </c>
      <c r="D21" s="61" t="n">
        <f aca="false">IF(MOD($A21-1, 12) = 0, D20 * 1.05, D20)</f>
        <v>630</v>
      </c>
      <c r="E21" s="61" t="n">
        <f aca="false">+C21*D21</f>
        <v>9977475.21757758</v>
      </c>
      <c r="F21" s="61" t="n">
        <f aca="false">-((D21*25%)-(MAX(0,(D21-300))*5%)-(MAX(0,(D21-600))*5%)-(MAX(0,(D21-1200))*5%)-(MAX(0,(D21-1500))*5%))*C21</f>
        <v>-2209298.08389218</v>
      </c>
      <c r="G21" s="61" t="n">
        <f aca="false">-E21*$F$2</f>
        <v>-2494368.8043944</v>
      </c>
      <c r="H21" s="61" t="n">
        <f aca="false">-E21*$C$3</f>
        <v>-3990990.08703103</v>
      </c>
      <c r="I21" s="61" t="n">
        <f aca="false">+E21+F21+G21+H21</f>
        <v>1282818.24225998</v>
      </c>
      <c r="J21" s="58" t="n">
        <f aca="false">+J20+I21</f>
        <v>10864772.3820761</v>
      </c>
    </row>
    <row r="22" customFormat="false" ht="14.25" hidden="false" customHeight="false" outlineLevel="0" collapsed="false">
      <c r="A22" s="3" t="n">
        <f aca="false">+A21+1</f>
        <v>17</v>
      </c>
      <c r="B22" s="59" t="n">
        <f aca="false">+'Channel 2 Sales'!C22</f>
        <v>1228.5</v>
      </c>
      <c r="C22" s="60" t="n">
        <v>16774.9344898268</v>
      </c>
      <c r="D22" s="61" t="n">
        <f aca="false">IF(MOD($A22-1, 12) = 0, D21 * 1.05, D21)</f>
        <v>630</v>
      </c>
      <c r="E22" s="61" t="n">
        <f aca="false">+C22*D22</f>
        <v>10568208.7285909</v>
      </c>
      <c r="F22" s="61" t="n">
        <f aca="false">-((D22*25%)-(MAX(0,(D22-300))*5%)-(MAX(0,(D22-600))*5%)-(MAX(0,(D22-1200))*5%)-(MAX(0,(D22-1500))*5%))*C22</f>
        <v>-2340103.36133084</v>
      </c>
      <c r="G22" s="61" t="n">
        <f aca="false">-E22*$F$2</f>
        <v>-2642052.18214773</v>
      </c>
      <c r="H22" s="61" t="n">
        <f aca="false">-E22*$C$3</f>
        <v>-4227283.49143636</v>
      </c>
      <c r="I22" s="61" t="n">
        <f aca="false">+E22+F22+G22+H22</f>
        <v>1358769.69367597</v>
      </c>
      <c r="J22" s="58" t="n">
        <f aca="false">+J21+I22</f>
        <v>12223542.0757521</v>
      </c>
    </row>
    <row r="23" customFormat="false" ht="14.25" hidden="false" customHeight="false" outlineLevel="0" collapsed="false">
      <c r="A23" s="3" t="n">
        <f aca="false">+A22+1</f>
        <v>18</v>
      </c>
      <c r="B23" s="59" t="n">
        <f aca="false">+'Channel 2 Sales'!C23</f>
        <v>1228.5</v>
      </c>
      <c r="C23" s="60" t="n">
        <v>17707.0354132874</v>
      </c>
      <c r="D23" s="61" t="n">
        <f aca="false">IF(MOD($A23-1, 12) = 0, D22 * 1.05, D22)</f>
        <v>630</v>
      </c>
      <c r="E23" s="61" t="n">
        <f aca="false">+C23*D23</f>
        <v>11155432.3103711</v>
      </c>
      <c r="F23" s="61" t="n">
        <f aca="false">-((D23*25%)-(MAX(0,(D23-300))*5%)-(MAX(0,(D23-600))*5%)-(MAX(0,(D23-1200))*5%)-(MAX(0,(D23-1500))*5%))*C23</f>
        <v>-2470131.4401536</v>
      </c>
      <c r="G23" s="61" t="n">
        <f aca="false">-E23*$F$2</f>
        <v>-2788858.07759277</v>
      </c>
      <c r="H23" s="61" t="n">
        <f aca="false">-E23*$C$3</f>
        <v>-4462172.92414843</v>
      </c>
      <c r="I23" s="61" t="n">
        <f aca="false">+E23+F23+G23+H23</f>
        <v>1434269.86847628</v>
      </c>
      <c r="J23" s="58" t="n">
        <f aca="false">+J22+I23</f>
        <v>13657811.9442284</v>
      </c>
    </row>
    <row r="24" customFormat="false" ht="14.25" hidden="false" customHeight="false" outlineLevel="0" collapsed="false">
      <c r="A24" s="3" t="n">
        <f aca="false">+A23+1</f>
        <v>19</v>
      </c>
      <c r="B24" s="59" t="n">
        <f aca="false">+'Channel 2 Sales'!C24</f>
        <v>1228.5</v>
      </c>
      <c r="C24" s="60" t="n">
        <v>18633.7360419398</v>
      </c>
      <c r="D24" s="61" t="n">
        <f aca="false">IF(MOD($A24-1, 12) = 0, D23 * 1.05, D23)</f>
        <v>630</v>
      </c>
      <c r="E24" s="61" t="n">
        <f aca="false">+C24*D24</f>
        <v>11739253.7064221</v>
      </c>
      <c r="F24" s="61" t="n">
        <f aca="false">-((D24*25%)-(MAX(0,(D24-300))*5%)-(MAX(0,(D24-600))*5%)-(MAX(0,(D24-1200))*5%)-(MAX(0,(D24-1500))*5%))*C24</f>
        <v>-2599406.1778506</v>
      </c>
      <c r="G24" s="61" t="n">
        <f aca="false">-E24*$F$2</f>
        <v>-2934813.42660552</v>
      </c>
      <c r="H24" s="61" t="n">
        <f aca="false">-E24*$C$3</f>
        <v>-4695701.48256883</v>
      </c>
      <c r="I24" s="61" t="n">
        <f aca="false">+E24+F24+G24+H24</f>
        <v>1509332.61939713</v>
      </c>
      <c r="J24" s="58" t="n">
        <f aca="false">+J23+I24</f>
        <v>15167144.5636255</v>
      </c>
    </row>
    <row r="25" customFormat="false" ht="14.25" hidden="false" customHeight="false" outlineLevel="0" collapsed="false">
      <c r="A25" s="3" t="n">
        <f aca="false">+A24+1</f>
        <v>20</v>
      </c>
      <c r="B25" s="59" t="n">
        <f aca="false">+'Channel 2 Sales'!C25</f>
        <v>1228.5</v>
      </c>
      <c r="C25" s="60" t="n">
        <v>19555.1990054597</v>
      </c>
      <c r="D25" s="61" t="n">
        <f aca="false">IF(MOD($A25-1, 12) = 0, D24 * 1.05, D24)</f>
        <v>630</v>
      </c>
      <c r="E25" s="61" t="n">
        <f aca="false">+C25*D25</f>
        <v>12319775.3734396</v>
      </c>
      <c r="F25" s="61" t="n">
        <f aca="false">-((D25*25%)-(MAX(0,(D25-300))*5%)-(MAX(0,(D25-600))*5%)-(MAX(0,(D25-1200))*5%)-(MAX(0,(D25-1500))*5%))*C25</f>
        <v>-2727950.26126163</v>
      </c>
      <c r="G25" s="61" t="n">
        <f aca="false">-E25*$F$2</f>
        <v>-3079943.8433599</v>
      </c>
      <c r="H25" s="61" t="n">
        <f aca="false">-E25*$C$3</f>
        <v>-4927910.14937585</v>
      </c>
      <c r="I25" s="61" t="n">
        <f aca="false">+E25+F25+G25+H25</f>
        <v>1583971.11944224</v>
      </c>
      <c r="J25" s="58" t="n">
        <f aca="false">+J24+I25</f>
        <v>16751115.6830677</v>
      </c>
    </row>
    <row r="26" customFormat="false" ht="14.25" hidden="false" customHeight="false" outlineLevel="0" collapsed="false">
      <c r="A26" s="3" t="n">
        <f aca="false">+A25+1</f>
        <v>21</v>
      </c>
      <c r="B26" s="59" t="n">
        <f aca="false">+'Channel 2 Sales'!C26</f>
        <v>1228.5</v>
      </c>
      <c r="C26" s="60" t="n">
        <v>20471.5797828385</v>
      </c>
      <c r="D26" s="61" t="n">
        <f aca="false">IF(MOD($A26-1, 12) = 0, D25 * 1.05, D25)</f>
        <v>630</v>
      </c>
      <c r="E26" s="61" t="n">
        <f aca="false">+C26*D26</f>
        <v>12897095.2631882</v>
      </c>
      <c r="F26" s="61" t="n">
        <f aca="false">-((D26*25%)-(MAX(0,(D26-300))*5%)-(MAX(0,(D26-600))*5%)-(MAX(0,(D26-1200))*5%)-(MAX(0,(D26-1500))*5%))*C26</f>
        <v>-2855785.37970596</v>
      </c>
      <c r="G26" s="61" t="n">
        <f aca="false">-E26*$F$2</f>
        <v>-3224273.81579706</v>
      </c>
      <c r="H26" s="61" t="n">
        <f aca="false">-E26*$C$3</f>
        <v>-5158838.10527529</v>
      </c>
      <c r="I26" s="61" t="n">
        <f aca="false">+E26+F26+G26+H26</f>
        <v>1658197.96240991</v>
      </c>
      <c r="J26" s="58" t="n">
        <f aca="false">+J25+I26</f>
        <v>18409313.6454776</v>
      </c>
    </row>
    <row r="27" customFormat="false" ht="14.25" hidden="false" customHeight="false" outlineLevel="0" collapsed="false">
      <c r="A27" s="3" t="n">
        <f aca="false">+A26+1</f>
        <v>22</v>
      </c>
      <c r="B27" s="59" t="n">
        <f aca="false">+'Channel 2 Sales'!C27</f>
        <v>1228.5</v>
      </c>
      <c r="C27" s="60" t="n">
        <v>21383.02784514</v>
      </c>
      <c r="D27" s="61" t="n">
        <f aca="false">IF(MOD($A27-1, 12) = 0, D26 * 1.05, D26)</f>
        <v>630</v>
      </c>
      <c r="E27" s="61" t="n">
        <f aca="false">+C27*D27</f>
        <v>13471307.5424382</v>
      </c>
      <c r="F27" s="61" t="n">
        <f aca="false">-((D27*25%)-(MAX(0,(D27-300))*5%)-(MAX(0,(D27-600))*5%)-(MAX(0,(D27-1200))*5%)-(MAX(0,(D27-1500))*5%))*C27</f>
        <v>-2982932.38439703</v>
      </c>
      <c r="G27" s="61" t="n">
        <f aca="false">-E27*$F$2</f>
        <v>-3367826.88560955</v>
      </c>
      <c r="H27" s="61" t="n">
        <f aca="false">-E27*$C$3</f>
        <v>-5388523.01697529</v>
      </c>
      <c r="I27" s="61" t="n">
        <f aca="false">+E27+F27+G27+H27</f>
        <v>1732025.25545634</v>
      </c>
      <c r="J27" s="58" t="n">
        <f aca="false">+J26+I27</f>
        <v>20141338.900934</v>
      </c>
    </row>
    <row r="28" customFormat="false" ht="14.25" hidden="false" customHeight="false" outlineLevel="0" collapsed="false">
      <c r="A28" s="3" t="n">
        <f aca="false">+A27+1</f>
        <v>23</v>
      </c>
      <c r="B28" s="59" t="n">
        <f aca="false">+'Channel 2 Sales'!C28</f>
        <v>1228.5</v>
      </c>
      <c r="C28" s="60" t="n">
        <v>22289.6877164298</v>
      </c>
      <c r="D28" s="61" t="n">
        <f aca="false">IF(MOD($A28-1, 12) = 0, D27 * 1.05, D27)</f>
        <v>630</v>
      </c>
      <c r="E28" s="61" t="n">
        <f aca="false">+C28*D28</f>
        <v>14042503.2613508</v>
      </c>
      <c r="F28" s="61" t="n">
        <f aca="false">-((D28*25%)-(MAX(0,(D28-300))*5%)-(MAX(0,(D28-600))*5%)-(MAX(0,(D28-1200))*5%)-(MAX(0,(D28-1500))*5%))*C28</f>
        <v>-3109411.43644196</v>
      </c>
      <c r="G28" s="61" t="n">
        <f aca="false">-E28*$F$2</f>
        <v>-3510625.8153377</v>
      </c>
      <c r="H28" s="61" t="n">
        <f aca="false">-E28*$C$3</f>
        <v>-5617001.30454032</v>
      </c>
      <c r="I28" s="61" t="n">
        <f aca="false">+E28+F28+G28+H28</f>
        <v>1805464.70503082</v>
      </c>
      <c r="J28" s="58" t="n">
        <f aca="false">+J27+I28</f>
        <v>21946803.6059648</v>
      </c>
    </row>
    <row r="29" customFormat="false" ht="14.25" hidden="false" customHeight="false" outlineLevel="0" collapsed="false">
      <c r="A29" s="3" t="n">
        <f aca="false">+A28+1</f>
        <v>24</v>
      </c>
      <c r="B29" s="59" t="n">
        <f aca="false">+'Channel 2 Sales'!C29</f>
        <v>1228.5</v>
      </c>
      <c r="C29" s="60" t="n">
        <v>23191.8142883632</v>
      </c>
      <c r="D29" s="61" t="n">
        <f aca="false">IF(MOD($A29-1, 12) = 0, D28 * 1.05, D28)</f>
        <v>630</v>
      </c>
      <c r="E29" s="61" t="n">
        <f aca="false">+C29*D29</f>
        <v>14610843.0016688</v>
      </c>
      <c r="F29" s="61" t="n">
        <f aca="false">-((D29*25%)-(MAX(0,(D29-300))*5%)-(MAX(0,(D29-600))*5%)-(MAX(0,(D29-1200))*5%)-(MAX(0,(D29-1500))*5%))*C29</f>
        <v>-3235258.09322667</v>
      </c>
      <c r="G29" s="61" t="n">
        <f aca="false">-E29*$F$2</f>
        <v>-3652710.75041721</v>
      </c>
      <c r="H29" s="61" t="n">
        <f aca="false">-E29*$C$3</f>
        <v>-5844337.20066753</v>
      </c>
      <c r="I29" s="61" t="n">
        <f aca="false">+E29+F29+G29+H29</f>
        <v>1878536.95735742</v>
      </c>
      <c r="J29" s="58" t="n">
        <f aca="false">+J28+I29</f>
        <v>23825340.5633222</v>
      </c>
    </row>
    <row r="30" customFormat="false" ht="14.25" hidden="false" customHeight="false" outlineLevel="0" collapsed="false">
      <c r="A30" s="3" t="n">
        <f aca="false">+A29+1</f>
        <v>25</v>
      </c>
      <c r="B30" s="59" t="n">
        <f aca="false">+'Channel 2 Sales'!C30</f>
        <v>1289.925</v>
      </c>
      <c r="C30" s="60" t="n">
        <v>24150.8552274369</v>
      </c>
      <c r="D30" s="61" t="n">
        <f aca="false">IF(MOD($A30-1, 12) = 0, D29 * 1.05, D29)</f>
        <v>661.5</v>
      </c>
      <c r="E30" s="61" t="n">
        <f aca="false">+C30*D30</f>
        <v>15975790.7329495</v>
      </c>
      <c r="F30" s="61" t="n">
        <f aca="false">-((D30*25%)-(MAX(0,(D30-300))*5%)-(MAX(0,(D30-600))*5%)-(MAX(0,(D30-1200))*5%)-(MAX(0,(D30-1500))*5%))*C30</f>
        <v>-3483157.09517709</v>
      </c>
      <c r="G30" s="61" t="n">
        <f aca="false">-E30*$F$2</f>
        <v>-3993947.68323738</v>
      </c>
      <c r="H30" s="61" t="n">
        <f aca="false">-E30*$C$3</f>
        <v>-6390316.29317981</v>
      </c>
      <c r="I30" s="61" t="n">
        <f aca="false">+E30+F30+G30+H30</f>
        <v>2108369.66135524</v>
      </c>
      <c r="J30" s="58" t="n">
        <f aca="false">+J29+I30</f>
        <v>25933710.2246775</v>
      </c>
    </row>
    <row r="31" customFormat="false" ht="14.25" hidden="false" customHeight="false" outlineLevel="0" collapsed="false">
      <c r="A31" s="3" t="n">
        <f aca="false">+A30+1</f>
        <v>26</v>
      </c>
      <c r="B31" s="59" t="n">
        <f aca="false">+'Channel 2 Sales'!C31</f>
        <v>1289.925</v>
      </c>
      <c r="C31" s="60" t="n">
        <v>25102.1832743152</v>
      </c>
      <c r="D31" s="61" t="n">
        <f aca="false">IF(MOD($A31-1, 12) = 0, D30 * 1.05, D30)</f>
        <v>661.5</v>
      </c>
      <c r="E31" s="61" t="n">
        <f aca="false">+C31*D31</f>
        <v>16605094.2359595</v>
      </c>
      <c r="F31" s="61" t="n">
        <f aca="false">-((D31*25%)-(MAX(0,(D31-300))*5%)-(MAX(0,(D31-600))*5%)-(MAX(0,(D31-1200))*5%)-(MAX(0,(D31-1500))*5%))*C31</f>
        <v>-3620362.38273812</v>
      </c>
      <c r="G31" s="61" t="n">
        <f aca="false">-E31*$F$2</f>
        <v>-4151273.55898988</v>
      </c>
      <c r="H31" s="61" t="n">
        <f aca="false">-E31*$C$3</f>
        <v>-6642037.69438381</v>
      </c>
      <c r="I31" s="61" t="n">
        <f aca="false">+E31+F31+G31+H31</f>
        <v>2191420.59984772</v>
      </c>
      <c r="J31" s="58" t="n">
        <f aca="false">+J30+I31</f>
        <v>28125130.8245252</v>
      </c>
    </row>
    <row r="32" customFormat="false" ht="14.25" hidden="false" customHeight="false" outlineLevel="0" collapsed="false">
      <c r="A32" s="3" t="n">
        <f aca="false">+A31+1</f>
        <v>27</v>
      </c>
      <c r="B32" s="59" t="n">
        <f aca="false">+'Channel 2 Sales'!C32</f>
        <v>1289.925</v>
      </c>
      <c r="C32" s="60" t="n">
        <v>26046.7176743967</v>
      </c>
      <c r="D32" s="61" t="n">
        <f aca="false">IF(MOD($A32-1, 12) = 0, D31 * 1.05, D31)</f>
        <v>661.5</v>
      </c>
      <c r="E32" s="61" t="n">
        <f aca="false">+C32*D32</f>
        <v>17229903.7416134</v>
      </c>
      <c r="F32" s="61" t="n">
        <f aca="false">-((D32*25%)-(MAX(0,(D32-300))*5%)-(MAX(0,(D32-600))*5%)-(MAX(0,(D32-1200))*5%)-(MAX(0,(D32-1500))*5%))*C32</f>
        <v>-3756587.85658986</v>
      </c>
      <c r="G32" s="61" t="n">
        <f aca="false">-E32*$F$2</f>
        <v>-4307475.93540335</v>
      </c>
      <c r="H32" s="61" t="n">
        <f aca="false">-E32*$C$3</f>
        <v>-6891961.49664536</v>
      </c>
      <c r="I32" s="61" t="n">
        <f aca="false">+E32+F32+G32+H32</f>
        <v>2273878.45297483</v>
      </c>
      <c r="J32" s="58" t="n">
        <f aca="false">+J31+I32</f>
        <v>30399009.2775</v>
      </c>
    </row>
    <row r="33" customFormat="false" ht="14.25" hidden="false" customHeight="false" outlineLevel="0" collapsed="false">
      <c r="A33" s="3" t="n">
        <f aca="false">+A32+1</f>
        <v>28</v>
      </c>
      <c r="B33" s="59" t="n">
        <f aca="false">+'Channel 2 Sales'!C33</f>
        <v>1289.925</v>
      </c>
      <c r="C33" s="60" t="n">
        <v>26985.2722784277</v>
      </c>
      <c r="D33" s="61" t="n">
        <f aca="false">IF(MOD($A33-1, 12) = 0, D32 * 1.05, D32)</f>
        <v>661.5</v>
      </c>
      <c r="E33" s="61" t="n">
        <f aca="false">+C33*D33</f>
        <v>17850757.6121799</v>
      </c>
      <c r="F33" s="61" t="n">
        <f aca="false">-((D33*25%)-(MAX(0,(D33-300))*5%)-(MAX(0,(D33-600))*5%)-(MAX(0,(D33-1200))*5%)-(MAX(0,(D33-1500))*5%))*C33</f>
        <v>-3891950.89435624</v>
      </c>
      <c r="G33" s="61" t="n">
        <f aca="false">-E33*$F$2</f>
        <v>-4462689.40304498</v>
      </c>
      <c r="H33" s="61" t="n">
        <f aca="false">-E33*$C$3</f>
        <v>-7140303.04487197</v>
      </c>
      <c r="I33" s="61" t="n">
        <f aca="false">+E33+F33+G33+H33</f>
        <v>2355814.26990674</v>
      </c>
      <c r="J33" s="58" t="n">
        <f aca="false">+J32+I33</f>
        <v>32754823.5474067</v>
      </c>
    </row>
    <row r="34" customFormat="false" ht="14.25" hidden="false" customHeight="false" outlineLevel="0" collapsed="false">
      <c r="A34" s="3" t="n">
        <f aca="false">+A33+1</f>
        <v>29</v>
      </c>
      <c r="B34" s="59" t="n">
        <f aca="false">+'Channel 2 Sales'!C34</f>
        <v>1289.925</v>
      </c>
      <c r="C34" s="60" t="n">
        <v>27918.0473955376</v>
      </c>
      <c r="D34" s="61" t="n">
        <f aca="false">IF(MOD($A34-1, 12) = 0, D33 * 1.05, D33)</f>
        <v>661.5</v>
      </c>
      <c r="E34" s="61" t="n">
        <f aca="false">+C34*D34</f>
        <v>18467788.3521481</v>
      </c>
      <c r="F34" s="61" t="n">
        <f aca="false">-((D34*25%)-(MAX(0,(D34-300))*5%)-(MAX(0,(D34-600))*5%)-(MAX(0,(D34-1200))*5%)-(MAX(0,(D34-1500))*5%))*C34</f>
        <v>-4026480.38562141</v>
      </c>
      <c r="G34" s="61" t="n">
        <f aca="false">-E34*$F$2</f>
        <v>-4616947.08803703</v>
      </c>
      <c r="H34" s="61" t="n">
        <f aca="false">-E34*$C$3</f>
        <v>-7387115.34085924</v>
      </c>
      <c r="I34" s="61" t="n">
        <f aca="false">+E34+F34+G34+H34</f>
        <v>2437245.53763043</v>
      </c>
      <c r="J34" s="58" t="n">
        <f aca="false">+J33+I34</f>
        <v>35192069.0850372</v>
      </c>
    </row>
    <row r="35" customFormat="false" ht="14.25" hidden="false" customHeight="false" outlineLevel="0" collapsed="false">
      <c r="A35" s="3" t="n">
        <f aca="false">+A34+1</f>
        <v>30</v>
      </c>
      <c r="B35" s="59" t="n">
        <f aca="false">+'Channel 2 Sales'!C35</f>
        <v>1289.925</v>
      </c>
      <c r="C35" s="60" t="n">
        <v>28845.2315342651</v>
      </c>
      <c r="D35" s="61" t="n">
        <f aca="false">IF(MOD($A35-1, 12) = 0, D34 * 1.05, D34)</f>
        <v>661.5</v>
      </c>
      <c r="E35" s="61" t="n">
        <f aca="false">+C35*D35</f>
        <v>19081120.6599164</v>
      </c>
      <c r="F35" s="61" t="n">
        <f aca="false">-((D35*25%)-(MAX(0,(D35-300))*5%)-(MAX(0,(D35-600))*5%)-(MAX(0,(D35-1200))*5%)-(MAX(0,(D35-1500))*5%))*C35</f>
        <v>-4160203.51802939</v>
      </c>
      <c r="G35" s="61" t="n">
        <f aca="false">-E35*$F$2</f>
        <v>-4770280.16497909</v>
      </c>
      <c r="H35" s="61" t="n">
        <f aca="false">-E35*$C$3</f>
        <v>-7632448.26396655</v>
      </c>
      <c r="I35" s="61" t="n">
        <f aca="false">+E35+F35+G35+H35</f>
        <v>2518188.71294134</v>
      </c>
      <c r="J35" s="58" t="n">
        <f aca="false">+J34+I35</f>
        <v>37710257.7979785</v>
      </c>
    </row>
    <row r="36" customFormat="false" ht="14.25" hidden="false" customHeight="false" outlineLevel="0" collapsed="false">
      <c r="A36" s="3" t="n">
        <f aca="false">+A35+1</f>
        <v>31</v>
      </c>
      <c r="B36" s="59" t="n">
        <f aca="false">+'Channel 2 Sales'!C36</f>
        <v>1289.925</v>
      </c>
      <c r="C36" s="60" t="n">
        <v>29767.0029725985</v>
      </c>
      <c r="D36" s="61" t="n">
        <f aca="false">IF(MOD($A36-1, 12) = 0, D35 * 1.05, D35)</f>
        <v>661.5</v>
      </c>
      <c r="E36" s="61" t="n">
        <f aca="false">+C36*D36</f>
        <v>19690872.4663739</v>
      </c>
      <c r="F36" s="61" t="n">
        <f aca="false">-((D36*25%)-(MAX(0,(D36-300))*5%)-(MAX(0,(D36-600))*5%)-(MAX(0,(D36-1200))*5%)-(MAX(0,(D36-1500))*5%))*C36</f>
        <v>-4293146.00372303</v>
      </c>
      <c r="G36" s="61" t="n">
        <f aca="false">-E36*$F$2</f>
        <v>-4922718.11659349</v>
      </c>
      <c r="H36" s="61" t="n">
        <f aca="false">-E36*$C$3</f>
        <v>-7876348.98654958</v>
      </c>
      <c r="I36" s="61" t="n">
        <f aca="false">+E36+F36+G36+H36</f>
        <v>2598659.35950785</v>
      </c>
      <c r="J36" s="58" t="n">
        <f aca="false">+J35+I36</f>
        <v>40308917.1574864</v>
      </c>
    </row>
    <row r="37" customFormat="false" ht="14.25" hidden="false" customHeight="false" outlineLevel="0" collapsed="false">
      <c r="A37" s="3" t="n">
        <f aca="false">+A36+1</f>
        <v>32</v>
      </c>
      <c r="B37" s="59" t="n">
        <f aca="false">+'Channel 2 Sales'!C37</f>
        <v>1289.925</v>
      </c>
      <c r="C37" s="60" t="n">
        <v>30683.5311836516</v>
      </c>
      <c r="D37" s="61" t="n">
        <f aca="false">IF(MOD($A37-1, 12) = 0, D36 * 1.05, D36)</f>
        <v>661.5</v>
      </c>
      <c r="E37" s="61" t="n">
        <f aca="false">+C37*D37</f>
        <v>20297155.8779855</v>
      </c>
      <c r="F37" s="61" t="n">
        <f aca="false">-((D37*25%)-(MAX(0,(D37-300))*5%)-(MAX(0,(D37-600))*5%)-(MAX(0,(D37-1200))*5%)-(MAX(0,(D37-1500))*5%))*C37</f>
        <v>-4425332.28496216</v>
      </c>
      <c r="G37" s="61" t="n">
        <f aca="false">-E37*$F$2</f>
        <v>-5074288.96949639</v>
      </c>
      <c r="H37" s="61" t="n">
        <f aca="false">-E37*$C$3</f>
        <v>-8118862.35119422</v>
      </c>
      <c r="I37" s="61" t="n">
        <f aca="false">+E37+F37+G37+H37</f>
        <v>2678672.27233279</v>
      </c>
      <c r="J37" s="58" t="n">
        <f aca="false">+J36+I37</f>
        <v>42987589.4298192</v>
      </c>
    </row>
    <row r="38" customFormat="false" ht="14.25" hidden="false" customHeight="false" outlineLevel="0" collapsed="false">
      <c r="A38" s="3" t="n">
        <f aca="false">+A37+1</f>
        <v>33</v>
      </c>
      <c r="B38" s="59" t="n">
        <f aca="false">+'Channel 2 Sales'!C38</f>
        <v>1289.925</v>
      </c>
      <c r="C38" s="60" t="n">
        <v>31594.9781387597</v>
      </c>
      <c r="D38" s="61" t="n">
        <f aca="false">IF(MOD($A38-1, 12) = 0, D37 * 1.05, D37)</f>
        <v>661.5</v>
      </c>
      <c r="E38" s="61" t="n">
        <f aca="false">+C38*D38</f>
        <v>20900078.0387895</v>
      </c>
      <c r="F38" s="61" t="n">
        <f aca="false">-((D38*25%)-(MAX(0,(D38-300))*5%)-(MAX(0,(D38-600))*5%)-(MAX(0,(D38-1200))*5%)-(MAX(0,(D38-1500))*5%))*C38</f>
        <v>-4556785.72206262</v>
      </c>
      <c r="G38" s="61" t="n">
        <f aca="false">-E38*$F$2</f>
        <v>-5225019.50969739</v>
      </c>
      <c r="H38" s="61" t="n">
        <f aca="false">-E38*$C$3</f>
        <v>-8360031.21551582</v>
      </c>
      <c r="I38" s="61" t="n">
        <f aca="false">+E38+F38+G38+H38</f>
        <v>2758241.59151372</v>
      </c>
      <c r="J38" s="58" t="n">
        <f aca="false">+J37+I38</f>
        <v>45745831.0213329</v>
      </c>
    </row>
    <row r="39" customFormat="false" ht="14.25" hidden="false" customHeight="false" outlineLevel="0" collapsed="false">
      <c r="A39" s="3" t="n">
        <f aca="false">+A38+1</f>
        <v>34</v>
      </c>
      <c r="B39" s="59" t="n">
        <f aca="false">+'Channel 2 Sales'!C39</f>
        <v>1289.925</v>
      </c>
      <c r="C39" s="60" t="n">
        <v>32501.4995073425</v>
      </c>
      <c r="D39" s="61" t="n">
        <f aca="false">IF(MOD($A39-1, 12) = 0, D38 * 1.05, D38)</f>
        <v>661.5</v>
      </c>
      <c r="E39" s="61" t="n">
        <f aca="false">+C39*D39</f>
        <v>21499741.924107</v>
      </c>
      <c r="F39" s="61" t="n">
        <f aca="false">-((D39*25%)-(MAX(0,(D39-300))*5%)-(MAX(0,(D39-600))*5%)-(MAX(0,(D39-1200))*5%)-(MAX(0,(D39-1500))*5%))*C39</f>
        <v>-4687528.76644647</v>
      </c>
      <c r="G39" s="61" t="n">
        <f aca="false">-E39*$F$2</f>
        <v>-5374935.48102676</v>
      </c>
      <c r="H39" s="61" t="n">
        <f aca="false">-E39*$C$3</f>
        <v>-8599896.76964282</v>
      </c>
      <c r="I39" s="61" t="n">
        <f aca="false">+E39+F39+G39+H39</f>
        <v>2837380.906991</v>
      </c>
      <c r="J39" s="58" t="n">
        <f aca="false">+J38+I39</f>
        <v>48583211.9283239</v>
      </c>
    </row>
    <row r="40" customFormat="false" ht="14.25" hidden="false" customHeight="false" outlineLevel="0" collapsed="false">
      <c r="A40" s="3" t="n">
        <f aca="false">+A39+1</f>
        <v>35</v>
      </c>
      <c r="B40" s="59" t="n">
        <f aca="false">+'Channel 2 Sales'!C40</f>
        <v>1289.925</v>
      </c>
      <c r="C40" s="60" t="n">
        <v>33403.2457708471</v>
      </c>
      <c r="D40" s="61" t="n">
        <f aca="false">IF(MOD($A40-1, 12) = 0, D39 * 1.05, D39)</f>
        <v>661.5</v>
      </c>
      <c r="E40" s="61" t="n">
        <f aca="false">+C40*D40</f>
        <v>22096247.0774153</v>
      </c>
      <c r="F40" s="61" t="n">
        <f aca="false">-((D40*25%)-(MAX(0,(D40-300))*5%)-(MAX(0,(D40-600))*5%)-(MAX(0,(D40-1200))*5%)-(MAX(0,(D40-1500))*5%))*C40</f>
        <v>-4817583.12130042</v>
      </c>
      <c r="G40" s="61" t="n">
        <f aca="false">-E40*$F$2</f>
        <v>-5524061.76935383</v>
      </c>
      <c r="H40" s="61" t="n">
        <f aca="false">-E40*$C$3</f>
        <v>-8838498.83096613</v>
      </c>
      <c r="I40" s="61" t="n">
        <f aca="false">+E40+F40+G40+H40</f>
        <v>2916103.35579495</v>
      </c>
      <c r="J40" s="58" t="n">
        <f aca="false">+J39+I40</f>
        <v>51499315.2841188</v>
      </c>
    </row>
    <row r="41" customFormat="false" ht="14.25" hidden="false" customHeight="false" outlineLevel="0" collapsed="false">
      <c r="A41" s="3" t="n">
        <f aca="false">+A40+1</f>
        <v>36</v>
      </c>
      <c r="B41" s="59" t="n">
        <f aca="false">+'Channel 2 Sales'!C41</f>
        <v>1289.925</v>
      </c>
      <c r="C41" s="60" t="n">
        <v>34300.4833030341</v>
      </c>
      <c r="D41" s="61" t="n">
        <f aca="false">IF(MOD($A41-1, 12) = 0, D40 * 1.05, D40)</f>
        <v>661.5</v>
      </c>
      <c r="E41" s="61" t="n">
        <f aca="false">+C41*D41</f>
        <v>22689769.7049571</v>
      </c>
      <c r="F41" s="61" t="n">
        <f aca="false">-((D41*25%)-(MAX(0,(D41-300))*5%)-(MAX(0,(D41-600))*5%)-(MAX(0,(D41-1200))*5%)-(MAX(0,(D41-1500))*5%))*C41</f>
        <v>-4946987.20438009</v>
      </c>
      <c r="G41" s="61" t="n">
        <f aca="false">-E41*$F$2</f>
        <v>-5672442.42623927</v>
      </c>
      <c r="H41" s="61" t="n">
        <f aca="false">-E41*$C$3</f>
        <v>-9075907.88198282</v>
      </c>
      <c r="I41" s="61" t="n">
        <f aca="false">+E41+F41+G41+H41</f>
        <v>2994432.19235488</v>
      </c>
      <c r="J41" s="58" t="n">
        <f aca="false">+J40+I41</f>
        <v>54493747.4764737</v>
      </c>
    </row>
    <row r="42" customFormat="false" ht="14.25" hidden="false" customHeight="false" outlineLevel="0" collapsed="false">
      <c r="A42" s="3" t="n">
        <f aca="false">+A41+1</f>
        <v>37</v>
      </c>
      <c r="B42" s="59" t="n">
        <f aca="false">+'Channel 2 Sales'!C42</f>
        <v>1354.42125</v>
      </c>
      <c r="C42" s="60" t="n">
        <v>35257.7308975602</v>
      </c>
      <c r="D42" s="61" t="n">
        <f aca="false">IF(MOD($A42-1, 12) = 0, D41 * 1.05, D41)</f>
        <v>694.575</v>
      </c>
      <c r="E42" s="61" t="n">
        <f aca="false">+C42*D42</f>
        <v>24489138.4381729</v>
      </c>
      <c r="F42" s="61" t="n">
        <f aca="false">-((D42*25%)-(MAX(0,(D42-300))*5%)-(MAX(0,(D42-600))*5%)-(MAX(0,(D42-1200))*5%)-(MAX(0,(D42-1500))*5%))*C42</f>
        <v>-5259968.65611614</v>
      </c>
      <c r="G42" s="61" t="n">
        <f aca="false">-E42*$F$2</f>
        <v>-6122284.60954322</v>
      </c>
      <c r="H42" s="61" t="n">
        <f aca="false">-E42*$C$3</f>
        <v>-9795655.37526916</v>
      </c>
      <c r="I42" s="61" t="n">
        <f aca="false">+E42+F42+G42+H42</f>
        <v>3311229.79724437</v>
      </c>
      <c r="J42" s="58" t="n">
        <f aca="false">+J41+I42</f>
        <v>57804977.2737181</v>
      </c>
    </row>
    <row r="43" customFormat="false" ht="14.25" hidden="false" customHeight="false" outlineLevel="0" collapsed="false">
      <c r="A43" s="3" t="n">
        <f aca="false">+A42+1</f>
        <v>38</v>
      </c>
      <c r="B43" s="59" t="n">
        <f aca="false">+'Channel 2 Sales'!C43</f>
        <v>1354.42125</v>
      </c>
      <c r="C43" s="60" t="n">
        <v>36207.1286822387</v>
      </c>
      <c r="D43" s="61" t="n">
        <f aca="false">IF(MOD($A43-1, 12) = 0, D42 * 1.05, D42)</f>
        <v>694.575</v>
      </c>
      <c r="E43" s="61" t="n">
        <f aca="false">+C43*D43</f>
        <v>25148566.404466</v>
      </c>
      <c r="F43" s="61" t="n">
        <f aca="false">-((D43*25%)-(MAX(0,(D43-300))*5%)-(MAX(0,(D43-600))*5%)-(MAX(0,(D43-1200))*5%)-(MAX(0,(D43-1500))*5%))*C43</f>
        <v>-5401605.75137064</v>
      </c>
      <c r="G43" s="61" t="n">
        <f aca="false">-E43*$F$2</f>
        <v>-6287141.60111649</v>
      </c>
      <c r="H43" s="61" t="n">
        <f aca="false">-E43*$C$3</f>
        <v>-10059426.5617864</v>
      </c>
      <c r="I43" s="61" t="n">
        <f aca="false">+E43+F43+G43+H43</f>
        <v>3400392.49019245</v>
      </c>
      <c r="J43" s="58" t="n">
        <f aca="false">+J42+I43</f>
        <v>61205369.7639105</v>
      </c>
    </row>
    <row r="44" customFormat="false" ht="14.25" hidden="false" customHeight="false" outlineLevel="0" collapsed="false">
      <c r="A44" s="3" t="n">
        <f aca="false">+A43+1</f>
        <v>39</v>
      </c>
      <c r="B44" s="59" t="n">
        <f aca="false">+'Channel 2 Sales'!C44</f>
        <v>1354.42125</v>
      </c>
      <c r="C44" s="60" t="n">
        <v>37149.6406211032</v>
      </c>
      <c r="D44" s="61" t="n">
        <f aca="false">IF(MOD($A44-1, 12) = 0, D43 * 1.05, D43)</f>
        <v>694.575</v>
      </c>
      <c r="E44" s="61" t="n">
        <f aca="false">+C44*D44</f>
        <v>25803211.6344027</v>
      </c>
      <c r="F44" s="61" t="n">
        <f aca="false">-((D44*25%)-(MAX(0,(D44-300))*5%)-(MAX(0,(D44-600))*5%)-(MAX(0,(D44-1200))*5%)-(MAX(0,(D44-1500))*5%))*C44</f>
        <v>-5542215.57311005</v>
      </c>
      <c r="G44" s="61" t="n">
        <f aca="false">-E44*$F$2</f>
        <v>-6450802.90860068</v>
      </c>
      <c r="H44" s="61" t="n">
        <f aca="false">-E44*$C$3</f>
        <v>-10321284.6537611</v>
      </c>
      <c r="I44" s="61" t="n">
        <f aca="false">+E44+F44+G44+H44</f>
        <v>3488908.4989309</v>
      </c>
      <c r="J44" s="58" t="n">
        <f aca="false">+J43+I44</f>
        <v>64694278.2628414</v>
      </c>
    </row>
    <row r="45" customFormat="false" ht="14.25" hidden="false" customHeight="false" outlineLevel="0" collapsed="false">
      <c r="A45" s="3" t="n">
        <f aca="false">+A44+1</f>
        <v>40</v>
      </c>
      <c r="B45" s="59" t="n">
        <f aca="false">+'Channel 2 Sales'!C45</f>
        <v>1354.42125</v>
      </c>
      <c r="C45" s="60" t="n">
        <v>38086.1200200208</v>
      </c>
      <c r="D45" s="61" t="n">
        <f aca="false">IF(MOD($A45-1, 12) = 0, D44 * 1.05, D44)</f>
        <v>694.575</v>
      </c>
      <c r="E45" s="61" t="n">
        <f aca="false">+C45*D45</f>
        <v>26453666.812906</v>
      </c>
      <c r="F45" s="61" t="n">
        <f aca="false">-((D45*25%)-(MAX(0,(D45-300))*5%)-(MAX(0,(D45-600))*5%)-(MAX(0,(D45-1200))*5%)-(MAX(0,(D45-1500))*5%))*C45</f>
        <v>-5681925.42283683</v>
      </c>
      <c r="G45" s="61" t="n">
        <f aca="false">-E45*$F$2</f>
        <v>-6613416.70322649</v>
      </c>
      <c r="H45" s="61" t="n">
        <f aca="false">-E45*$C$3</f>
        <v>-10581466.7251624</v>
      </c>
      <c r="I45" s="61" t="n">
        <f aca="false">+E45+F45+G45+H45</f>
        <v>3576857.96168025</v>
      </c>
      <c r="J45" s="58" t="n">
        <f aca="false">+J44+I45</f>
        <v>68271136.2245217</v>
      </c>
    </row>
    <row r="46" customFormat="false" ht="14.25" hidden="false" customHeight="false" outlineLevel="0" collapsed="false">
      <c r="A46" s="3" t="n">
        <f aca="false">+A45+1</f>
        <v>41</v>
      </c>
      <c r="B46" s="59" t="n">
        <f aca="false">+'Channel 2 Sales'!C46</f>
        <v>1354.42125</v>
      </c>
      <c r="C46" s="60" t="n">
        <v>39016.7759723478</v>
      </c>
      <c r="D46" s="61" t="n">
        <f aca="false">IF(MOD($A46-1, 12) = 0, D45 * 1.05, D45)</f>
        <v>694.575</v>
      </c>
      <c r="E46" s="61" t="n">
        <f aca="false">+C46*D46</f>
        <v>27100077.1709935</v>
      </c>
      <c r="F46" s="61" t="n">
        <f aca="false">-((D46*25%)-(MAX(0,(D46-300))*5%)-(MAX(0,(D46-600))*5%)-(MAX(0,(D46-1200))*5%)-(MAX(0,(D46-1500))*5%))*C46</f>
        <v>-5820766.49440468</v>
      </c>
      <c r="G46" s="61" t="n">
        <f aca="false">-E46*$F$2</f>
        <v>-6775019.29274837</v>
      </c>
      <c r="H46" s="61" t="n">
        <f aca="false">-E46*$C$3</f>
        <v>-10840030.8683974</v>
      </c>
      <c r="I46" s="61" t="n">
        <f aca="false">+E46+F46+G46+H46</f>
        <v>3664260.51544305</v>
      </c>
      <c r="J46" s="58" t="n">
        <f aca="false">+J45+I46</f>
        <v>71935396.7399647</v>
      </c>
    </row>
    <row r="47" customFormat="false" ht="14.25" hidden="false" customHeight="false" outlineLevel="0" collapsed="false">
      <c r="A47" s="3" t="n">
        <f aca="false">+A46+1</f>
        <v>42</v>
      </c>
      <c r="B47" s="59" t="n">
        <f aca="false">+'Channel 2 Sales'!C47</f>
        <v>1354.42125</v>
      </c>
      <c r="C47" s="60" t="n">
        <v>39941.8051869766</v>
      </c>
      <c r="D47" s="61" t="n">
        <f aca="false">IF(MOD($A47-1, 12) = 0, D46 * 1.05, D46)</f>
        <v>694.575</v>
      </c>
      <c r="E47" s="61" t="n">
        <f aca="false">+C47*D47</f>
        <v>27742579.3377443</v>
      </c>
      <c r="F47" s="61" t="n">
        <f aca="false">-((D47*25%)-(MAX(0,(D47-300))*5%)-(MAX(0,(D47-600))*5%)-(MAX(0,(D47-1200))*5%)-(MAX(0,(D47-1500))*5%))*C47</f>
        <v>-5958768.13407559</v>
      </c>
      <c r="G47" s="61" t="n">
        <f aca="false">-E47*$F$2</f>
        <v>-6935644.83443607</v>
      </c>
      <c r="H47" s="61" t="n">
        <f aca="false">-E47*$C$3</f>
        <v>-11097031.7350977</v>
      </c>
      <c r="I47" s="61" t="n">
        <f aca="false">+E47+F47+G47+H47</f>
        <v>3751134.6341349</v>
      </c>
      <c r="J47" s="58" t="n">
        <f aca="false">+J46+I47</f>
        <v>75686531.3740996</v>
      </c>
    </row>
    <row r="48" customFormat="false" ht="14.25" hidden="false" customHeight="false" outlineLevel="0" collapsed="false">
      <c r="A48" s="3" t="n">
        <f aca="false">+A47+1</f>
        <v>43</v>
      </c>
      <c r="B48" s="59" t="n">
        <f aca="false">+'Channel 2 Sales'!C48</f>
        <v>1354.42125</v>
      </c>
      <c r="C48" s="60" t="n">
        <v>40861.3936368467</v>
      </c>
      <c r="D48" s="61" t="n">
        <f aca="false">IF(MOD($A48-1, 12) = 0, D47 * 1.05, D47)</f>
        <v>694.575</v>
      </c>
      <c r="E48" s="61" t="n">
        <f aca="false">+C48*D48</f>
        <v>28381302.4853128</v>
      </c>
      <c r="F48" s="61" t="n">
        <f aca="false">-((D48*25%)-(MAX(0,(D48-300))*5%)-(MAX(0,(D48-600))*5%)-(MAX(0,(D48-1200))*5%)-(MAX(0,(D48-1500))*5%))*C48</f>
        <v>-6095958.08645502</v>
      </c>
      <c r="G48" s="61" t="n">
        <f aca="false">-E48*$F$2</f>
        <v>-7095325.6213282</v>
      </c>
      <c r="H48" s="61" t="n">
        <f aca="false">-E48*$C$3</f>
        <v>-11352520.9941251</v>
      </c>
      <c r="I48" s="61" t="n">
        <f aca="false">+E48+F48+G48+H48</f>
        <v>3837497.78340446</v>
      </c>
      <c r="J48" s="58" t="n">
        <f aca="false">+J47+I48</f>
        <v>79524029.1575041</v>
      </c>
    </row>
    <row r="49" customFormat="false" ht="14.25" hidden="false" customHeight="false" outlineLevel="0" collapsed="false">
      <c r="A49" s="3" t="n">
        <f aca="false">+A48+1</f>
        <v>44</v>
      </c>
      <c r="B49" s="59" t="n">
        <f aca="false">+'Channel 2 Sales'!C49</f>
        <v>1354.42125</v>
      </c>
      <c r="C49" s="60" t="n">
        <v>41775.7180558743</v>
      </c>
      <c r="D49" s="61" t="n">
        <f aca="false">IF(MOD($A49-1, 12) = 0, D48 * 1.05, D48)</f>
        <v>694.575</v>
      </c>
      <c r="E49" s="61" t="n">
        <f aca="false">+C49*D49</f>
        <v>29016369.3686589</v>
      </c>
      <c r="F49" s="61" t="n">
        <f aca="false">-((D49*25%)-(MAX(0,(D49-300))*5%)-(MAX(0,(D49-600))*5%)-(MAX(0,(D49-1200))*5%)-(MAX(0,(D49-1500))*5%))*C49</f>
        <v>-6232362.71781318</v>
      </c>
      <c r="G49" s="61" t="n">
        <f aca="false">-E49*$F$2</f>
        <v>-7254092.34216473</v>
      </c>
      <c r="H49" s="61" t="n">
        <f aca="false">-E49*$C$3</f>
        <v>-11606547.7474636</v>
      </c>
      <c r="I49" s="61" t="n">
        <f aca="false">+E49+F49+G49+H49</f>
        <v>3923366.56121744</v>
      </c>
      <c r="J49" s="58" t="n">
        <f aca="false">+J48+I49</f>
        <v>83447395.7187215</v>
      </c>
    </row>
    <row r="50" customFormat="false" ht="14.25" hidden="false" customHeight="false" outlineLevel="0" collapsed="false">
      <c r="A50" s="3" t="n">
        <f aca="false">+A49+1</f>
        <v>45</v>
      </c>
      <c r="B50" s="59" t="n">
        <f aca="false">+'Channel 2 Sales'!C50</f>
        <v>1354.42125</v>
      </c>
      <c r="C50" s="60" t="n">
        <v>42684.9473071726</v>
      </c>
      <c r="D50" s="61" t="n">
        <f aca="false">IF(MOD($A50-1, 12) = 0, D49 * 1.05, D49)</f>
        <v>694.575</v>
      </c>
      <c r="E50" s="61" t="n">
        <f aca="false">+C50*D50</f>
        <v>29647897.2758794</v>
      </c>
      <c r="F50" s="61" t="n">
        <f aca="false">-((D50*25%)-(MAX(0,(D50-300))*5%)-(MAX(0,(D50-600))*5%)-(MAX(0,(D50-1200))*5%)-(MAX(0,(D50-1500))*5%))*C50</f>
        <v>-6368007.22020468</v>
      </c>
      <c r="G50" s="61" t="n">
        <f aca="false">-E50*$F$2</f>
        <v>-7411974.31896986</v>
      </c>
      <c r="H50" s="61" t="n">
        <f aca="false">-E50*$C$3</f>
        <v>-11859158.9103518</v>
      </c>
      <c r="I50" s="61" t="n">
        <f aca="false">+E50+F50+G50+H50</f>
        <v>4008756.82635312</v>
      </c>
      <c r="J50" s="58" t="n">
        <f aca="false">+J49+I50</f>
        <v>87456152.5450746</v>
      </c>
    </row>
    <row r="51" customFormat="false" ht="14.25" hidden="false" customHeight="false" outlineLevel="0" collapsed="false">
      <c r="A51" s="3" t="n">
        <f aca="false">+A50+1</f>
        <v>46</v>
      </c>
      <c r="B51" s="59" t="n">
        <f aca="false">+'Channel 2 Sales'!C51</f>
        <v>1354.42125</v>
      </c>
      <c r="C51" s="60" t="n">
        <v>43589.2436428772</v>
      </c>
      <c r="D51" s="61" t="n">
        <f aca="false">IF(MOD($A51-1, 12) = 0, D50 * 1.05, D50)</f>
        <v>694.575</v>
      </c>
      <c r="E51" s="61" t="n">
        <f aca="false">+C51*D51</f>
        <v>30275998.9032514</v>
      </c>
      <c r="F51" s="61" t="n">
        <f aca="false">-((D51*25%)-(MAX(0,(D51-300))*5%)-(MAX(0,(D51-600))*5%)-(MAX(0,(D51-1200))*5%)-(MAX(0,(D51-1500))*5%))*C51</f>
        <v>-6502915.79941718</v>
      </c>
      <c r="G51" s="61" t="n">
        <f aca="false">-E51*$F$2</f>
        <v>-7568999.72581285</v>
      </c>
      <c r="H51" s="61" t="n">
        <f aca="false">-E51*$C$3</f>
        <v>-12110399.5613006</v>
      </c>
      <c r="I51" s="61" t="n">
        <f aca="false">+E51+F51+G51+H51</f>
        <v>4093683.8167208</v>
      </c>
      <c r="J51" s="58" t="n">
        <f aca="false">+J50+I51</f>
        <v>91549836.3617954</v>
      </c>
    </row>
    <row r="52" customFormat="false" ht="14.25" hidden="false" customHeight="false" outlineLevel="0" collapsed="false">
      <c r="A52" s="3" t="n">
        <f aca="false">+A51+1</f>
        <v>47</v>
      </c>
      <c r="B52" s="59" t="n">
        <f aca="false">+'Channel 2 Sales'!C52</f>
        <v>1354.42125</v>
      </c>
      <c r="C52" s="60" t="n">
        <v>44488.7638737561</v>
      </c>
      <c r="D52" s="61" t="n">
        <f aca="false">IF(MOD($A52-1, 12) = 0, D51 * 1.05, D51)</f>
        <v>694.575</v>
      </c>
      <c r="E52" s="61" t="n">
        <f aca="false">+C52*D52</f>
        <v>30900783.1676142</v>
      </c>
      <c r="F52" s="61" t="n">
        <f aca="false">-((D52*25%)-(MAX(0,(D52-300))*5%)-(MAX(0,(D52-600))*5%)-(MAX(0,(D52-1200))*5%)-(MAX(0,(D52-1500))*5%))*C52</f>
        <v>-6637111.84946115</v>
      </c>
      <c r="G52" s="61" t="n">
        <f aca="false">-E52*$F$2</f>
        <v>-7725195.79190354</v>
      </c>
      <c r="H52" s="61" t="n">
        <f aca="false">-E52*$C$3</f>
        <v>-12360313.2670457</v>
      </c>
      <c r="I52" s="61" t="n">
        <f aca="false">+E52+F52+G52+H52</f>
        <v>4178162.2592038</v>
      </c>
      <c r="J52" s="58" t="n">
        <f aca="false">+J51+I52</f>
        <v>95727998.6209992</v>
      </c>
    </row>
    <row r="53" customFormat="false" ht="14.25" hidden="false" customHeight="false" outlineLevel="0" collapsed="false">
      <c r="A53" s="3" t="n">
        <f aca="false">+A52+1</f>
        <v>48</v>
      </c>
      <c r="B53" s="59" t="n">
        <f aca="false">+'Channel 2 Sales'!C53</f>
        <v>1354.42125</v>
      </c>
      <c r="C53" s="60" t="n">
        <v>45383.7865034807</v>
      </c>
      <c r="D53" s="61" t="n">
        <f aca="false">IF(MOD($A53-1, 12) = 0, D52 * 1.05, D52)</f>
        <v>694.575</v>
      </c>
      <c r="E53" s="61" t="n">
        <f aca="false">+C53*D53</f>
        <v>31522443.5106551</v>
      </c>
      <c r="F53" s="61" t="n">
        <f aca="false">-((D53*25%)-(MAX(0,(D53-300))*5%)-(MAX(0,(D53-600))*5%)-(MAX(0,(D53-1200))*5%)-(MAX(0,(D53-1500))*5%))*C53</f>
        <v>-6770636.9192549</v>
      </c>
      <c r="G53" s="61" t="n">
        <f aca="false">-E53*$F$2</f>
        <v>-7880610.87766378</v>
      </c>
      <c r="H53" s="61" t="n">
        <f aca="false">-E53*$C$3</f>
        <v>-12608977.404262</v>
      </c>
      <c r="I53" s="61" t="n">
        <f aca="false">+E53+F53+G53+H53</f>
        <v>4262218.30947439</v>
      </c>
      <c r="J53" s="58" t="n">
        <f aca="false">+J52+I53</f>
        <v>99990216.9304736</v>
      </c>
    </row>
    <row r="54" customFormat="false" ht="14.25" hidden="false" customHeight="false" outlineLevel="0" collapsed="false">
      <c r="A54" s="3" t="n">
        <f aca="false">+A53+1</f>
        <v>49</v>
      </c>
      <c r="B54" s="59" t="n">
        <f aca="false">+'Channel 2 Sales'!C54</f>
        <v>1422.1423125</v>
      </c>
      <c r="C54" s="60" t="n">
        <v>46342.0550825566</v>
      </c>
      <c r="D54" s="61" t="n">
        <f aca="false">IF(MOD($A54-1, 12) = 0, D53 * 1.05, D53)</f>
        <v>729.30375</v>
      </c>
      <c r="E54" s="61" t="n">
        <f aca="false">+C54*D54</f>
        <v>33797434.5544151</v>
      </c>
      <c r="F54" s="61" t="n">
        <f aca="false">-((D54*25%)-(MAX(0,(D54-300))*5%)-(MAX(0,(D54-600))*5%)-(MAX(0,(D54-1200))*5%)-(MAX(0,(D54-1500))*5%))*C54</f>
        <v>-7155007.66187732</v>
      </c>
      <c r="G54" s="61" t="n">
        <f aca="false">-E54*$F$2</f>
        <v>-8449358.63860378</v>
      </c>
      <c r="H54" s="61" t="n">
        <f aca="false">-E54*$C$3</f>
        <v>-13518973.821766</v>
      </c>
      <c r="I54" s="61" t="n">
        <f aca="false">+E54+F54+G54+H54</f>
        <v>4674094.43216798</v>
      </c>
      <c r="J54" s="58" t="n">
        <f aca="false">+J53+I54</f>
        <v>104664311.362642</v>
      </c>
    </row>
    <row r="55" customFormat="false" ht="14.25" hidden="false" customHeight="false" outlineLevel="0" collapsed="false">
      <c r="A55" s="3" t="n">
        <f aca="false">+A54+1</f>
        <v>50</v>
      </c>
      <c r="B55" s="59" t="n">
        <f aca="false">+'Channel 2 Sales'!C55</f>
        <v>1422.1423125</v>
      </c>
      <c r="C55" s="60" t="n">
        <v>47292.3155682685</v>
      </c>
      <c r="D55" s="61" t="n">
        <f aca="false">IF(MOD($A55-1, 12) = 0, D54 * 1.05, D54)</f>
        <v>729.30375</v>
      </c>
      <c r="E55" s="61" t="n">
        <f aca="false">+C55*D55</f>
        <v>34490463.0901216</v>
      </c>
      <c r="F55" s="61" t="n">
        <f aca="false">-((D55*25%)-(MAX(0,(D55-300))*5%)-(MAX(0,(D55-600))*5%)-(MAX(0,(D55-1200))*5%)-(MAX(0,(D55-1500))*5%))*C55</f>
        <v>-7301723.66409032</v>
      </c>
      <c r="G55" s="61" t="n">
        <f aca="false">-E55*$F$2</f>
        <v>-8622615.77253039</v>
      </c>
      <c r="H55" s="61" t="n">
        <f aca="false">-E55*$C$3</f>
        <v>-13796185.2360486</v>
      </c>
      <c r="I55" s="61" t="n">
        <f aca="false">+E55+F55+G55+H55</f>
        <v>4769938.41745224</v>
      </c>
      <c r="J55" s="58" t="n">
        <f aca="false">+J54+I55</f>
        <v>109434249.780094</v>
      </c>
    </row>
    <row r="56" customFormat="false" ht="14.25" hidden="false" customHeight="false" outlineLevel="0" collapsed="false">
      <c r="A56" s="3" t="n">
        <f aca="false">+A55+1</f>
        <v>51</v>
      </c>
      <c r="B56" s="59" t="n">
        <f aca="false">+'Channel 2 Sales'!C56</f>
        <v>1422.1423125</v>
      </c>
      <c r="C56" s="60" t="n">
        <v>48235.5789518166</v>
      </c>
      <c r="D56" s="61" t="n">
        <f aca="false">IF(MOD($A56-1, 12) = 0, D55 * 1.05, D55)</f>
        <v>729.30375</v>
      </c>
      <c r="E56" s="61" t="n">
        <f aca="false">+C56*D56</f>
        <v>35178388.6129809</v>
      </c>
      <c r="F56" s="61" t="n">
        <f aca="false">-((D56*25%)-(MAX(0,(D56-300))*5%)-(MAX(0,(D56-600))*5%)-(MAX(0,(D56-1200))*5%)-(MAX(0,(D56-1500))*5%))*C56</f>
        <v>-7447359.34477888</v>
      </c>
      <c r="G56" s="61" t="n">
        <f aca="false">-E56*$F$2</f>
        <v>-8794597.15324522</v>
      </c>
      <c r="H56" s="61" t="n">
        <f aca="false">-E56*$C$3</f>
        <v>-14071355.4451924</v>
      </c>
      <c r="I56" s="61" t="n">
        <f aca="false">+E56+F56+G56+H56</f>
        <v>4865076.66976443</v>
      </c>
      <c r="J56" s="58" t="n">
        <f aca="false">+J55+I56</f>
        <v>114299326.449858</v>
      </c>
    </row>
    <row r="57" customFormat="false" ht="14.25" hidden="false" customHeight="false" outlineLevel="0" collapsed="false">
      <c r="A57" s="3" t="n">
        <f aca="false">+A56+1</f>
        <v>52</v>
      </c>
      <c r="B57" s="59" t="n">
        <f aca="false">+'Channel 2 Sales'!C57</f>
        <v>1422.1423125</v>
      </c>
      <c r="C57" s="60" t="n">
        <v>49172.7400391818</v>
      </c>
      <c r="D57" s="61" t="n">
        <f aca="false">IF(MOD($A57-1, 12) = 0, D56 * 1.05, D56)</f>
        <v>729.30375</v>
      </c>
      <c r="E57" s="61" t="n">
        <f aca="false">+C57*D57</f>
        <v>35861863.7083504</v>
      </c>
      <c r="F57" s="61" t="n">
        <f aca="false">-((D57*25%)-(MAX(0,(D57-300))*5%)-(MAX(0,(D57-600))*5%)-(MAX(0,(D57-1200))*5%)-(MAX(0,(D57-1500))*5%))*C57</f>
        <v>-7592052.85801575</v>
      </c>
      <c r="G57" s="61" t="n">
        <f aca="false">-E57*$F$2</f>
        <v>-8965465.92708761</v>
      </c>
      <c r="H57" s="61" t="n">
        <f aca="false">-E57*$C$3</f>
        <v>-14344745.4833402</v>
      </c>
      <c r="I57" s="61" t="n">
        <f aca="false">+E57+F57+G57+H57</f>
        <v>4959599.43990691</v>
      </c>
      <c r="J57" s="58" t="n">
        <f aca="false">+J56+I57</f>
        <v>119258925.889765</v>
      </c>
    </row>
    <row r="58" customFormat="false" ht="14.25" hidden="false" customHeight="false" outlineLevel="0" collapsed="false">
      <c r="A58" s="3" t="n">
        <f aca="false">+A57+1</f>
        <v>53</v>
      </c>
      <c r="B58" s="59" t="n">
        <f aca="false">+'Channel 2 Sales'!C58</f>
        <v>1422.1423125</v>
      </c>
      <c r="C58" s="60" t="n">
        <v>50104.0172190344</v>
      </c>
      <c r="D58" s="61" t="n">
        <f aca="false">IF(MOD($A58-1, 12) = 0, D57 * 1.05, D57)</f>
        <v>729.30375</v>
      </c>
      <c r="E58" s="61" t="n">
        <f aca="false">+C58*D58</f>
        <v>36541047.6479063</v>
      </c>
      <c r="F58" s="61" t="n">
        <f aca="false">-((D58*25%)-(MAX(0,(D58-300))*5%)-(MAX(0,(D58-600))*5%)-(MAX(0,(D58-1200))*5%)-(MAX(0,(D58-1500))*5%))*C58</f>
        <v>-7735837.9220425</v>
      </c>
      <c r="G58" s="61" t="n">
        <f aca="false">-E58*$F$2</f>
        <v>-9135261.91197658</v>
      </c>
      <c r="H58" s="61" t="n">
        <f aca="false">-E58*$C$3</f>
        <v>-14616419.0591625</v>
      </c>
      <c r="I58" s="61" t="n">
        <f aca="false">+E58+F58+G58+H58</f>
        <v>5053528.75472472</v>
      </c>
      <c r="J58" s="58" t="n">
        <f aca="false">+J57+I58</f>
        <v>124312454.64449</v>
      </c>
    </row>
    <row r="59" customFormat="false" ht="14.25" hidden="false" customHeight="false" outlineLevel="0" collapsed="false">
      <c r="A59" s="3" t="n">
        <f aca="false">+A58+1</f>
        <v>54</v>
      </c>
      <c r="B59" s="59" t="n">
        <f aca="false">+'Channel 2 Sales'!C59</f>
        <v>1422.1423125</v>
      </c>
      <c r="C59" s="60" t="n">
        <v>51029.6158821542</v>
      </c>
      <c r="D59" s="61" t="n">
        <f aca="false">IF(MOD($A59-1, 12) = 0, D58 * 1.05, D58)</f>
        <v>729.30375</v>
      </c>
      <c r="E59" s="61" t="n">
        <f aca="false">+C59*D59</f>
        <v>37216090.2239146</v>
      </c>
      <c r="F59" s="61" t="n">
        <f aca="false">-((D59*25%)-(MAX(0,(D59-300))*5%)-(MAX(0,(D59-600))*5%)-(MAX(0,(D59-1200))*5%)-(MAX(0,(D59-1500))*5%))*C59</f>
        <v>-7878746.24828413</v>
      </c>
      <c r="G59" s="61" t="n">
        <f aca="false">-E59*$F$2</f>
        <v>-9304022.55597865</v>
      </c>
      <c r="H59" s="61" t="n">
        <f aca="false">-E59*$C$3</f>
        <v>-14886436.0895658</v>
      </c>
      <c r="I59" s="61" t="n">
        <f aca="false">+E59+F59+G59+H59</f>
        <v>5146885.33008598</v>
      </c>
      <c r="J59" s="58" t="n">
        <f aca="false">+J58+I59</f>
        <v>129459339.974576</v>
      </c>
    </row>
    <row r="60" customFormat="false" ht="14.25" hidden="false" customHeight="false" outlineLevel="0" collapsed="false">
      <c r="A60" s="3" t="n">
        <f aca="false">+A59+1</f>
        <v>55</v>
      </c>
      <c r="B60" s="59" t="n">
        <f aca="false">+'Channel 2 Sales'!C60</f>
        <v>1422.1423125</v>
      </c>
      <c r="C60" s="60" t="n">
        <v>51949.7301523387</v>
      </c>
      <c r="D60" s="61" t="n">
        <f aca="false">IF(MOD($A60-1, 12) = 0, D59 * 1.05, D59)</f>
        <v>729.30375</v>
      </c>
      <c r="E60" s="61" t="n">
        <f aca="false">+C60*D60</f>
        <v>37887133.0115887</v>
      </c>
      <c r="F60" s="61" t="n">
        <f aca="false">-((D60*25%)-(MAX(0,(D60-300))*5%)-(MAX(0,(D60-600))*5%)-(MAX(0,(D60-1200))*5%)-(MAX(0,(D60-1500))*5%))*C60</f>
        <v>-8020807.80859354</v>
      </c>
      <c r="G60" s="61" t="n">
        <f aca="false">-E60*$F$2</f>
        <v>-9471783.25289717</v>
      </c>
      <c r="H60" s="61" t="n">
        <f aca="false">-E60*$C$3</f>
        <v>-15154853.2046355</v>
      </c>
      <c r="I60" s="61" t="n">
        <f aca="false">+E60+F60+G60+H60</f>
        <v>5239688.7454625</v>
      </c>
      <c r="J60" s="58" t="n">
        <f aca="false">+J59+I60</f>
        <v>134699028.720038</v>
      </c>
    </row>
    <row r="61" customFormat="false" ht="14.25" hidden="false" customHeight="false" outlineLevel="0" collapsed="false">
      <c r="A61" s="3" t="n">
        <f aca="false">+A60+1</f>
        <v>56</v>
      </c>
      <c r="B61" s="59" t="n">
        <f aca="false">+'Channel 2 Sales'!C61</f>
        <v>1422.1423125</v>
      </c>
      <c r="C61" s="60" t="n">
        <v>52864.5444581495</v>
      </c>
      <c r="D61" s="61" t="n">
        <f aca="false">IF(MOD($A61-1, 12) = 0, D60 * 1.05, D60)</f>
        <v>729.30375</v>
      </c>
      <c r="E61" s="61" t="n">
        <f aca="false">+C61*D61</f>
        <v>38554310.5153701</v>
      </c>
      <c r="F61" s="61" t="n">
        <f aca="false">-((D61*25%)-(MAX(0,(D61-300))*5%)-(MAX(0,(D61-600))*5%)-(MAX(0,(D61-1200))*5%)-(MAX(0,(D61-1500))*5%))*C61</f>
        <v>-8162051.07792224</v>
      </c>
      <c r="G61" s="61" t="n">
        <f aca="false">-E61*$F$2</f>
        <v>-9638577.62884253</v>
      </c>
      <c r="H61" s="61" t="n">
        <f aca="false">-E61*$C$3</f>
        <v>-15421724.206148</v>
      </c>
      <c r="I61" s="61" t="n">
        <f aca="false">+E61+F61+G61+H61</f>
        <v>5331957.6024573</v>
      </c>
      <c r="J61" s="58" t="n">
        <f aca="false">+J60+I61</f>
        <v>140030986.322496</v>
      </c>
    </row>
    <row r="62" customFormat="false" ht="14.25" hidden="false" customHeight="false" outlineLevel="0" collapsed="false">
      <c r="A62" s="3" t="n">
        <f aca="false">+A61+1</f>
        <v>57</v>
      </c>
      <c r="B62" s="59" t="n">
        <f aca="false">+'Channel 2 Sales'!C62</f>
        <v>1422.1423125</v>
      </c>
      <c r="C62" s="60" t="n">
        <v>53774.2349695153</v>
      </c>
      <c r="D62" s="61" t="n">
        <f aca="false">IF(MOD($A62-1, 12) = 0, D61 * 1.05, D61)</f>
        <v>729.30375</v>
      </c>
      <c r="E62" s="61" t="n">
        <f aca="false">+C62*D62</f>
        <v>39217751.2166486</v>
      </c>
      <c r="F62" s="61" t="n">
        <f aca="false">-((D62*25%)-(MAX(0,(D62-300))*5%)-(MAX(0,(D62-600))*5%)-(MAX(0,(D62-1200))*5%)-(MAX(0,(D62-1500))*5%))*C62</f>
        <v>-8302503.25612548</v>
      </c>
      <c r="G62" s="61" t="n">
        <f aca="false">-E62*$F$2</f>
        <v>-9804437.80416215</v>
      </c>
      <c r="H62" s="61" t="n">
        <f aca="false">-E62*$C$3</f>
        <v>-15687100.4866594</v>
      </c>
      <c r="I62" s="61" t="n">
        <f aca="false">+E62+F62+G62+H62</f>
        <v>5423709.66970154</v>
      </c>
      <c r="J62" s="58" t="n">
        <f aca="false">+J61+I62</f>
        <v>145454695.992197</v>
      </c>
    </row>
    <row r="63" customFormat="false" ht="14.25" hidden="false" customHeight="false" outlineLevel="0" collapsed="false">
      <c r="A63" s="3" t="n">
        <f aca="false">+A62+1</f>
        <v>58</v>
      </c>
      <c r="B63" s="59" t="n">
        <f aca="false">+'Channel 2 Sales'!C63</f>
        <v>1422.1423125</v>
      </c>
      <c r="C63" s="60" t="n">
        <v>54678.9709205201</v>
      </c>
      <c r="D63" s="61" t="n">
        <f aca="false">IF(MOD($A63-1, 12) = 0, D62 * 1.05, D62)</f>
        <v>729.30375</v>
      </c>
      <c r="E63" s="61" t="n">
        <f aca="false">+C63*D63</f>
        <v>39877578.5384763</v>
      </c>
      <c r="F63" s="61" t="n">
        <f aca="false">-((D63*25%)-(MAX(0,(D63-300))*5%)-(MAX(0,(D63-600))*5%)-(MAX(0,(D63-1200))*5%)-(MAX(0,(D63-1500))*5%))*C63</f>
        <v>-8442190.47219484</v>
      </c>
      <c r="G63" s="61" t="n">
        <f aca="false">-E63*$F$2</f>
        <v>-9969394.63461906</v>
      </c>
      <c r="H63" s="61" t="n">
        <f aca="false">-E63*$C$3</f>
        <v>-15951031.4153905</v>
      </c>
      <c r="I63" s="61" t="n">
        <f aca="false">+E63+F63+G63+H63</f>
        <v>5514962.01627184</v>
      </c>
      <c r="J63" s="58" t="n">
        <f aca="false">+J62+I63</f>
        <v>150969658.008469</v>
      </c>
    </row>
    <row r="64" customFormat="false" ht="14.25" hidden="false" customHeight="false" outlineLevel="0" collapsed="false">
      <c r="A64" s="3" t="n">
        <f aca="false">+A63+1</f>
        <v>59</v>
      </c>
      <c r="B64" s="59" t="n">
        <f aca="false">+'Channel 2 Sales'!C64</f>
        <v>1422.1423125</v>
      </c>
      <c r="C64" s="60" t="n">
        <v>55578.9158374655</v>
      </c>
      <c r="D64" s="61" t="n">
        <f aca="false">IF(MOD($A64-1, 12) = 0, D63 * 1.05, D63)</f>
        <v>729.30375</v>
      </c>
      <c r="E64" s="61" t="n">
        <f aca="false">+C64*D64</f>
        <v>40533911.741198</v>
      </c>
      <c r="F64" s="61" t="n">
        <f aca="false">-((D64*25%)-(MAX(0,(D64-300))*5%)-(MAX(0,(D64-600))*5%)-(MAX(0,(D64-1200))*5%)-(MAX(0,(D64-1500))*5%))*C64</f>
        <v>-8581137.97386564</v>
      </c>
      <c r="G64" s="61" t="n">
        <f aca="false">-E64*$F$2</f>
        <v>-10133477.9352995</v>
      </c>
      <c r="H64" s="61" t="n">
        <f aca="false">-E64*$C$3</f>
        <v>-16213564.6964792</v>
      </c>
      <c r="I64" s="61" t="n">
        <f aca="false">+E64+F64+G64+H64</f>
        <v>5605731.13555365</v>
      </c>
      <c r="J64" s="58" t="n">
        <f aca="false">+J63+I64</f>
        <v>156575389.144023</v>
      </c>
    </row>
    <row r="65" customFormat="false" ht="14.25" hidden="false" customHeight="false" outlineLevel="0" collapsed="false">
      <c r="A65" s="3" t="n">
        <f aca="false">+A64+1</f>
        <v>60</v>
      </c>
      <c r="B65" s="62" t="n">
        <f aca="false">+'Channel 2 Sales'!C65</f>
        <v>1422.1423125</v>
      </c>
      <c r="C65" s="63" t="n">
        <v>56474.3610298262</v>
      </c>
      <c r="D65" s="65" t="n">
        <f aca="false">IF(MOD($A65-1, 12) = 0, D64 * 1.05, D64)</f>
        <v>729.30375</v>
      </c>
      <c r="E65" s="65" t="n">
        <f aca="false">+C65*D65</f>
        <v>41186963.2779061</v>
      </c>
      <c r="F65" s="65" t="n">
        <f aca="false">-((D65*25%)-(MAX(0,(D65-300))*5%)-(MAX(0,(D65-600))*5%)-(MAX(0,(D65-1200))*5%)-(MAX(0,(D65-1500))*5%))*C65</f>
        <v>-8719390.73802809</v>
      </c>
      <c r="G65" s="65" t="n">
        <f aca="false">-E65*$F$2</f>
        <v>-10296740.8194765</v>
      </c>
      <c r="H65" s="65" t="n">
        <f aca="false">-E65*$C$3</f>
        <v>-16474785.3111624</v>
      </c>
      <c r="I65" s="65" t="n">
        <f aca="false">+E65+F65+G65+H65</f>
        <v>5696046.40923904</v>
      </c>
      <c r="J65" s="66" t="n">
        <f aca="false">+J64+I65</f>
        <v>162271435.553262</v>
      </c>
    </row>
    <row r="66" customFormat="false" ht="14.25" hidden="false" customHeight="false" outlineLevel="0" collapsed="false">
      <c r="D66" s="67"/>
      <c r="E66" s="67"/>
      <c r="F66" s="67"/>
      <c r="G66" s="67"/>
      <c r="H66" s="67"/>
      <c r="I66" s="67"/>
      <c r="J66" s="67"/>
    </row>
    <row r="67" customFormat="false" ht="14.25" hidden="false" customHeight="false" outlineLevel="0" collapsed="false">
      <c r="D67" s="67"/>
      <c r="E67" s="67"/>
      <c r="F67" s="67"/>
      <c r="G67" s="67"/>
      <c r="H67" s="67"/>
      <c r="I67" s="67"/>
      <c r="J67" s="67"/>
    </row>
    <row r="68" customFormat="false" ht="14.25" hidden="false" customHeight="false" outlineLevel="0" collapsed="false">
      <c r="D68" s="67"/>
      <c r="E68" s="67"/>
      <c r="F68" s="67"/>
      <c r="G68" s="67"/>
      <c r="H68" s="67"/>
      <c r="I68" s="67"/>
      <c r="J68" s="67"/>
    </row>
    <row r="69" customFormat="false" ht="14.25" hidden="false" customHeight="false" outlineLevel="0" collapsed="false">
      <c r="D69" s="67"/>
      <c r="E69" s="67"/>
      <c r="F69" s="67"/>
      <c r="G69" s="67"/>
      <c r="H69" s="67"/>
      <c r="I69" s="67"/>
      <c r="J69" s="67"/>
    </row>
    <row r="70" customFormat="false" ht="14.25" hidden="false" customHeight="false" outlineLevel="0" collapsed="false">
      <c r="D70" s="67"/>
      <c r="E70" s="67"/>
      <c r="F70" s="67"/>
      <c r="G70" s="67"/>
      <c r="H70" s="67"/>
      <c r="I70" s="67"/>
      <c r="J70" s="67"/>
    </row>
    <row r="71" customFormat="false" ht="14.25" hidden="false" customHeight="false" outlineLevel="0" collapsed="false">
      <c r="D71" s="67"/>
      <c r="E71" s="67"/>
      <c r="F71" s="67"/>
      <c r="G71" s="67"/>
      <c r="H71" s="67"/>
      <c r="I71" s="67"/>
      <c r="J71" s="67"/>
    </row>
    <row r="72" customFormat="false" ht="14.25" hidden="false" customHeight="false" outlineLevel="0" collapsed="false">
      <c r="D72" s="67"/>
      <c r="E72" s="67"/>
      <c r="F72" s="67"/>
      <c r="G72" s="67"/>
      <c r="H72" s="67"/>
      <c r="I72" s="67"/>
      <c r="J72" s="67"/>
    </row>
    <row r="73" customFormat="false" ht="14.25" hidden="false" customHeight="false" outlineLevel="0" collapsed="false">
      <c r="D73" s="67"/>
      <c r="E73" s="67"/>
      <c r="F73" s="67"/>
      <c r="G73" s="67"/>
      <c r="H73" s="67"/>
      <c r="I73" s="67"/>
      <c r="J73" s="67"/>
    </row>
    <row r="74" customFormat="false" ht="14.25" hidden="false" customHeight="false" outlineLevel="0" collapsed="false">
      <c r="D74" s="67"/>
      <c r="E74" s="67"/>
      <c r="F74" s="67"/>
      <c r="G74" s="67"/>
      <c r="H74" s="67"/>
      <c r="I74" s="67"/>
      <c r="J74" s="67"/>
    </row>
    <row r="75" customFormat="false" ht="14.25" hidden="false" customHeight="false" outlineLevel="0" collapsed="false">
      <c r="D75" s="67"/>
      <c r="E75" s="67"/>
      <c r="F75" s="67"/>
      <c r="G75" s="67"/>
      <c r="H75" s="67"/>
      <c r="I75" s="67"/>
      <c r="J75" s="67"/>
    </row>
    <row r="76" customFormat="false" ht="14.25" hidden="false" customHeight="false" outlineLevel="0" collapsed="false">
      <c r="D76" s="67"/>
      <c r="E76" s="67"/>
      <c r="F76" s="67"/>
      <c r="G76" s="67"/>
      <c r="H76" s="67"/>
      <c r="I76" s="67"/>
      <c r="J76" s="67"/>
    </row>
    <row r="77" customFormat="false" ht="14.25" hidden="false" customHeight="false" outlineLevel="0" collapsed="false">
      <c r="D77" s="67"/>
      <c r="E77" s="67"/>
      <c r="F77" s="67"/>
      <c r="G77" s="67"/>
      <c r="H77" s="67"/>
      <c r="I77" s="67"/>
      <c r="J77" s="67"/>
    </row>
    <row r="78" customFormat="false" ht="14.25" hidden="false" customHeight="false" outlineLevel="0" collapsed="false">
      <c r="D78" s="67"/>
      <c r="E78" s="67"/>
      <c r="F78" s="67"/>
      <c r="G78" s="67"/>
      <c r="H78" s="67"/>
      <c r="I78" s="67"/>
      <c r="J78" s="67"/>
    </row>
    <row r="79" customFormat="false" ht="14.25" hidden="false" customHeight="false" outlineLevel="0" collapsed="false">
      <c r="D79" s="67"/>
      <c r="E79" s="67"/>
      <c r="F79" s="67"/>
      <c r="G79" s="67"/>
      <c r="H79" s="67"/>
      <c r="I79" s="67"/>
      <c r="J79" s="67"/>
    </row>
    <row r="80" customFormat="false" ht="14.25" hidden="false" customHeight="false" outlineLevel="0" collapsed="false">
      <c r="D80" s="67"/>
      <c r="E80" s="67"/>
      <c r="F80" s="67"/>
      <c r="G80" s="67"/>
      <c r="H80" s="67"/>
      <c r="I80" s="67"/>
      <c r="J80" s="67"/>
    </row>
    <row r="81" customFormat="false" ht="14.25" hidden="false" customHeight="false" outlineLevel="0" collapsed="false">
      <c r="D81" s="67"/>
      <c r="E81" s="67"/>
      <c r="F81" s="67"/>
      <c r="G81" s="67"/>
      <c r="H81" s="67"/>
      <c r="I81" s="67"/>
      <c r="J81" s="67"/>
    </row>
    <row r="82" customFormat="false" ht="14.25" hidden="false" customHeight="false" outlineLevel="0" collapsed="false">
      <c r="D82" s="67"/>
      <c r="E82" s="67"/>
      <c r="F82" s="67"/>
      <c r="G82" s="67"/>
      <c r="H82" s="67"/>
      <c r="I82" s="67"/>
      <c r="J82" s="67"/>
    </row>
    <row r="83" customFormat="false" ht="14.25" hidden="false" customHeight="false" outlineLevel="0" collapsed="false">
      <c r="D83" s="67"/>
      <c r="E83" s="67"/>
      <c r="F83" s="67"/>
      <c r="G83" s="67"/>
      <c r="H83" s="67"/>
      <c r="I83" s="67"/>
      <c r="J83" s="67"/>
    </row>
    <row r="84" customFormat="false" ht="14.25" hidden="false" customHeight="false" outlineLevel="0" collapsed="false">
      <c r="D84" s="67"/>
      <c r="E84" s="67"/>
      <c r="F84" s="67"/>
      <c r="G84" s="67"/>
      <c r="H84" s="67"/>
      <c r="I84" s="67"/>
      <c r="J84" s="67"/>
    </row>
    <row r="85" customFormat="false" ht="14.25" hidden="false" customHeight="false" outlineLevel="0" collapsed="false">
      <c r="D85" s="67"/>
      <c r="E85" s="67"/>
      <c r="F85" s="67"/>
      <c r="G85" s="67"/>
      <c r="H85" s="67"/>
      <c r="I85" s="67"/>
      <c r="J85" s="67"/>
    </row>
    <row r="86" customFormat="false" ht="14.25" hidden="false" customHeight="false" outlineLevel="0" collapsed="false">
      <c r="D86" s="67"/>
      <c r="E86" s="67"/>
      <c r="F86" s="67"/>
      <c r="G86" s="67"/>
      <c r="H86" s="67"/>
      <c r="I86" s="67"/>
      <c r="J86" s="67"/>
    </row>
    <row r="87" customFormat="false" ht="14.25" hidden="false" customHeight="false" outlineLevel="0" collapsed="false">
      <c r="D87" s="67"/>
      <c r="E87" s="67"/>
      <c r="F87" s="67"/>
      <c r="G87" s="67"/>
      <c r="H87" s="67"/>
      <c r="I87" s="67"/>
      <c r="J87" s="67"/>
    </row>
    <row r="88" customFormat="false" ht="14.25" hidden="false" customHeight="false" outlineLevel="0" collapsed="false">
      <c r="D88" s="67"/>
      <c r="E88" s="67"/>
      <c r="F88" s="67"/>
      <c r="G88" s="67"/>
      <c r="H88" s="67"/>
      <c r="I88" s="67"/>
      <c r="J88" s="67"/>
    </row>
    <row r="89" customFormat="false" ht="14.25" hidden="false" customHeight="false" outlineLevel="0" collapsed="false">
      <c r="D89" s="67"/>
      <c r="E89" s="67"/>
      <c r="F89" s="67"/>
      <c r="G89" s="67"/>
      <c r="H89" s="67"/>
      <c r="I89" s="67"/>
      <c r="J89" s="67"/>
    </row>
    <row r="90" customFormat="false" ht="14.25" hidden="false" customHeight="false" outlineLevel="0" collapsed="false">
      <c r="D90" s="67"/>
      <c r="E90" s="67"/>
      <c r="F90" s="67"/>
      <c r="G90" s="67"/>
      <c r="H90" s="67"/>
      <c r="I90" s="67"/>
      <c r="J90" s="67"/>
    </row>
    <row r="91" customFormat="false" ht="14.25" hidden="false" customHeight="false" outlineLevel="0" collapsed="false">
      <c r="D91" s="67"/>
      <c r="E91" s="67"/>
      <c r="F91" s="67"/>
      <c r="G91" s="67"/>
      <c r="H91" s="67"/>
      <c r="I91" s="67"/>
      <c r="J91" s="67"/>
    </row>
    <row r="92" customFormat="false" ht="14.25" hidden="false" customHeight="false" outlineLevel="0" collapsed="false">
      <c r="D92" s="67"/>
      <c r="E92" s="67"/>
      <c r="F92" s="67"/>
      <c r="G92" s="67"/>
      <c r="H92" s="67"/>
      <c r="I92" s="67"/>
      <c r="J92" s="67"/>
    </row>
    <row r="93" customFormat="false" ht="14.25" hidden="false" customHeight="false" outlineLevel="0" collapsed="false">
      <c r="D93" s="67"/>
      <c r="E93" s="67"/>
      <c r="F93" s="67"/>
      <c r="G93" s="67"/>
      <c r="H93" s="67"/>
      <c r="I93" s="67"/>
      <c r="J93" s="67"/>
    </row>
    <row r="94" customFormat="false" ht="14.25" hidden="false" customHeight="false" outlineLevel="0" collapsed="false">
      <c r="D94" s="67"/>
      <c r="E94" s="67"/>
      <c r="F94" s="67"/>
      <c r="G94" s="67"/>
      <c r="H94" s="67"/>
      <c r="I94" s="67"/>
      <c r="J94" s="67"/>
    </row>
    <row r="95" customFormat="false" ht="14.25" hidden="false" customHeight="false" outlineLevel="0" collapsed="false">
      <c r="D95" s="67"/>
      <c r="E95" s="67"/>
      <c r="F95" s="67"/>
      <c r="G95" s="67"/>
      <c r="H95" s="67"/>
      <c r="I95" s="67"/>
      <c r="J95" s="67"/>
    </row>
    <row r="96" customFormat="false" ht="14.25" hidden="false" customHeight="false" outlineLevel="0" collapsed="false">
      <c r="D96" s="67"/>
      <c r="E96" s="67"/>
      <c r="F96" s="67"/>
      <c r="G96" s="67"/>
      <c r="H96" s="67"/>
      <c r="I96" s="67"/>
      <c r="J96" s="67"/>
    </row>
    <row r="97" customFormat="false" ht="14.25" hidden="false" customHeight="false" outlineLevel="0" collapsed="false">
      <c r="D97" s="67"/>
      <c r="E97" s="67"/>
      <c r="F97" s="67"/>
      <c r="G97" s="67"/>
      <c r="H97" s="67"/>
      <c r="I97" s="67"/>
      <c r="J97" s="67"/>
    </row>
    <row r="98" customFormat="false" ht="14.25" hidden="false" customHeight="false" outlineLevel="0" collapsed="false">
      <c r="D98" s="67"/>
      <c r="E98" s="67"/>
      <c r="F98" s="67"/>
      <c r="G98" s="67"/>
      <c r="H98" s="67"/>
      <c r="I98" s="67"/>
      <c r="J98" s="67"/>
    </row>
    <row r="99" customFormat="false" ht="14.25" hidden="false" customHeight="false" outlineLevel="0" collapsed="false">
      <c r="D99" s="67"/>
      <c r="E99" s="67"/>
      <c r="F99" s="67"/>
      <c r="G99" s="67"/>
      <c r="H99" s="67"/>
      <c r="I99" s="67"/>
      <c r="J99" s="67"/>
    </row>
    <row r="100" customFormat="false" ht="14.25" hidden="false" customHeight="false" outlineLevel="0" collapsed="false">
      <c r="D100" s="67"/>
      <c r="E100" s="67"/>
      <c r="F100" s="67"/>
      <c r="G100" s="67"/>
      <c r="H100" s="67"/>
      <c r="I100" s="67"/>
      <c r="J100" s="67"/>
    </row>
    <row r="101" customFormat="false" ht="14.25" hidden="false" customHeight="false" outlineLevel="0" collapsed="false">
      <c r="D101" s="67"/>
      <c r="E101" s="67"/>
      <c r="F101" s="67"/>
      <c r="G101" s="67"/>
      <c r="H101" s="67"/>
      <c r="I101" s="67"/>
      <c r="J101" s="67"/>
    </row>
    <row r="102" customFormat="false" ht="14.25" hidden="false" customHeight="false" outlineLevel="0" collapsed="false">
      <c r="D102" s="67"/>
      <c r="E102" s="67"/>
      <c r="F102" s="67"/>
      <c r="G102" s="67"/>
      <c r="H102" s="67"/>
      <c r="I102" s="67"/>
      <c r="J102" s="67"/>
    </row>
    <row r="103" customFormat="false" ht="14.25" hidden="false" customHeight="false" outlineLevel="0" collapsed="false">
      <c r="D103" s="67"/>
      <c r="E103" s="67"/>
      <c r="F103" s="67"/>
      <c r="G103" s="67"/>
      <c r="H103" s="67"/>
      <c r="I103" s="67"/>
      <c r="J103" s="67"/>
    </row>
    <row r="104" customFormat="false" ht="14.25" hidden="false" customHeight="false" outlineLevel="0" collapsed="false">
      <c r="D104" s="67"/>
      <c r="E104" s="67"/>
      <c r="F104" s="67"/>
      <c r="G104" s="67"/>
      <c r="H104" s="67"/>
      <c r="I104" s="67"/>
      <c r="J104" s="67"/>
    </row>
    <row r="105" customFormat="false" ht="14.25" hidden="false" customHeight="false" outlineLevel="0" collapsed="false">
      <c r="D105" s="67"/>
      <c r="E105" s="67"/>
      <c r="F105" s="67"/>
      <c r="G105" s="67"/>
      <c r="H105" s="67"/>
      <c r="I105" s="67"/>
      <c r="J105" s="67"/>
    </row>
    <row r="106" customFormat="false" ht="14.25" hidden="false" customHeight="false" outlineLevel="0" collapsed="false">
      <c r="D106" s="67"/>
      <c r="E106" s="67"/>
      <c r="F106" s="67"/>
      <c r="G106" s="67"/>
      <c r="H106" s="67"/>
      <c r="I106" s="67"/>
      <c r="J106" s="67"/>
    </row>
    <row r="107" customFormat="false" ht="14.25" hidden="false" customHeight="false" outlineLevel="0" collapsed="false">
      <c r="D107" s="67"/>
      <c r="E107" s="67"/>
      <c r="F107" s="67"/>
      <c r="G107" s="67"/>
      <c r="H107" s="67"/>
      <c r="I107" s="67"/>
      <c r="J107" s="67"/>
    </row>
    <row r="108" customFormat="false" ht="14.25" hidden="false" customHeight="false" outlineLevel="0" collapsed="false">
      <c r="D108" s="67"/>
      <c r="E108" s="67"/>
      <c r="F108" s="67"/>
      <c r="G108" s="67"/>
      <c r="H108" s="67"/>
      <c r="I108" s="67"/>
      <c r="J108" s="67"/>
    </row>
    <row r="109" customFormat="false" ht="14.25" hidden="false" customHeight="false" outlineLevel="0" collapsed="false">
      <c r="D109" s="67"/>
      <c r="E109" s="67"/>
      <c r="F109" s="67"/>
      <c r="G109" s="67"/>
      <c r="H109" s="67"/>
      <c r="I109" s="67"/>
      <c r="J109" s="67"/>
    </row>
    <row r="110" customFormat="false" ht="14.25" hidden="false" customHeight="false" outlineLevel="0" collapsed="false">
      <c r="D110" s="67"/>
      <c r="E110" s="67"/>
      <c r="F110" s="67"/>
      <c r="G110" s="67"/>
      <c r="H110" s="67"/>
      <c r="I110" s="67"/>
      <c r="J110" s="67"/>
    </row>
    <row r="111" customFormat="false" ht="14.25" hidden="false" customHeight="false" outlineLevel="0" collapsed="false">
      <c r="D111" s="67"/>
      <c r="E111" s="67"/>
      <c r="F111" s="67"/>
      <c r="G111" s="67"/>
      <c r="H111" s="67"/>
      <c r="I111" s="67"/>
      <c r="J111" s="67"/>
    </row>
    <row r="112" customFormat="false" ht="14.25" hidden="false" customHeight="false" outlineLevel="0" collapsed="false">
      <c r="D112" s="67"/>
      <c r="E112" s="67"/>
      <c r="F112" s="67"/>
      <c r="G112" s="67"/>
      <c r="H112" s="67"/>
      <c r="I112" s="67"/>
      <c r="J112" s="67"/>
    </row>
    <row r="113" customFormat="false" ht="14.25" hidden="false" customHeight="false" outlineLevel="0" collapsed="false">
      <c r="D113" s="67"/>
      <c r="E113" s="67"/>
      <c r="F113" s="67"/>
      <c r="G113" s="67"/>
      <c r="H113" s="67"/>
      <c r="I113" s="67"/>
      <c r="J113" s="67"/>
    </row>
    <row r="114" customFormat="false" ht="14.25" hidden="false" customHeight="false" outlineLevel="0" collapsed="false">
      <c r="D114" s="67"/>
      <c r="E114" s="67"/>
      <c r="F114" s="67"/>
      <c r="G114" s="67"/>
      <c r="H114" s="67"/>
      <c r="I114" s="67"/>
      <c r="J114" s="67"/>
    </row>
    <row r="115" customFormat="false" ht="14.25" hidden="false" customHeight="false" outlineLevel="0" collapsed="false">
      <c r="D115" s="67"/>
      <c r="E115" s="67"/>
      <c r="F115" s="67"/>
      <c r="G115" s="67"/>
      <c r="H115" s="67"/>
      <c r="I115" s="67"/>
      <c r="J115" s="67"/>
    </row>
    <row r="116" customFormat="false" ht="14.25" hidden="false" customHeight="false" outlineLevel="0" collapsed="false">
      <c r="D116" s="67"/>
      <c r="E116" s="67"/>
      <c r="F116" s="67"/>
      <c r="G116" s="67"/>
      <c r="H116" s="67"/>
      <c r="I116" s="67"/>
      <c r="J116" s="67"/>
    </row>
    <row r="117" customFormat="false" ht="14.25" hidden="false" customHeight="false" outlineLevel="0" collapsed="false">
      <c r="D117" s="67"/>
      <c r="E117" s="67"/>
      <c r="F117" s="67"/>
      <c r="G117" s="67"/>
      <c r="H117" s="67"/>
      <c r="I117" s="67"/>
      <c r="J117" s="67"/>
    </row>
    <row r="118" customFormat="false" ht="14.25" hidden="false" customHeight="false" outlineLevel="0" collapsed="false">
      <c r="D118" s="67"/>
      <c r="E118" s="67"/>
      <c r="F118" s="67"/>
      <c r="G118" s="67"/>
      <c r="H118" s="67"/>
      <c r="I118" s="67"/>
      <c r="J118" s="67"/>
    </row>
    <row r="119" customFormat="false" ht="14.25" hidden="false" customHeight="false" outlineLevel="0" collapsed="false">
      <c r="D119" s="67"/>
      <c r="E119" s="67"/>
      <c r="F119" s="67"/>
      <c r="G119" s="67"/>
      <c r="H119" s="67"/>
      <c r="I119" s="67"/>
      <c r="J119" s="67"/>
    </row>
    <row r="120" customFormat="false" ht="14.25" hidden="false" customHeight="false" outlineLevel="0" collapsed="false">
      <c r="D120" s="67"/>
      <c r="E120" s="67"/>
      <c r="F120" s="67"/>
      <c r="G120" s="67"/>
      <c r="H120" s="67"/>
      <c r="I120" s="67"/>
      <c r="J120" s="67"/>
    </row>
    <row r="121" customFormat="false" ht="14.25" hidden="false" customHeight="false" outlineLevel="0" collapsed="false">
      <c r="D121" s="67"/>
      <c r="E121" s="67"/>
      <c r="F121" s="67"/>
      <c r="G121" s="67"/>
      <c r="H121" s="67"/>
      <c r="I121" s="67"/>
      <c r="J121" s="67"/>
    </row>
    <row r="122" customFormat="false" ht="14.25" hidden="false" customHeight="false" outlineLevel="0" collapsed="false">
      <c r="D122" s="67"/>
      <c r="E122" s="67"/>
      <c r="F122" s="67"/>
      <c r="G122" s="67"/>
      <c r="H122" s="67"/>
      <c r="I122" s="67"/>
      <c r="J122" s="67"/>
    </row>
    <row r="123" customFormat="false" ht="14.25" hidden="false" customHeight="false" outlineLevel="0" collapsed="false">
      <c r="D123" s="67"/>
      <c r="E123" s="67"/>
      <c r="F123" s="67"/>
      <c r="G123" s="67"/>
      <c r="H123" s="67"/>
      <c r="I123" s="67"/>
      <c r="J123" s="67"/>
    </row>
    <row r="124" customFormat="false" ht="14.25" hidden="false" customHeight="false" outlineLevel="0" collapsed="false">
      <c r="D124" s="67"/>
      <c r="E124" s="67"/>
      <c r="F124" s="67"/>
      <c r="G124" s="67"/>
      <c r="H124" s="67"/>
      <c r="I124" s="67"/>
      <c r="J124" s="67"/>
    </row>
    <row r="125" customFormat="false" ht="14.25" hidden="false" customHeight="false" outlineLevel="0" collapsed="false">
      <c r="D125" s="67"/>
      <c r="E125" s="67"/>
      <c r="F125" s="67"/>
      <c r="G125" s="67"/>
      <c r="H125" s="67"/>
      <c r="I125" s="67"/>
      <c r="J125" s="67"/>
    </row>
    <row r="126" customFormat="false" ht="14.25" hidden="false" customHeight="false" outlineLevel="0" collapsed="false">
      <c r="D126" s="67"/>
      <c r="E126" s="67"/>
      <c r="F126" s="67"/>
      <c r="G126" s="67"/>
      <c r="H126" s="67"/>
      <c r="I126" s="67"/>
      <c r="J126" s="67"/>
    </row>
    <row r="127" customFormat="false" ht="14.25" hidden="false" customHeight="false" outlineLevel="0" collapsed="false">
      <c r="D127" s="67"/>
      <c r="E127" s="67"/>
      <c r="F127" s="67"/>
      <c r="G127" s="67"/>
      <c r="H127" s="67"/>
      <c r="I127" s="67"/>
      <c r="J127" s="67"/>
    </row>
    <row r="128" customFormat="false" ht="14.25" hidden="false" customHeight="false" outlineLevel="0" collapsed="false">
      <c r="D128" s="67"/>
      <c r="E128" s="67"/>
      <c r="F128" s="67"/>
      <c r="G128" s="67"/>
      <c r="H128" s="67"/>
      <c r="I128" s="67"/>
      <c r="J128" s="67"/>
    </row>
    <row r="129" customFormat="false" ht="14.25" hidden="false" customHeight="false" outlineLevel="0" collapsed="false">
      <c r="D129" s="67"/>
      <c r="E129" s="67"/>
      <c r="F129" s="67"/>
      <c r="G129" s="67"/>
      <c r="H129" s="67"/>
      <c r="I129" s="67"/>
      <c r="J129" s="67"/>
    </row>
    <row r="130" customFormat="false" ht="14.25" hidden="false" customHeight="false" outlineLevel="0" collapsed="false">
      <c r="D130" s="67"/>
      <c r="E130" s="67"/>
      <c r="F130" s="67"/>
      <c r="G130" s="67"/>
      <c r="H130" s="67"/>
      <c r="I130" s="67"/>
      <c r="J130" s="67"/>
    </row>
    <row r="131" customFormat="false" ht="14.25" hidden="false" customHeight="false" outlineLevel="0" collapsed="false">
      <c r="D131" s="67"/>
      <c r="E131" s="67"/>
      <c r="F131" s="67"/>
      <c r="G131" s="67"/>
      <c r="H131" s="67"/>
      <c r="I131" s="67"/>
      <c r="J131" s="67"/>
    </row>
    <row r="132" customFormat="false" ht="14.25" hidden="false" customHeight="false" outlineLevel="0" collapsed="false">
      <c r="D132" s="67"/>
      <c r="E132" s="67"/>
      <c r="F132" s="67"/>
      <c r="G132" s="67"/>
      <c r="H132" s="67"/>
      <c r="I132" s="67"/>
      <c r="J132" s="67"/>
    </row>
    <row r="133" customFormat="false" ht="14.25" hidden="false" customHeight="false" outlineLevel="0" collapsed="false">
      <c r="D133" s="67"/>
      <c r="E133" s="67"/>
      <c r="F133" s="67"/>
      <c r="G133" s="67"/>
      <c r="H133" s="67"/>
      <c r="I133" s="67"/>
      <c r="J133" s="67"/>
    </row>
    <row r="134" customFormat="false" ht="14.25" hidden="false" customHeight="false" outlineLevel="0" collapsed="false">
      <c r="D134" s="67"/>
      <c r="E134" s="67"/>
      <c r="F134" s="67"/>
      <c r="G134" s="67"/>
      <c r="H134" s="67"/>
      <c r="I134" s="67"/>
      <c r="J134" s="67"/>
    </row>
  </sheetData>
  <conditionalFormatting sqref="A6:AO1048576">
    <cfRule type="cellIs" priority="2" operator="lessThan" aboveAverage="0" equalAverage="0" bottom="0" percent="0" rank="0" text="" dxfId="11">
      <formula>0</formula>
    </cfRule>
  </conditionalFormatting>
  <conditionalFormatting sqref="A1:AO4">
    <cfRule type="cellIs" priority="3" operator="lessThan" aboveAverage="0" equalAverage="0" bottom="0" percent="0" rank="0" text="" dxfId="12">
      <formula>0</formula>
    </cfRule>
  </conditionalFormatting>
  <conditionalFormatting sqref="B5:AO5">
    <cfRule type="cellIs" priority="4" operator="lessThan" aboveAverage="0" equalAverage="0" bottom="0" percent="0" rank="0" text="" dxfId="13">
      <formula>0</formula>
    </cfRule>
  </conditionalFormatting>
  <conditionalFormatting sqref="A5:A65">
    <cfRule type="cellIs" priority="5" operator="lessThan" aboveAverage="0" equalAverage="0" bottom="0" percent="0" rank="0" text="" dxfId="14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2" min="2" style="17" width="16.44"/>
    <col collapsed="false" customWidth="true" hidden="false" outlineLevel="0" max="3" min="3" style="17" width="11.44"/>
    <col collapsed="false" customWidth="true" hidden="false" outlineLevel="0" max="4" min="4" style="17" width="13.66"/>
    <col collapsed="false" customWidth="true" hidden="false" outlineLevel="0" max="5" min="5" style="17" width="18.89"/>
    <col collapsed="false" customWidth="true" hidden="false" outlineLevel="0" max="6" min="6" style="17" width="13.66"/>
    <col collapsed="false" customWidth="true" hidden="false" outlineLevel="0" max="7" min="7" style="17" width="14"/>
    <col collapsed="false" customWidth="true" hidden="false" outlineLevel="0" max="8" min="8" style="17" width="27.33"/>
    <col collapsed="false" customWidth="true" hidden="false" outlineLevel="0" max="9" min="9" style="17" width="16.33"/>
    <col collapsed="false" customWidth="true" hidden="false" outlineLevel="0" max="10" min="10" style="17" width="25"/>
    <col collapsed="false" customWidth="true" hidden="false" outlineLevel="0" max="11" min="11" style="17" width="33.33"/>
    <col collapsed="false" customWidth="false" hidden="false" outlineLevel="0" max="16384" min="12" style="17" width="9.11"/>
  </cols>
  <sheetData>
    <row r="1" customFormat="false" ht="14.25" hidden="false" customHeight="false" outlineLevel="0" collapsed="false">
      <c r="B1" s="3" t="s">
        <v>104</v>
      </c>
      <c r="C1" s="52" t="n">
        <f aca="false">+'Inputs &amp; Assuptions'!$D$2</f>
        <v>300</v>
      </c>
      <c r="E1" s="3" t="s">
        <v>94</v>
      </c>
      <c r="F1" s="54" t="n">
        <v>0.2</v>
      </c>
      <c r="H1" s="16"/>
      <c r="J1" s="16"/>
    </row>
    <row r="2" customFormat="false" ht="27.75" hidden="false" customHeight="true" outlineLevel="0" collapsed="false">
      <c r="B2" s="3" t="s">
        <v>95</v>
      </c>
      <c r="C2" s="53" t="n">
        <f aca="false">+'Inputs &amp; Assuptions'!$D$3</f>
        <v>0.05</v>
      </c>
      <c r="E2" s="3" t="s">
        <v>96</v>
      </c>
      <c r="F2" s="54" t="n">
        <f aca="false">+'Inputs &amp; Assuptions'!$D$7</f>
        <v>0.25</v>
      </c>
      <c r="H2" s="69"/>
    </row>
    <row r="3" customFormat="false" ht="14.25" hidden="false" customHeight="false" outlineLevel="0" collapsed="false">
      <c r="B3" s="3" t="s">
        <v>15</v>
      </c>
      <c r="C3" s="53" t="n">
        <f aca="false">+'Inputs &amp; Assuptions'!$D$8</f>
        <v>0.4</v>
      </c>
    </row>
    <row r="5" customFormat="false" ht="14.25" hidden="false" customHeight="false" outlineLevel="0" collapsed="false">
      <c r="A5" s="3" t="s">
        <v>89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9</v>
      </c>
      <c r="G5" s="3" t="s">
        <v>13</v>
      </c>
      <c r="H5" s="3" t="s">
        <v>101</v>
      </c>
      <c r="I5" s="3" t="s">
        <v>102</v>
      </c>
      <c r="J5" s="3" t="s">
        <v>103</v>
      </c>
    </row>
    <row r="6" customFormat="false" ht="14.25" hidden="false" customHeight="false" outlineLevel="0" collapsed="false">
      <c r="A6" s="3" t="n">
        <v>1</v>
      </c>
      <c r="B6" s="55" t="n">
        <f aca="false">+'Channel 3 Sales'!C6</f>
        <v>978</v>
      </c>
      <c r="C6" s="56" t="n">
        <f aca="false" t="array" ref="C6:C65">+TRANSPOSE('Channel 3 Sales'!$F$67:$BM$67)</f>
        <v>978</v>
      </c>
      <c r="D6" s="57" t="n">
        <f aca="false">IF(MOD($A6, 12) = 0, $C$1 * 1.05, $C$1)</f>
        <v>300</v>
      </c>
      <c r="E6" s="57" t="n">
        <f aca="false">+C6*D6</f>
        <v>293400</v>
      </c>
      <c r="F6" s="57" t="n">
        <f aca="false">-C6*D6*$F$1</f>
        <v>-58680</v>
      </c>
      <c r="G6" s="57" t="n">
        <f aca="false">-E6*$F$2</f>
        <v>-73350</v>
      </c>
      <c r="H6" s="57" t="n">
        <f aca="false">-E6*$C$3</f>
        <v>-117360</v>
      </c>
      <c r="I6" s="57" t="n">
        <f aca="false">+E6+F6+G6+H6</f>
        <v>44010</v>
      </c>
      <c r="J6" s="68" t="n">
        <f aca="false">+I6</f>
        <v>44010</v>
      </c>
    </row>
    <row r="7" customFormat="false" ht="14.25" hidden="false" customHeight="false" outlineLevel="0" collapsed="false">
      <c r="A7" s="3" t="n">
        <f aca="false">+A6+1</f>
        <v>2</v>
      </c>
      <c r="B7" s="59" t="n">
        <f aca="false">+'Channel 3 Sales'!C7</f>
        <v>978</v>
      </c>
      <c r="C7" s="60" t="n">
        <v>1951.11</v>
      </c>
      <c r="D7" s="61" t="n">
        <f aca="false">IF(MOD($A7-1, 12) = 0, D6 * 1.05, D6)</f>
        <v>300</v>
      </c>
      <c r="E7" s="61" t="n">
        <f aca="false">+C7*D7</f>
        <v>585333</v>
      </c>
      <c r="F7" s="61" t="n">
        <f aca="false">-C7*D7*$F$1</f>
        <v>-117066.6</v>
      </c>
      <c r="G7" s="61" t="n">
        <f aca="false">-E7*$F$2</f>
        <v>-146333.25</v>
      </c>
      <c r="H7" s="61" t="n">
        <f aca="false">-E7*$C$3</f>
        <v>-234133.2</v>
      </c>
      <c r="I7" s="61" t="n">
        <f aca="false">+E7+F7+G7+H7</f>
        <v>87799.95</v>
      </c>
      <c r="J7" s="58" t="n">
        <f aca="false">+J6+I7</f>
        <v>131809.95</v>
      </c>
    </row>
    <row r="8" customFormat="false" ht="14.25" hidden="false" customHeight="false" outlineLevel="0" collapsed="false">
      <c r="A8" s="3" t="n">
        <f aca="false">+A7+1</f>
        <v>3</v>
      </c>
      <c r="B8" s="59" t="n">
        <f aca="false">+'Channel 3 Sales'!C8</f>
        <v>978</v>
      </c>
      <c r="C8" s="60" t="n">
        <v>2920.522182</v>
      </c>
      <c r="D8" s="61" t="n">
        <f aca="false">IF(MOD($A8-1, 12) = 0, D7 * 1.05, D7)</f>
        <v>300</v>
      </c>
      <c r="E8" s="61" t="n">
        <f aca="false">+C8*D8</f>
        <v>876156.6546</v>
      </c>
      <c r="F8" s="61" t="n">
        <f aca="false">-C8*D8*$F$1</f>
        <v>-175231.33092</v>
      </c>
      <c r="G8" s="61" t="n">
        <f aca="false">-E8*$F$2</f>
        <v>-219039.16365</v>
      </c>
      <c r="H8" s="61" t="n">
        <f aca="false">-E8*$C$3</f>
        <v>-350462.66184</v>
      </c>
      <c r="I8" s="61" t="n">
        <f aca="false">+E8+F8+G8+H8</f>
        <v>131423.49819</v>
      </c>
      <c r="J8" s="58" t="n">
        <f aca="false">+J7+I8</f>
        <v>263233.44819</v>
      </c>
    </row>
    <row r="9" customFormat="false" ht="14.25" hidden="false" customHeight="false" outlineLevel="0" collapsed="false">
      <c r="A9" s="3" t="n">
        <f aca="false">+A8+1</f>
        <v>4</v>
      </c>
      <c r="B9" s="59" t="n">
        <f aca="false">+'Channel 3 Sales'!C9</f>
        <v>978</v>
      </c>
      <c r="C9" s="60" t="n">
        <v>3887.510833545</v>
      </c>
      <c r="D9" s="61" t="n">
        <f aca="false">IF(MOD($A9-1, 12) = 0, D8 * 1.05, D8)</f>
        <v>300</v>
      </c>
      <c r="E9" s="61" t="n">
        <f aca="false">+C9*D9</f>
        <v>1166253.2500635</v>
      </c>
      <c r="F9" s="61" t="n">
        <f aca="false">-C9*D9*$F$1</f>
        <v>-233250.6500127</v>
      </c>
      <c r="G9" s="61" t="n">
        <f aca="false">-E9*$F$2</f>
        <v>-291563.312515875</v>
      </c>
      <c r="H9" s="61" t="n">
        <f aca="false">-E9*$C$3</f>
        <v>-466501.3000254</v>
      </c>
      <c r="I9" s="61" t="n">
        <f aca="false">+E9+F9+G9+H9</f>
        <v>174937.987509525</v>
      </c>
      <c r="J9" s="58" t="n">
        <f aca="false">+J8+I9</f>
        <v>438171.435699525</v>
      </c>
    </row>
    <row r="10" customFormat="false" ht="14.25" hidden="false" customHeight="false" outlineLevel="0" collapsed="false">
      <c r="A10" s="3" t="n">
        <f aca="false">+A9+1</f>
        <v>5</v>
      </c>
      <c r="B10" s="59" t="n">
        <f aca="false">+'Channel 3 Sales'!C10</f>
        <v>978</v>
      </c>
      <c r="C10" s="60" t="n">
        <v>4852.27541119145</v>
      </c>
      <c r="D10" s="61" t="n">
        <f aca="false">IF(MOD($A10-1, 12) = 0, D9 * 1.05, D9)</f>
        <v>300</v>
      </c>
      <c r="E10" s="61" t="n">
        <f aca="false">+C10*D10</f>
        <v>1455682.62335743</v>
      </c>
      <c r="F10" s="61" t="n">
        <f aca="false">-C10*D10*$F$1</f>
        <v>-291136.524671487</v>
      </c>
      <c r="G10" s="61" t="n">
        <f aca="false">-E10*$F$2</f>
        <v>-363920.655839358</v>
      </c>
      <c r="H10" s="61" t="n">
        <f aca="false">-E10*$C$3</f>
        <v>-582273.049342974</v>
      </c>
      <c r="I10" s="61" t="n">
        <f aca="false">+E10+F10+G10+H10</f>
        <v>218352.393503615</v>
      </c>
      <c r="J10" s="58" t="n">
        <f aca="false">+J9+I10</f>
        <v>656523.82920314</v>
      </c>
    </row>
    <row r="11" customFormat="false" ht="14.25" hidden="false" customHeight="false" outlineLevel="0" collapsed="false">
      <c r="A11" s="3" t="n">
        <f aca="false">+A10+1</f>
        <v>6</v>
      </c>
      <c r="B11" s="59" t="n">
        <f aca="false">+'Channel 3 Sales'!C11</f>
        <v>978</v>
      </c>
      <c r="C11" s="60" t="n">
        <v>5815.1104596826</v>
      </c>
      <c r="D11" s="61" t="n">
        <f aca="false">IF(MOD($A11-1, 12) = 0, D10 * 1.05, D10)</f>
        <v>300</v>
      </c>
      <c r="E11" s="61" t="n">
        <f aca="false">+C11*D11</f>
        <v>1744533.13790478</v>
      </c>
      <c r="F11" s="61" t="n">
        <f aca="false">-C11*D11*$F$1</f>
        <v>-348906.627580956</v>
      </c>
      <c r="G11" s="61" t="n">
        <f aca="false">-E11*$F$2</f>
        <v>-436133.284476195</v>
      </c>
      <c r="H11" s="61" t="n">
        <f aca="false">-E11*$C$3</f>
        <v>-697813.255161912</v>
      </c>
      <c r="I11" s="61" t="n">
        <f aca="false">+E11+F11+G11+H11</f>
        <v>261679.970685717</v>
      </c>
      <c r="J11" s="58" t="n">
        <f aca="false">+J10+I11</f>
        <v>918203.799888857</v>
      </c>
    </row>
    <row r="12" customFormat="false" ht="14.25" hidden="false" customHeight="false" outlineLevel="0" collapsed="false">
      <c r="A12" s="3" t="n">
        <f aca="false">+A11+1</f>
        <v>7</v>
      </c>
      <c r="B12" s="59" t="n">
        <f aca="false">+'Channel 3 Sales'!C12</f>
        <v>978</v>
      </c>
      <c r="C12" s="60" t="n">
        <v>6776.21240508647</v>
      </c>
      <c r="D12" s="61" t="n">
        <f aca="false">IF(MOD($A12-1, 12) = 0, D11 * 1.05, D11)</f>
        <v>300</v>
      </c>
      <c r="E12" s="61" t="n">
        <f aca="false">+C12*D12</f>
        <v>2032863.72152594</v>
      </c>
      <c r="F12" s="61" t="n">
        <f aca="false">-C12*D12*$F$1</f>
        <v>-406572.744305188</v>
      </c>
      <c r="G12" s="61" t="n">
        <f aca="false">-E12*$F$2</f>
        <v>-508215.930381485</v>
      </c>
      <c r="H12" s="61" t="n">
        <f aca="false">-E12*$C$3</f>
        <v>-813145.488610376</v>
      </c>
      <c r="I12" s="61" t="n">
        <f aca="false">+E12+F12+G12+H12</f>
        <v>304929.558228891</v>
      </c>
      <c r="J12" s="58" t="n">
        <f aca="false">+J11+I12</f>
        <v>1223133.35811775</v>
      </c>
    </row>
    <row r="13" customFormat="false" ht="14.25" hidden="false" customHeight="false" outlineLevel="0" collapsed="false">
      <c r="A13" s="3" t="n">
        <f aca="false">+A12+1</f>
        <v>8</v>
      </c>
      <c r="B13" s="59" t="n">
        <f aca="false">+'Channel 3 Sales'!C13</f>
        <v>978</v>
      </c>
      <c r="C13" s="60" t="n">
        <v>7735.87269757223</v>
      </c>
      <c r="D13" s="61" t="n">
        <f aca="false">IF(MOD($A13-1, 12) = 0, D12 * 1.05, D12)</f>
        <v>300</v>
      </c>
      <c r="E13" s="61" t="n">
        <f aca="false">+C13*D13</f>
        <v>2320761.80927167</v>
      </c>
      <c r="F13" s="61" t="n">
        <f aca="false">-C13*D13*$F$1</f>
        <v>-464152.361854334</v>
      </c>
      <c r="G13" s="61" t="n">
        <f aca="false">-E13*$F$2</f>
        <v>-580190.452317918</v>
      </c>
      <c r="H13" s="61" t="n">
        <f aca="false">-E13*$C$3</f>
        <v>-928304.723708668</v>
      </c>
      <c r="I13" s="61" t="n">
        <f aca="false">+E13+F13+G13+H13</f>
        <v>348114.271390751</v>
      </c>
      <c r="J13" s="58" t="n">
        <f aca="false">+J12+I13</f>
        <v>1571247.6295085</v>
      </c>
    </row>
    <row r="14" customFormat="false" ht="14.25" hidden="false" customHeight="false" outlineLevel="0" collapsed="false">
      <c r="A14" s="3" t="n">
        <f aca="false">+A13+1</f>
        <v>9</v>
      </c>
      <c r="B14" s="59" t="n">
        <f aca="false">+'Channel 3 Sales'!C14</f>
        <v>978</v>
      </c>
      <c r="C14" s="60" t="n">
        <v>8694.28543167777</v>
      </c>
      <c r="D14" s="61" t="n">
        <f aca="false">IF(MOD($A14-1, 12) = 0, D13 * 1.05, D13)</f>
        <v>300</v>
      </c>
      <c r="E14" s="61" t="n">
        <f aca="false">+C14*D14</f>
        <v>2608285.62950333</v>
      </c>
      <c r="F14" s="61" t="n">
        <f aca="false">-C14*D14*$F$1</f>
        <v>-521657.125900666</v>
      </c>
      <c r="G14" s="61" t="n">
        <f aca="false">-E14*$F$2</f>
        <v>-652071.407375833</v>
      </c>
      <c r="H14" s="61" t="n">
        <f aca="false">-E14*$C$3</f>
        <v>-1043314.25180133</v>
      </c>
      <c r="I14" s="61" t="n">
        <f aca="false">+E14+F14+G14+H14</f>
        <v>391242.8444255</v>
      </c>
      <c r="J14" s="58" t="n">
        <f aca="false">+J13+I14</f>
        <v>1962490.473934</v>
      </c>
    </row>
    <row r="15" customFormat="false" ht="14.25" hidden="false" customHeight="false" outlineLevel="0" collapsed="false">
      <c r="A15" s="3" t="n">
        <f aca="false">+A14+1</f>
        <v>10</v>
      </c>
      <c r="B15" s="59" t="n">
        <f aca="false">+'Channel 3 Sales'!C15</f>
        <v>978</v>
      </c>
      <c r="C15" s="60" t="n">
        <v>9651.73975304919</v>
      </c>
      <c r="D15" s="61" t="n">
        <f aca="false">IF(MOD($A15-1, 12) = 0, D14 * 1.05, D14)</f>
        <v>300</v>
      </c>
      <c r="E15" s="61" t="n">
        <f aca="false">+C15*D15</f>
        <v>2895521.92591476</v>
      </c>
      <c r="F15" s="61" t="n">
        <f aca="false">-C15*D15*$F$1</f>
        <v>-579104.385182952</v>
      </c>
      <c r="G15" s="61" t="n">
        <f aca="false">-E15*$F$2</f>
        <v>-723880.48147869</v>
      </c>
      <c r="H15" s="61" t="n">
        <f aca="false">-E15*$C$3</f>
        <v>-1158208.7703659</v>
      </c>
      <c r="I15" s="61" t="n">
        <f aca="false">+E15+F15+G15+H15</f>
        <v>434328.288887214</v>
      </c>
      <c r="J15" s="58" t="n">
        <f aca="false">+J14+I15</f>
        <v>2396818.76282121</v>
      </c>
    </row>
    <row r="16" customFormat="false" ht="14.25" hidden="false" customHeight="false" outlineLevel="0" collapsed="false">
      <c r="A16" s="3" t="n">
        <f aca="false">+A15+1</f>
        <v>11</v>
      </c>
      <c r="B16" s="59" t="n">
        <f aca="false">+'Channel 3 Sales'!C16</f>
        <v>978</v>
      </c>
      <c r="C16" s="60" t="n">
        <v>10608.4281109635</v>
      </c>
      <c r="D16" s="61" t="n">
        <f aca="false">IF(MOD($A16-1, 12) = 0, D15 * 1.05, D15)</f>
        <v>300</v>
      </c>
      <c r="E16" s="61" t="n">
        <f aca="false">+C16*D16</f>
        <v>3182528.43328906</v>
      </c>
      <c r="F16" s="61" t="n">
        <f aca="false">-C16*D16*$F$1</f>
        <v>-636505.686657812</v>
      </c>
      <c r="G16" s="61" t="n">
        <f aca="false">-E16*$F$2</f>
        <v>-795632.108322264</v>
      </c>
      <c r="H16" s="61" t="n">
        <f aca="false">-E16*$C$3</f>
        <v>-1273011.37331562</v>
      </c>
      <c r="I16" s="61" t="n">
        <f aca="false">+E16+F16+G16+H16</f>
        <v>477379.264993358</v>
      </c>
      <c r="J16" s="58" t="n">
        <f aca="false">+J15+I16</f>
        <v>2874198.02781457</v>
      </c>
    </row>
    <row r="17" customFormat="false" ht="14.25" hidden="false" customHeight="false" outlineLevel="0" collapsed="false">
      <c r="A17" s="3" t="n">
        <f aca="false">+A16+1</f>
        <v>12</v>
      </c>
      <c r="B17" s="59" t="n">
        <f aca="false">+'Channel 3 Sales'!C17</f>
        <v>978</v>
      </c>
      <c r="C17" s="60" t="n">
        <v>11564.6381246989</v>
      </c>
      <c r="D17" s="61" t="n">
        <f aca="false">IF(MOD($A17-1, 12) = 0, D16 * 1.05, D16)</f>
        <v>300</v>
      </c>
      <c r="E17" s="61" t="n">
        <f aca="false">+C17*D17</f>
        <v>3469391.43740967</v>
      </c>
      <c r="F17" s="61" t="n">
        <f aca="false">-C17*D17*$F$1</f>
        <v>-693878.287481934</v>
      </c>
      <c r="G17" s="61" t="n">
        <f aca="false">-E17*$F$2</f>
        <v>-867347.859352417</v>
      </c>
      <c r="H17" s="61" t="n">
        <f aca="false">-E17*$C$3</f>
        <v>-1387756.57496387</v>
      </c>
      <c r="I17" s="61" t="n">
        <f aca="false">+E17+F17+G17+H17</f>
        <v>520408.71561145</v>
      </c>
      <c r="J17" s="58" t="n">
        <f aca="false">+J16+I17</f>
        <v>3394606.74342602</v>
      </c>
    </row>
    <row r="18" customFormat="false" ht="14.25" hidden="false" customHeight="false" outlineLevel="0" collapsed="false">
      <c r="A18" s="3" t="n">
        <f aca="false">+A17+1</f>
        <v>13</v>
      </c>
      <c r="B18" s="59" t="n">
        <f aca="false">+'Channel 3 Sales'!C18</f>
        <v>1026.9</v>
      </c>
      <c r="C18" s="60" t="n">
        <v>12569.2700334274</v>
      </c>
      <c r="D18" s="61" t="n">
        <f aca="false">IF(MOD($A18-1, 12) = 0, D17 * 1.05, D17)</f>
        <v>315</v>
      </c>
      <c r="E18" s="61" t="n">
        <f aca="false">+C18*D18</f>
        <v>3959320.06052963</v>
      </c>
      <c r="F18" s="61" t="n">
        <f aca="false">-C18*D18*$F$1</f>
        <v>-791864.012105926</v>
      </c>
      <c r="G18" s="61" t="n">
        <f aca="false">-E18*$F$2</f>
        <v>-989830.015132408</v>
      </c>
      <c r="H18" s="61" t="n">
        <f aca="false">-E18*$C$3</f>
        <v>-1583728.02421185</v>
      </c>
      <c r="I18" s="61" t="n">
        <f aca="false">+E18+F18+G18+H18</f>
        <v>593898.009079445</v>
      </c>
      <c r="J18" s="58" t="n">
        <f aca="false">+J17+I18</f>
        <v>3988504.75250546</v>
      </c>
    </row>
    <row r="19" customFormat="false" ht="14.25" hidden="false" customHeight="false" outlineLevel="0" collapsed="false">
      <c r="A19" s="3" t="n">
        <f aca="false">+A18+1</f>
        <v>14</v>
      </c>
      <c r="B19" s="59" t="n">
        <f aca="false">+'Channel 3 Sales'!C19</f>
        <v>1026.9</v>
      </c>
      <c r="C19" s="60" t="n">
        <v>13573.1795762015</v>
      </c>
      <c r="D19" s="61" t="n">
        <f aca="false">IF(MOD($A19-1, 12) = 0, D18 * 1.05, D18)</f>
        <v>315</v>
      </c>
      <c r="E19" s="61" t="n">
        <f aca="false">+C19*D19</f>
        <v>4275551.56650349</v>
      </c>
      <c r="F19" s="61" t="n">
        <f aca="false">-C19*D19*$F$1</f>
        <v>-855110.313300697</v>
      </c>
      <c r="G19" s="61" t="n">
        <f aca="false">-E19*$F$2</f>
        <v>-1068887.89162587</v>
      </c>
      <c r="H19" s="61" t="n">
        <f aca="false">-E19*$C$3</f>
        <v>-1710220.62660139</v>
      </c>
      <c r="I19" s="61" t="n">
        <f aca="false">+E19+F19+G19+H19</f>
        <v>641332.734975523</v>
      </c>
      <c r="J19" s="58" t="n">
        <f aca="false">+J18+I19</f>
        <v>4629837.48748099</v>
      </c>
    </row>
    <row r="20" customFormat="false" ht="14.25" hidden="false" customHeight="false" outlineLevel="0" collapsed="false">
      <c r="A20" s="3" t="n">
        <f aca="false">+A19+1</f>
        <v>15</v>
      </c>
      <c r="B20" s="59" t="n">
        <f aca="false">+'Channel 3 Sales'!C20</f>
        <v>1026.9</v>
      </c>
      <c r="C20" s="60" t="n">
        <v>14576.4266010543</v>
      </c>
      <c r="D20" s="61" t="n">
        <f aca="false">IF(MOD($A20-1, 12) = 0, D19 * 1.05, D19)</f>
        <v>315</v>
      </c>
      <c r="E20" s="61" t="n">
        <f aca="false">+C20*D20</f>
        <v>4591574.3793321</v>
      </c>
      <c r="F20" s="61" t="n">
        <f aca="false">-C20*D20*$F$1</f>
        <v>-918314.875866421</v>
      </c>
      <c r="G20" s="61" t="n">
        <f aca="false">-E20*$F$2</f>
        <v>-1147893.59483303</v>
      </c>
      <c r="H20" s="61" t="n">
        <f aca="false">-E20*$C$3</f>
        <v>-1836629.75173284</v>
      </c>
      <c r="I20" s="61" t="n">
        <f aca="false">+E20+F20+G20+H20</f>
        <v>688736.156899815</v>
      </c>
      <c r="J20" s="58" t="n">
        <f aca="false">+J19+I20</f>
        <v>5318573.6443808</v>
      </c>
    </row>
    <row r="21" customFormat="false" ht="14.25" hidden="false" customHeight="false" outlineLevel="0" collapsed="false">
      <c r="A21" s="3" t="n">
        <f aca="false">+A20+1</f>
        <v>16</v>
      </c>
      <c r="B21" s="59" t="n">
        <f aca="false">+'Channel 3 Sales'!C21</f>
        <v>1026.9</v>
      </c>
      <c r="C21" s="60" t="n">
        <v>15579.0750611764</v>
      </c>
      <c r="D21" s="61" t="n">
        <f aca="false">IF(MOD($A21-1, 12) = 0, D20 * 1.05, D20)</f>
        <v>315</v>
      </c>
      <c r="E21" s="61" t="n">
        <f aca="false">+C21*D21</f>
        <v>4907408.64427057</v>
      </c>
      <c r="F21" s="61" t="n">
        <f aca="false">-C21*D21*$F$1</f>
        <v>-981481.728854115</v>
      </c>
      <c r="G21" s="61" t="n">
        <f aca="false">-E21*$F$2</f>
        <v>-1226852.16106764</v>
      </c>
      <c r="H21" s="61" t="n">
        <f aca="false">-E21*$C$3</f>
        <v>-1962963.45770823</v>
      </c>
      <c r="I21" s="61" t="n">
        <f aca="false">+E21+F21+G21+H21</f>
        <v>736111.296640586</v>
      </c>
      <c r="J21" s="58" t="n">
        <f aca="false">+J20+I21</f>
        <v>6054684.94102139</v>
      </c>
    </row>
    <row r="22" customFormat="false" ht="14.25" hidden="false" customHeight="false" outlineLevel="0" collapsed="false">
      <c r="A22" s="3" t="n">
        <f aca="false">+A21+1</f>
        <v>17</v>
      </c>
      <c r="B22" s="59" t="n">
        <f aca="false">+'Channel 3 Sales'!C22</f>
        <v>1026.9</v>
      </c>
      <c r="C22" s="60" t="n">
        <v>16581.1351680899</v>
      </c>
      <c r="D22" s="61" t="n">
        <f aca="false">IF(MOD($A22-1, 12) = 0, D21 * 1.05, D21)</f>
        <v>315</v>
      </c>
      <c r="E22" s="61" t="n">
        <f aca="false">+C22*D22</f>
        <v>5223057.5779483</v>
      </c>
      <c r="F22" s="61" t="n">
        <f aca="false">-C22*D22*$F$1</f>
        <v>-1044611.51558966</v>
      </c>
      <c r="G22" s="61" t="n">
        <f aca="false">-E22*$F$2</f>
        <v>-1305764.39448708</v>
      </c>
      <c r="H22" s="61" t="n">
        <f aca="false">-E22*$C$3</f>
        <v>-2089223.03117932</v>
      </c>
      <c r="I22" s="61" t="n">
        <f aca="false">+E22+F22+G22+H22</f>
        <v>783458.636692245</v>
      </c>
      <c r="J22" s="58" t="n">
        <f aca="false">+J21+I22</f>
        <v>6838143.57771363</v>
      </c>
    </row>
    <row r="23" customFormat="false" ht="14.25" hidden="false" customHeight="false" outlineLevel="0" collapsed="false">
      <c r="A23" s="3" t="n">
        <f aca="false">+A22+1</f>
        <v>18</v>
      </c>
      <c r="B23" s="59" t="n">
        <f aca="false">+'Channel 3 Sales'!C23</f>
        <v>1026.9</v>
      </c>
      <c r="C23" s="60" t="n">
        <v>17582.6218876065</v>
      </c>
      <c r="D23" s="61" t="n">
        <f aca="false">IF(MOD($A23-1, 12) = 0, D22 * 1.05, D22)</f>
        <v>315</v>
      </c>
      <c r="E23" s="61" t="n">
        <f aca="false">+C23*D23</f>
        <v>5538525.89459605</v>
      </c>
      <c r="F23" s="61" t="n">
        <f aca="false">-C23*D23*$F$1</f>
        <v>-1107705.17891921</v>
      </c>
      <c r="G23" s="61" t="n">
        <f aca="false">-E23*$F$2</f>
        <v>-1384631.47364901</v>
      </c>
      <c r="H23" s="61" t="n">
        <f aca="false">-E23*$C$3</f>
        <v>-2215410.35783842</v>
      </c>
      <c r="I23" s="61" t="n">
        <f aca="false">+E23+F23+G23+H23</f>
        <v>830778.884189407</v>
      </c>
      <c r="J23" s="58" t="n">
        <f aca="false">+J22+I23</f>
        <v>7668922.46190304</v>
      </c>
    </row>
    <row r="24" customFormat="false" ht="14.25" hidden="false" customHeight="false" outlineLevel="0" collapsed="false">
      <c r="A24" s="3" t="n">
        <f aca="false">+A23+1</f>
        <v>19</v>
      </c>
      <c r="B24" s="59" t="n">
        <f aca="false">+'Channel 3 Sales'!C24</f>
        <v>1026.9</v>
      </c>
      <c r="C24" s="60" t="n">
        <v>18583.5452794852</v>
      </c>
      <c r="D24" s="61" t="n">
        <f aca="false">IF(MOD($A24-1, 12) = 0, D23 * 1.05, D23)</f>
        <v>315</v>
      </c>
      <c r="E24" s="61" t="n">
        <f aca="false">+C24*D24</f>
        <v>5853816.76303785</v>
      </c>
      <c r="F24" s="61" t="n">
        <f aca="false">-C24*D24*$F$1</f>
        <v>-1170763.35260757</v>
      </c>
      <c r="G24" s="61" t="n">
        <f aca="false">-E24*$F$2</f>
        <v>-1463454.19075946</v>
      </c>
      <c r="H24" s="61" t="n">
        <f aca="false">-E24*$C$3</f>
        <v>-2341526.70521514</v>
      </c>
      <c r="I24" s="61" t="n">
        <f aca="false">+E24+F24+G24+H24</f>
        <v>878072.514455678</v>
      </c>
      <c r="J24" s="58" t="n">
        <f aca="false">+J23+I24</f>
        <v>8546994.97635872</v>
      </c>
    </row>
    <row r="25" customFormat="false" ht="14.25" hidden="false" customHeight="false" outlineLevel="0" collapsed="false">
      <c r="A25" s="3" t="n">
        <f aca="false">+A24+1</f>
        <v>20</v>
      </c>
      <c r="B25" s="59" t="n">
        <f aca="false">+'Channel 3 Sales'!C25</f>
        <v>1026.9</v>
      </c>
      <c r="C25" s="60" t="n">
        <v>19583.9201545708</v>
      </c>
      <c r="D25" s="61" t="n">
        <f aca="false">IF(MOD($A25-1, 12) = 0, D24 * 1.05, D24)</f>
        <v>315</v>
      </c>
      <c r="E25" s="61" t="n">
        <f aca="false">+C25*D25</f>
        <v>6168934.84868979</v>
      </c>
      <c r="F25" s="61" t="n">
        <f aca="false">-C25*D25*$F$1</f>
        <v>-1233786.96973796</v>
      </c>
      <c r="G25" s="61" t="n">
        <f aca="false">-E25*$F$2</f>
        <v>-1542233.71217245</v>
      </c>
      <c r="H25" s="61" t="n">
        <f aca="false">-E25*$C$3</f>
        <v>-2467573.93947592</v>
      </c>
      <c r="I25" s="61" t="n">
        <f aca="false">+E25+F25+G25+H25</f>
        <v>925340.227303468</v>
      </c>
      <c r="J25" s="58" t="n">
        <f aca="false">+J24+I25</f>
        <v>9472335.20366219</v>
      </c>
    </row>
    <row r="26" customFormat="false" ht="14.25" hidden="false" customHeight="false" outlineLevel="0" collapsed="false">
      <c r="A26" s="3" t="n">
        <f aca="false">+A25+1</f>
        <v>21</v>
      </c>
      <c r="B26" s="59" t="n">
        <f aca="false">+'Channel 3 Sales'!C26</f>
        <v>1026.9</v>
      </c>
      <c r="C26" s="60" t="n">
        <v>20583.756455807</v>
      </c>
      <c r="D26" s="61" t="n">
        <f aca="false">IF(MOD($A26-1, 12) = 0, D25 * 1.05, D25)</f>
        <v>315</v>
      </c>
      <c r="E26" s="61" t="n">
        <f aca="false">+C26*D26</f>
        <v>6483883.28357922</v>
      </c>
      <c r="F26" s="61" t="n">
        <f aca="false">-C26*D26*$F$1</f>
        <v>-1296776.65671584</v>
      </c>
      <c r="G26" s="61" t="n">
        <f aca="false">-E26*$F$2</f>
        <v>-1620970.82089481</v>
      </c>
      <c r="H26" s="61" t="n">
        <f aca="false">-E26*$C$3</f>
        <v>-2593553.31343169</v>
      </c>
      <c r="I26" s="61" t="n">
        <f aca="false">+E26+F26+G26+H26</f>
        <v>972582.492536883</v>
      </c>
      <c r="J26" s="58" t="n">
        <f aca="false">+J25+I26</f>
        <v>10444917.6961991</v>
      </c>
    </row>
    <row r="27" customFormat="false" ht="14.25" hidden="false" customHeight="false" outlineLevel="0" collapsed="false">
      <c r="A27" s="3" t="n">
        <f aca="false">+A26+1</f>
        <v>22</v>
      </c>
      <c r="B27" s="59" t="n">
        <f aca="false">+'Channel 3 Sales'!C27</f>
        <v>1026.9</v>
      </c>
      <c r="C27" s="60" t="n">
        <v>21583.0688785744</v>
      </c>
      <c r="D27" s="61" t="n">
        <f aca="false">IF(MOD($A27-1, 12) = 0, D26 * 1.05, D26)</f>
        <v>315</v>
      </c>
      <c r="E27" s="61" t="n">
        <f aca="false">+C27*D27</f>
        <v>6798666.69675092</v>
      </c>
      <c r="F27" s="61" t="n">
        <f aca="false">-C27*D27*$F$1</f>
        <v>-1359733.33935019</v>
      </c>
      <c r="G27" s="61" t="n">
        <f aca="false">-E27*$F$2</f>
        <v>-1699666.67418773</v>
      </c>
      <c r="H27" s="61" t="n">
        <f aca="false">-E27*$C$3</f>
        <v>-2719466.67870037</v>
      </c>
      <c r="I27" s="61" t="n">
        <f aca="false">+E27+F27+G27+H27</f>
        <v>1019800.00451264</v>
      </c>
      <c r="J27" s="58" t="n">
        <f aca="false">+J26+I27</f>
        <v>11464717.7007117</v>
      </c>
    </row>
    <row r="28" customFormat="false" ht="14.25" hidden="false" customHeight="false" outlineLevel="0" collapsed="false">
      <c r="A28" s="3" t="n">
        <f aca="false">+A27+1</f>
        <v>23</v>
      </c>
      <c r="B28" s="59" t="n">
        <f aca="false">+'Channel 3 Sales'!C28</f>
        <v>1026.9</v>
      </c>
      <c r="C28" s="60" t="n">
        <v>22581.8672833155</v>
      </c>
      <c r="D28" s="61" t="n">
        <f aca="false">IF(MOD($A28-1, 12) = 0, D27 * 1.05, D27)</f>
        <v>315</v>
      </c>
      <c r="E28" s="61" t="n">
        <f aca="false">+C28*D28</f>
        <v>7113288.19424437</v>
      </c>
      <c r="F28" s="61" t="n">
        <f aca="false">-C28*D28*$F$1</f>
        <v>-1422657.63884888</v>
      </c>
      <c r="G28" s="61" t="n">
        <f aca="false">-E28*$F$2</f>
        <v>-1778322.04856109</v>
      </c>
      <c r="H28" s="61" t="n">
        <f aca="false">-E28*$C$3</f>
        <v>-2845315.27769775</v>
      </c>
      <c r="I28" s="61" t="n">
        <f aca="false">+E28+F28+G28+H28</f>
        <v>1066993.22913666</v>
      </c>
      <c r="J28" s="58" t="n">
        <f aca="false">+J27+I28</f>
        <v>12531710.9298484</v>
      </c>
    </row>
    <row r="29" customFormat="false" ht="14.25" hidden="false" customHeight="false" outlineLevel="0" collapsed="false">
      <c r="A29" s="3" t="n">
        <f aca="false">+A28+1</f>
        <v>24</v>
      </c>
      <c r="B29" s="59" t="n">
        <f aca="false">+'Channel 3 Sales'!C29</f>
        <v>1026.9</v>
      </c>
      <c r="C29" s="60" t="n">
        <v>23580.1662888542</v>
      </c>
      <c r="D29" s="61" t="n">
        <f aca="false">IF(MOD($A29-1, 12) = 0, D28 * 1.05, D28)</f>
        <v>315</v>
      </c>
      <c r="E29" s="61" t="n">
        <f aca="false">+C29*D29</f>
        <v>7427752.38098908</v>
      </c>
      <c r="F29" s="61" t="n">
        <f aca="false">-C29*D29*$F$1</f>
        <v>-1485550.47619782</v>
      </c>
      <c r="G29" s="61" t="n">
        <f aca="false">-E29*$F$2</f>
        <v>-1856938.09524727</v>
      </c>
      <c r="H29" s="61" t="n">
        <f aca="false">-E29*$C$3</f>
        <v>-2971100.95239563</v>
      </c>
      <c r="I29" s="61" t="n">
        <f aca="false">+E29+F29+G29+H29</f>
        <v>1114162.85714836</v>
      </c>
      <c r="J29" s="58" t="n">
        <f aca="false">+J28+I29</f>
        <v>13645873.7869967</v>
      </c>
    </row>
    <row r="30" customFormat="false" ht="14.25" hidden="false" customHeight="false" outlineLevel="0" collapsed="false">
      <c r="A30" s="3" t="n">
        <f aca="false">+A29+1</f>
        <v>25</v>
      </c>
      <c r="B30" s="59" t="n">
        <f aca="false">+'Channel 3 Sales'!C30</f>
        <v>1078.245</v>
      </c>
      <c r="C30" s="60" t="n">
        <v>24629.3111448902</v>
      </c>
      <c r="D30" s="61" t="n">
        <f aca="false">IF(MOD($A30-1, 12) = 0, D29 * 1.05, D29)</f>
        <v>330.75</v>
      </c>
      <c r="E30" s="61" t="n">
        <f aca="false">+C30*D30</f>
        <v>8146144.66117243</v>
      </c>
      <c r="F30" s="61" t="n">
        <f aca="false">-C30*D30*$F$1</f>
        <v>-1629228.93223449</v>
      </c>
      <c r="G30" s="61" t="n">
        <f aca="false">-E30*$F$2</f>
        <v>-2036536.16529311</v>
      </c>
      <c r="H30" s="61" t="n">
        <f aca="false">-E30*$C$3</f>
        <v>-3258457.86446897</v>
      </c>
      <c r="I30" s="61" t="n">
        <f aca="false">+E30+F30+G30+H30</f>
        <v>1221921.69917586</v>
      </c>
      <c r="J30" s="58" t="n">
        <f aca="false">+J29+I30</f>
        <v>14867795.4861726</v>
      </c>
    </row>
    <row r="31" customFormat="false" ht="14.25" hidden="false" customHeight="false" outlineLevel="0" collapsed="false">
      <c r="A31" s="3" t="n">
        <f aca="false">+A30+1</f>
        <v>26</v>
      </c>
      <c r="B31" s="59" t="n">
        <f aca="false">+'Channel 3 Sales'!C31</f>
        <v>1078.245</v>
      </c>
      <c r="C31" s="60" t="n">
        <v>25677.7003759981</v>
      </c>
      <c r="D31" s="61" t="n">
        <f aca="false">IF(MOD($A31-1, 12) = 0, D30 * 1.05, D30)</f>
        <v>330.75</v>
      </c>
      <c r="E31" s="61" t="n">
        <f aca="false">+C31*D31</f>
        <v>8492899.39936138</v>
      </c>
      <c r="F31" s="61" t="n">
        <f aca="false">-C31*D31*$F$1</f>
        <v>-1698579.87987228</v>
      </c>
      <c r="G31" s="61" t="n">
        <f aca="false">-E31*$F$2</f>
        <v>-2123224.84984035</v>
      </c>
      <c r="H31" s="61" t="n">
        <f aca="false">-E31*$C$3</f>
        <v>-3397159.75974455</v>
      </c>
      <c r="I31" s="61" t="n">
        <f aca="false">+E31+F31+G31+H31</f>
        <v>1273934.90990421</v>
      </c>
      <c r="J31" s="58" t="n">
        <f aca="false">+J30+I31</f>
        <v>16141730.3960768</v>
      </c>
    </row>
    <row r="32" customFormat="false" ht="14.25" hidden="false" customHeight="false" outlineLevel="0" collapsed="false">
      <c r="A32" s="3" t="n">
        <f aca="false">+A31+1</f>
        <v>27</v>
      </c>
      <c r="B32" s="59" t="n">
        <f aca="false">+'Channel 3 Sales'!C32</f>
        <v>1078.245</v>
      </c>
      <c r="C32" s="60" t="n">
        <v>26725.396821183</v>
      </c>
      <c r="D32" s="61" t="n">
        <f aca="false">IF(MOD($A32-1, 12) = 0, D31 * 1.05, D31)</f>
        <v>330.75</v>
      </c>
      <c r="E32" s="61" t="n">
        <f aca="false">+C32*D32</f>
        <v>8839424.99860629</v>
      </c>
      <c r="F32" s="61" t="n">
        <f aca="false">-C32*D32*$F$1</f>
        <v>-1767884.99972126</v>
      </c>
      <c r="G32" s="61" t="n">
        <f aca="false">-E32*$F$2</f>
        <v>-2209856.24965157</v>
      </c>
      <c r="H32" s="61" t="n">
        <f aca="false">-E32*$C$3</f>
        <v>-3535769.99944252</v>
      </c>
      <c r="I32" s="61" t="n">
        <f aca="false">+E32+F32+G32+H32</f>
        <v>1325913.74979094</v>
      </c>
      <c r="J32" s="58" t="n">
        <f aca="false">+J31+I32</f>
        <v>17467644.1458677</v>
      </c>
    </row>
    <row r="33" customFormat="false" ht="14.25" hidden="false" customHeight="false" outlineLevel="0" collapsed="false">
      <c r="A33" s="3" t="n">
        <f aca="false">+A32+1</f>
        <v>28</v>
      </c>
      <c r="B33" s="59" t="n">
        <f aca="false">+'Channel 3 Sales'!C33</f>
        <v>1078.245</v>
      </c>
      <c r="C33" s="60" t="n">
        <v>27772.4676298662</v>
      </c>
      <c r="D33" s="61" t="n">
        <f aca="false">IF(MOD($A33-1, 12) = 0, D32 * 1.05, D32)</f>
        <v>330.75</v>
      </c>
      <c r="E33" s="61" t="n">
        <f aca="false">+C33*D33</f>
        <v>9185743.66857826</v>
      </c>
      <c r="F33" s="61" t="n">
        <f aca="false">-C33*D33*$F$1</f>
        <v>-1837148.73371565</v>
      </c>
      <c r="G33" s="61" t="n">
        <f aca="false">-E33*$F$2</f>
        <v>-2296435.91714456</v>
      </c>
      <c r="H33" s="61" t="n">
        <f aca="false">-E33*$C$3</f>
        <v>-3674297.4674313</v>
      </c>
      <c r="I33" s="61" t="n">
        <f aca="false">+E33+F33+G33+H33</f>
        <v>1377861.55028674</v>
      </c>
      <c r="J33" s="58" t="n">
        <f aca="false">+J32+I33</f>
        <v>18845505.6961545</v>
      </c>
    </row>
    <row r="34" customFormat="false" ht="14.25" hidden="false" customHeight="false" outlineLevel="0" collapsed="false">
      <c r="A34" s="3" t="n">
        <f aca="false">+A33+1</f>
        <v>29</v>
      </c>
      <c r="B34" s="59" t="n">
        <f aca="false">+'Channel 3 Sales'!C34</f>
        <v>1078.245</v>
      </c>
      <c r="C34" s="60" t="n">
        <v>28818.9235227175</v>
      </c>
      <c r="D34" s="61" t="n">
        <f aca="false">IF(MOD($A34-1, 12) = 0, D33 * 1.05, D33)</f>
        <v>330.75</v>
      </c>
      <c r="E34" s="61" t="n">
        <f aca="false">+C34*D34</f>
        <v>9531858.95513882</v>
      </c>
      <c r="F34" s="61" t="n">
        <f aca="false">-C34*D34*$F$1</f>
        <v>-1906371.79102776</v>
      </c>
      <c r="G34" s="61" t="n">
        <f aca="false">-E34*$F$2</f>
        <v>-2382964.7387847</v>
      </c>
      <c r="H34" s="61" t="n">
        <f aca="false">-E34*$C$3</f>
        <v>-3812743.58205553</v>
      </c>
      <c r="I34" s="61" t="n">
        <f aca="false">+E34+F34+G34+H34</f>
        <v>1429778.84327082</v>
      </c>
      <c r="J34" s="58" t="n">
        <f aca="false">+J33+I34</f>
        <v>20275284.5394253</v>
      </c>
    </row>
    <row r="35" customFormat="false" ht="14.25" hidden="false" customHeight="false" outlineLevel="0" collapsed="false">
      <c r="A35" s="3" t="n">
        <f aca="false">+A34+1</f>
        <v>30</v>
      </c>
      <c r="B35" s="59" t="n">
        <f aca="false">+'Channel 3 Sales'!C35</f>
        <v>1078.245</v>
      </c>
      <c r="C35" s="60" t="n">
        <v>29864.7802124119</v>
      </c>
      <c r="D35" s="61" t="n">
        <f aca="false">IF(MOD($A35-1, 12) = 0, D34 * 1.05, D34)</f>
        <v>330.75</v>
      </c>
      <c r="E35" s="61" t="n">
        <f aca="false">+C35*D35</f>
        <v>9877776.05525523</v>
      </c>
      <c r="F35" s="61" t="n">
        <f aca="false">-C35*D35*$F$1</f>
        <v>-1975555.21105105</v>
      </c>
      <c r="G35" s="61" t="n">
        <f aca="false">-E35*$F$2</f>
        <v>-2469444.01381381</v>
      </c>
      <c r="H35" s="61" t="n">
        <f aca="false">-E35*$C$3</f>
        <v>-3951110.42210209</v>
      </c>
      <c r="I35" s="61" t="n">
        <f aca="false">+E35+F35+G35+H35</f>
        <v>1481666.40828828</v>
      </c>
      <c r="J35" s="58" t="n">
        <f aca="false">+J34+I35</f>
        <v>21756950.9477136</v>
      </c>
    </row>
    <row r="36" customFormat="false" ht="14.25" hidden="false" customHeight="false" outlineLevel="0" collapsed="false">
      <c r="A36" s="3" t="n">
        <f aca="false">+A35+1</f>
        <v>31</v>
      </c>
      <c r="B36" s="59" t="n">
        <f aca="false">+'Channel 3 Sales'!C36</f>
        <v>1078.245</v>
      </c>
      <c r="C36" s="60" t="n">
        <v>30910.0482602693</v>
      </c>
      <c r="D36" s="61" t="n">
        <f aca="false">IF(MOD($A36-1, 12) = 0, D35 * 1.05, D35)</f>
        <v>330.75</v>
      </c>
      <c r="E36" s="61" t="n">
        <f aca="false">+C36*D36</f>
        <v>10223498.4620841</v>
      </c>
      <c r="F36" s="61" t="n">
        <f aca="false">-C36*D36*$F$1</f>
        <v>-2044699.69241682</v>
      </c>
      <c r="G36" s="61" t="n">
        <f aca="false">-E36*$F$2</f>
        <v>-2555874.61552102</v>
      </c>
      <c r="H36" s="61" t="n">
        <f aca="false">-E36*$C$3</f>
        <v>-4089399.38483364</v>
      </c>
      <c r="I36" s="61" t="n">
        <f aca="false">+E36+F36+G36+H36</f>
        <v>1533524.76931261</v>
      </c>
      <c r="J36" s="58" t="n">
        <f aca="false">+J35+I36</f>
        <v>23290475.7170262</v>
      </c>
    </row>
    <row r="37" customFormat="false" ht="14.25" hidden="false" customHeight="false" outlineLevel="0" collapsed="false">
      <c r="A37" s="3" t="n">
        <f aca="false">+A36+1</f>
        <v>32</v>
      </c>
      <c r="B37" s="59" t="n">
        <f aca="false">+'Channel 3 Sales'!C37</f>
        <v>1078.245</v>
      </c>
      <c r="C37" s="60" t="n">
        <v>31954.7432162507</v>
      </c>
      <c r="D37" s="61" t="n">
        <f aca="false">IF(MOD($A37-1, 12) = 0, D36 * 1.05, D36)</f>
        <v>330.75</v>
      </c>
      <c r="E37" s="61" t="n">
        <f aca="false">+C37*D37</f>
        <v>10569031.3187749</v>
      </c>
      <c r="F37" s="61" t="n">
        <f aca="false">-C37*D37*$F$1</f>
        <v>-2113806.26375499</v>
      </c>
      <c r="G37" s="61" t="n">
        <f aca="false">-E37*$F$2</f>
        <v>-2642257.82969373</v>
      </c>
      <c r="H37" s="61" t="n">
        <f aca="false">-E37*$C$3</f>
        <v>-4227612.52750997</v>
      </c>
      <c r="I37" s="61" t="n">
        <f aca="false">+E37+F37+G37+H37</f>
        <v>1585354.69781624</v>
      </c>
      <c r="J37" s="58" t="n">
        <f aca="false">+J36+I37</f>
        <v>24875830.4148424</v>
      </c>
    </row>
    <row r="38" customFormat="false" ht="14.25" hidden="false" customHeight="false" outlineLevel="0" collapsed="false">
      <c r="A38" s="3" t="n">
        <f aca="false">+A37+1</f>
        <v>33</v>
      </c>
      <c r="B38" s="59" t="n">
        <f aca="false">+'Channel 3 Sales'!C38</f>
        <v>1078.245</v>
      </c>
      <c r="C38" s="60" t="n">
        <v>32998.8755190219</v>
      </c>
      <c r="D38" s="61" t="n">
        <f aca="false">IF(MOD($A38-1, 12) = 0, D37 * 1.05, D37)</f>
        <v>330.75</v>
      </c>
      <c r="E38" s="61" t="n">
        <f aca="false">+C38*D38</f>
        <v>10914378.0779165</v>
      </c>
      <c r="F38" s="61" t="n">
        <f aca="false">-C38*D38*$F$1</f>
        <v>-2182875.6155833</v>
      </c>
      <c r="G38" s="61" t="n">
        <f aca="false">-E38*$F$2</f>
        <v>-2728594.51947912</v>
      </c>
      <c r="H38" s="61" t="n">
        <f aca="false">-E38*$C$3</f>
        <v>-4365751.23116659</v>
      </c>
      <c r="I38" s="61" t="n">
        <f aca="false">+E38+F38+G38+H38</f>
        <v>1637156.71168747</v>
      </c>
      <c r="J38" s="58" t="n">
        <f aca="false">+J37+I38</f>
        <v>26512987.1265299</v>
      </c>
    </row>
    <row r="39" customFormat="false" ht="14.25" hidden="false" customHeight="false" outlineLevel="0" collapsed="false">
      <c r="A39" s="3" t="n">
        <f aca="false">+A38+1</f>
        <v>34</v>
      </c>
      <c r="B39" s="59" t="n">
        <f aca="false">+'Channel 3 Sales'!C39</f>
        <v>1078.245</v>
      </c>
      <c r="C39" s="60" t="n">
        <v>34042.4605973073</v>
      </c>
      <c r="D39" s="61" t="n">
        <f aca="false">IF(MOD($A39-1, 12) = 0, D38 * 1.05, D38)</f>
        <v>330.75</v>
      </c>
      <c r="E39" s="61" t="n">
        <f aca="false">+C39*D39</f>
        <v>11259543.8425594</v>
      </c>
      <c r="F39" s="61" t="n">
        <f aca="false">-C39*D39*$F$1</f>
        <v>-2251908.76851188</v>
      </c>
      <c r="G39" s="61" t="n">
        <f aca="false">-E39*$F$2</f>
        <v>-2814885.96063985</v>
      </c>
      <c r="H39" s="61" t="n">
        <f aca="false">-E39*$C$3</f>
        <v>-4503817.53702376</v>
      </c>
      <c r="I39" s="61" t="n">
        <f aca="false">+E39+F39+G39+H39</f>
        <v>1688931.57638391</v>
      </c>
      <c r="J39" s="58" t="n">
        <f aca="false">+J38+I39</f>
        <v>28201918.7029138</v>
      </c>
    </row>
    <row r="40" customFormat="false" ht="14.25" hidden="false" customHeight="false" outlineLevel="0" collapsed="false">
      <c r="A40" s="3" t="n">
        <f aca="false">+A39+1</f>
        <v>35</v>
      </c>
      <c r="B40" s="59" t="n">
        <f aca="false">+'Channel 3 Sales'!C40</f>
        <v>1078.245</v>
      </c>
      <c r="C40" s="60" t="n">
        <v>35085.5088031481</v>
      </c>
      <c r="D40" s="61" t="n">
        <f aca="false">IF(MOD($A40-1, 12) = 0, D39 * 1.05, D39)</f>
        <v>330.75</v>
      </c>
      <c r="E40" s="61" t="n">
        <f aca="false">+C40*D40</f>
        <v>11604532.0366412</v>
      </c>
      <c r="F40" s="61" t="n">
        <f aca="false">-C40*D40*$F$1</f>
        <v>-2320906.40732825</v>
      </c>
      <c r="G40" s="61" t="n">
        <f aca="false">-E40*$F$2</f>
        <v>-2901133.00916031</v>
      </c>
      <c r="H40" s="61" t="n">
        <f aca="false">-E40*$C$3</f>
        <v>-4641812.8146565</v>
      </c>
      <c r="I40" s="61" t="n">
        <f aca="false">+E40+F40+G40+H40</f>
        <v>1740679.80549618</v>
      </c>
      <c r="J40" s="58" t="n">
        <f aca="false">+J39+I40</f>
        <v>29942598.50841</v>
      </c>
    </row>
    <row r="41" customFormat="false" ht="14.25" hidden="false" customHeight="false" outlineLevel="0" collapsed="false">
      <c r="A41" s="3" t="n">
        <f aca="false">+A40+1</f>
        <v>36</v>
      </c>
      <c r="B41" s="59" t="n">
        <f aca="false">+'Channel 3 Sales'!C41</f>
        <v>1078.245</v>
      </c>
      <c r="C41" s="60" t="n">
        <v>36128.035484886</v>
      </c>
      <c r="D41" s="61" t="n">
        <f aca="false">IF(MOD($A41-1, 12) = 0, D40 * 1.05, D40)</f>
        <v>330.75</v>
      </c>
      <c r="E41" s="61" t="n">
        <f aca="false">+C41*D41</f>
        <v>11949347.736626</v>
      </c>
      <c r="F41" s="61" t="n">
        <f aca="false">-C41*D41*$F$1</f>
        <v>-2389869.54732521</v>
      </c>
      <c r="G41" s="61" t="n">
        <f aca="false">-E41*$F$2</f>
        <v>-2987336.93415651</v>
      </c>
      <c r="H41" s="61" t="n">
        <f aca="false">-E41*$C$3</f>
        <v>-4779739.09465041</v>
      </c>
      <c r="I41" s="61" t="n">
        <f aca="false">+E41+F41+G41+H41</f>
        <v>1792402.1604939</v>
      </c>
      <c r="J41" s="58" t="n">
        <f aca="false">+J40+I41</f>
        <v>31735000.6689039</v>
      </c>
    </row>
    <row r="42" customFormat="false" ht="14.25" hidden="false" customHeight="false" outlineLevel="0" collapsed="false">
      <c r="A42" s="3" t="n">
        <f aca="false">+A41+1</f>
        <v>37</v>
      </c>
      <c r="B42" s="59" t="n">
        <f aca="false">+'Channel 3 Sales'!C42</f>
        <v>1132.15725</v>
      </c>
      <c r="C42" s="60" t="n">
        <v>37223.9531532829</v>
      </c>
      <c r="D42" s="61" t="n">
        <f aca="false">IF(MOD($A42-1, 12) = 0, D41 * 1.05, D41)</f>
        <v>347.2875</v>
      </c>
      <c r="E42" s="61" t="n">
        <f aca="false">+C42*D42</f>
        <v>12927413.6307207</v>
      </c>
      <c r="F42" s="61" t="n">
        <f aca="false">-C42*D42*$F$1</f>
        <v>-2585482.72614415</v>
      </c>
      <c r="G42" s="61" t="n">
        <f aca="false">-E42*$F$2</f>
        <v>-3231853.40768019</v>
      </c>
      <c r="H42" s="61" t="n">
        <f aca="false">-E42*$C$3</f>
        <v>-5170965.4522883</v>
      </c>
      <c r="I42" s="61" t="n">
        <f aca="false">+E42+F42+G42+H42</f>
        <v>1939112.04460811</v>
      </c>
      <c r="J42" s="58" t="n">
        <f aca="false">+J41+I42</f>
        <v>33674112.713512</v>
      </c>
    </row>
    <row r="43" customFormat="false" ht="14.25" hidden="false" customHeight="false" outlineLevel="0" collapsed="false">
      <c r="A43" s="3" t="n">
        <f aca="false">+A42+1</f>
        <v>38</v>
      </c>
      <c r="B43" s="59" t="n">
        <f aca="false">+'Channel 3 Sales'!C43</f>
        <v>1132.15725</v>
      </c>
      <c r="C43" s="60" t="n">
        <v>38319.0802577207</v>
      </c>
      <c r="D43" s="61" t="n">
        <f aca="false">IF(MOD($A43-1, 12) = 0, D42 * 1.05, D42)</f>
        <v>347.2875</v>
      </c>
      <c r="E43" s="61" t="n">
        <f aca="false">+C43*D43</f>
        <v>13307737.5850032</v>
      </c>
      <c r="F43" s="61" t="n">
        <f aca="false">-C43*D43*$F$1</f>
        <v>-2661547.51700064</v>
      </c>
      <c r="G43" s="61" t="n">
        <f aca="false">-E43*$F$2</f>
        <v>-3326934.39625079</v>
      </c>
      <c r="H43" s="61" t="n">
        <f aca="false">-E43*$C$3</f>
        <v>-5323095.03400127</v>
      </c>
      <c r="I43" s="61" t="n">
        <f aca="false">+E43+F43+G43+H43</f>
        <v>1996160.63775048</v>
      </c>
      <c r="J43" s="58" t="n">
        <f aca="false">+J42+I43</f>
        <v>35670273.3512625</v>
      </c>
    </row>
    <row r="44" customFormat="false" ht="14.25" hidden="false" customHeight="false" outlineLevel="0" collapsed="false">
      <c r="A44" s="3" t="n">
        <f aca="false">+A43+1</f>
        <v>39</v>
      </c>
      <c r="B44" s="59" t="n">
        <f aca="false">+'Channel 3 Sales'!C44</f>
        <v>1132.15725</v>
      </c>
      <c r="C44" s="60" t="n">
        <v>39413.4827777334</v>
      </c>
      <c r="D44" s="61" t="n">
        <f aca="false">IF(MOD($A44-1, 12) = 0, D43 * 1.05, D43)</f>
        <v>347.2875</v>
      </c>
      <c r="E44" s="61" t="n">
        <f aca="false">+C44*D44</f>
        <v>13687809.9001721</v>
      </c>
      <c r="F44" s="61" t="n">
        <f aca="false">-C44*D44*$F$1</f>
        <v>-2737561.98003442</v>
      </c>
      <c r="G44" s="61" t="n">
        <f aca="false">-E44*$F$2</f>
        <v>-3421952.47504302</v>
      </c>
      <c r="H44" s="61" t="n">
        <f aca="false">-E44*$C$3</f>
        <v>-5475123.96006883</v>
      </c>
      <c r="I44" s="61" t="n">
        <f aca="false">+E44+F44+G44+H44</f>
        <v>2053171.48502581</v>
      </c>
      <c r="J44" s="58" t="n">
        <f aca="false">+J43+I44</f>
        <v>37723444.8362883</v>
      </c>
    </row>
    <row r="45" customFormat="false" ht="14.25" hidden="false" customHeight="false" outlineLevel="0" collapsed="false">
      <c r="A45" s="3" t="n">
        <f aca="false">+A44+1</f>
        <v>40</v>
      </c>
      <c r="B45" s="59" t="n">
        <f aca="false">+'Channel 3 Sales'!C45</f>
        <v>1132.15725</v>
      </c>
      <c r="C45" s="60" t="n">
        <v>40507.231218793</v>
      </c>
      <c r="D45" s="61" t="n">
        <f aca="false">IF(MOD($A45-1, 12) = 0, D44 * 1.05, D44)</f>
        <v>347.2875</v>
      </c>
      <c r="E45" s="61" t="n">
        <f aca="false">+C45*D45</f>
        <v>14067655.0618966</v>
      </c>
      <c r="F45" s="61" t="n">
        <f aca="false">-C45*D45*$F$1</f>
        <v>-2813531.01237931</v>
      </c>
      <c r="G45" s="61" t="n">
        <f aca="false">-E45*$F$2</f>
        <v>-3516913.76547414</v>
      </c>
      <c r="H45" s="61" t="n">
        <f aca="false">-E45*$C$3</f>
        <v>-5627062.02475863</v>
      </c>
      <c r="I45" s="61" t="n">
        <f aca="false">+E45+F45+G45+H45</f>
        <v>2110148.25928448</v>
      </c>
      <c r="J45" s="58" t="n">
        <f aca="false">+J44+I45</f>
        <v>39833593.0955728</v>
      </c>
    </row>
    <row r="46" customFormat="false" ht="14.25" hidden="false" customHeight="false" outlineLevel="0" collapsed="false">
      <c r="A46" s="3" t="n">
        <f aca="false">+A45+1</f>
        <v>41</v>
      </c>
      <c r="B46" s="59" t="n">
        <f aca="false">+'Channel 3 Sales'!C46</f>
        <v>1132.15725</v>
      </c>
      <c r="C46" s="60" t="n">
        <v>41600.3368361831</v>
      </c>
      <c r="D46" s="61" t="n">
        <f aca="false">IF(MOD($A46-1, 12) = 0, D45 * 1.05, D45)</f>
        <v>347.2875</v>
      </c>
      <c r="E46" s="61" t="n">
        <f aca="false">+C46*D46</f>
        <v>14447276.9789959</v>
      </c>
      <c r="F46" s="61" t="n">
        <f aca="false">-C46*D46*$F$1</f>
        <v>-2889455.39579919</v>
      </c>
      <c r="G46" s="61" t="n">
        <f aca="false">-E46*$F$2</f>
        <v>-3611819.24474899</v>
      </c>
      <c r="H46" s="61" t="n">
        <f aca="false">-E46*$C$3</f>
        <v>-5778910.79159838</v>
      </c>
      <c r="I46" s="61" t="n">
        <f aca="false">+E46+F46+G46+H46</f>
        <v>2167091.54684939</v>
      </c>
      <c r="J46" s="58" t="n">
        <f aca="false">+J45+I46</f>
        <v>42000684.6424222</v>
      </c>
    </row>
    <row r="47" customFormat="false" ht="14.25" hidden="false" customHeight="false" outlineLevel="0" collapsed="false">
      <c r="A47" s="3" t="n">
        <f aca="false">+A46+1</f>
        <v>42</v>
      </c>
      <c r="B47" s="59" t="n">
        <f aca="false">+'Channel 3 Sales'!C47</f>
        <v>1132.15725</v>
      </c>
      <c r="C47" s="60" t="n">
        <v>42692.8161267935</v>
      </c>
      <c r="D47" s="61" t="n">
        <f aca="false">IF(MOD($A47-1, 12) = 0, D46 * 1.05, D46)</f>
        <v>347.2875</v>
      </c>
      <c r="E47" s="61" t="n">
        <f aca="false">+C47*D47</f>
        <v>14826681.3806338</v>
      </c>
      <c r="F47" s="61" t="n">
        <f aca="false">-C47*D47*$F$1</f>
        <v>-2965336.27612676</v>
      </c>
      <c r="G47" s="61" t="n">
        <f aca="false">-E47*$F$2</f>
        <v>-3706670.34515845</v>
      </c>
      <c r="H47" s="61" t="n">
        <f aca="false">-E47*$C$3</f>
        <v>-5930672.55225353</v>
      </c>
      <c r="I47" s="61" t="n">
        <f aca="false">+E47+F47+G47+H47</f>
        <v>2224002.20709507</v>
      </c>
      <c r="J47" s="58" t="n">
        <f aca="false">+J46+I47</f>
        <v>44224686.8495173</v>
      </c>
    </row>
    <row r="48" customFormat="false" ht="14.25" hidden="false" customHeight="false" outlineLevel="0" collapsed="false">
      <c r="A48" s="3" t="n">
        <f aca="false">+A47+1</f>
        <v>43</v>
      </c>
      <c r="B48" s="59" t="n">
        <f aca="false">+'Channel 3 Sales'!C48</f>
        <v>1132.15725</v>
      </c>
      <c r="C48" s="60" t="n">
        <v>43784.680178592</v>
      </c>
      <c r="D48" s="61" t="n">
        <f aca="false">IF(MOD($A48-1, 12) = 0, D47 * 1.05, D47)</f>
        <v>347.2875</v>
      </c>
      <c r="E48" s="61" t="n">
        <f aca="false">+C48*D48</f>
        <v>15205872.1175228</v>
      </c>
      <c r="F48" s="61" t="n">
        <f aca="false">-C48*D48*$F$1</f>
        <v>-3041174.42350455</v>
      </c>
      <c r="G48" s="61" t="n">
        <f aca="false">-E48*$F$2</f>
        <v>-3801468.02938069</v>
      </c>
      <c r="H48" s="61" t="n">
        <f aca="false">-E48*$C$3</f>
        <v>-6082348.84700911</v>
      </c>
      <c r="I48" s="61" t="n">
        <f aca="false">+E48+F48+G48+H48</f>
        <v>2280880.81762842</v>
      </c>
      <c r="J48" s="58" t="n">
        <f aca="false">+J47+I48</f>
        <v>46505567.6671457</v>
      </c>
    </row>
    <row r="49" customFormat="false" ht="14.25" hidden="false" customHeight="false" outlineLevel="0" collapsed="false">
      <c r="A49" s="3" t="n">
        <f aca="false">+A48+1</f>
        <v>44</v>
      </c>
      <c r="B49" s="59" t="n">
        <f aca="false">+'Channel 3 Sales'!C49</f>
        <v>1132.15725</v>
      </c>
      <c r="C49" s="60" t="n">
        <v>44875.9453176198</v>
      </c>
      <c r="D49" s="61" t="n">
        <f aca="false">IF(MOD($A49-1, 12) = 0, D48 * 1.05, D48)</f>
        <v>347.2875</v>
      </c>
      <c r="E49" s="61" t="n">
        <f aca="false">+C49*D49</f>
        <v>15584854.8594929</v>
      </c>
      <c r="F49" s="61" t="n">
        <f aca="false">-C49*D49*$F$1</f>
        <v>-3116970.97189858</v>
      </c>
      <c r="G49" s="61" t="n">
        <f aca="false">-E49*$F$2</f>
        <v>-3896213.71487322</v>
      </c>
      <c r="H49" s="61" t="n">
        <f aca="false">-E49*$C$3</f>
        <v>-6233941.94379716</v>
      </c>
      <c r="I49" s="61" t="n">
        <f aca="false">+E49+F49+G49+H49</f>
        <v>2337728.22892393</v>
      </c>
      <c r="J49" s="58" t="n">
        <f aca="false">+J48+I49</f>
        <v>48843295.8960696</v>
      </c>
    </row>
    <row r="50" customFormat="false" ht="14.25" hidden="false" customHeight="false" outlineLevel="0" collapsed="false">
      <c r="A50" s="3" t="n">
        <f aca="false">+A49+1</f>
        <v>45</v>
      </c>
      <c r="B50" s="59" t="n">
        <f aca="false">+'Channel 3 Sales'!C50</f>
        <v>1132.15725</v>
      </c>
      <c r="C50" s="60" t="n">
        <v>45966.6225030592</v>
      </c>
      <c r="D50" s="61" t="n">
        <f aca="false">IF(MOD($A50-1, 12) = 0, D49 * 1.05, D49)</f>
        <v>347.2875</v>
      </c>
      <c r="E50" s="61" t="n">
        <f aca="false">+C50*D50</f>
        <v>15963633.4125312</v>
      </c>
      <c r="F50" s="61" t="n">
        <f aca="false">-C50*D50*$F$1</f>
        <v>-3192726.68250624</v>
      </c>
      <c r="G50" s="61" t="n">
        <f aca="false">-E50*$F$2</f>
        <v>-3990908.35313279</v>
      </c>
      <c r="H50" s="61" t="n">
        <f aca="false">-E50*$C$3</f>
        <v>-6385453.36501247</v>
      </c>
      <c r="I50" s="61" t="n">
        <f aca="false">+E50+F50+G50+H50</f>
        <v>2394545.01187968</v>
      </c>
      <c r="J50" s="58" t="n">
        <f aca="false">+J49+I50</f>
        <v>51237840.9079493</v>
      </c>
    </row>
    <row r="51" customFormat="false" ht="14.25" hidden="false" customHeight="false" outlineLevel="0" collapsed="false">
      <c r="A51" s="3" t="n">
        <f aca="false">+A50+1</f>
        <v>46</v>
      </c>
      <c r="B51" s="59" t="n">
        <f aca="false">+'Channel 3 Sales'!C51</f>
        <v>1132.15725</v>
      </c>
      <c r="C51" s="60" t="n">
        <v>47056.7279336549</v>
      </c>
      <c r="D51" s="61" t="n">
        <f aca="false">IF(MOD($A51-1, 12) = 0, D50 * 1.05, D50)</f>
        <v>347.2875</v>
      </c>
      <c r="E51" s="61" t="n">
        <f aca="false">+C51*D51</f>
        <v>16342213.4022592</v>
      </c>
      <c r="F51" s="61" t="n">
        <f aca="false">-C51*D51*$F$1</f>
        <v>-3268442.68045184</v>
      </c>
      <c r="G51" s="61" t="n">
        <f aca="false">-E51*$F$2</f>
        <v>-4085553.3505648</v>
      </c>
      <c r="H51" s="61" t="n">
        <f aca="false">-E51*$C$3</f>
        <v>-6536885.36090367</v>
      </c>
      <c r="I51" s="61" t="n">
        <f aca="false">+E51+F51+G51+H51</f>
        <v>2451332.01033888</v>
      </c>
      <c r="J51" s="58" t="n">
        <f aca="false">+J50+I51</f>
        <v>53689172.9182881</v>
      </c>
    </row>
    <row r="52" customFormat="false" ht="14.25" hidden="false" customHeight="false" outlineLevel="0" collapsed="false">
      <c r="A52" s="3" t="n">
        <f aca="false">+A51+1</f>
        <v>47</v>
      </c>
      <c r="B52" s="59" t="n">
        <f aca="false">+'Channel 3 Sales'!C52</f>
        <v>1132.15725</v>
      </c>
      <c r="C52" s="60" t="n">
        <v>48146.2724776345</v>
      </c>
      <c r="D52" s="61" t="n">
        <f aca="false">IF(MOD($A52-1, 12) = 0, D51 * 1.05, D51)</f>
        <v>347.2875</v>
      </c>
      <c r="E52" s="61" t="n">
        <f aca="false">+C52*D52</f>
        <v>16720598.6030765</v>
      </c>
      <c r="F52" s="61" t="n">
        <f aca="false">-C52*D52*$F$1</f>
        <v>-3344119.7206153</v>
      </c>
      <c r="G52" s="61" t="n">
        <f aca="false">-E52*$F$2</f>
        <v>-4180149.65076912</v>
      </c>
      <c r="H52" s="61" t="n">
        <f aca="false">-E52*$C$3</f>
        <v>-6688239.44123059</v>
      </c>
      <c r="I52" s="61" t="n">
        <f aca="false">+E52+F52+G52+H52</f>
        <v>2508089.79046147</v>
      </c>
      <c r="J52" s="58" t="n">
        <f aca="false">+J51+I52</f>
        <v>56197262.7087496</v>
      </c>
    </row>
    <row r="53" customFormat="false" ht="14.25" hidden="false" customHeight="false" outlineLevel="0" collapsed="false">
      <c r="A53" s="3" t="n">
        <f aca="false">+A52+1</f>
        <v>48</v>
      </c>
      <c r="B53" s="59" t="n">
        <f aca="false">+'Channel 3 Sales'!C53</f>
        <v>1132.15725</v>
      </c>
      <c r="C53" s="60" t="n">
        <v>49235.272249342</v>
      </c>
      <c r="D53" s="61" t="n">
        <f aca="false">IF(MOD($A53-1, 12) = 0, D52 * 1.05, D52)</f>
        <v>347.2875</v>
      </c>
      <c r="E53" s="61" t="n">
        <f aca="false">+C53*D53</f>
        <v>17098794.6112934</v>
      </c>
      <c r="F53" s="61" t="n">
        <f aca="false">-C53*D53*$F$1</f>
        <v>-3419758.92225868</v>
      </c>
      <c r="G53" s="61" t="n">
        <f aca="false">-E53*$F$2</f>
        <v>-4274698.65282334</v>
      </c>
      <c r="H53" s="61" t="n">
        <f aca="false">-E53*$C$3</f>
        <v>-6839517.84451735</v>
      </c>
      <c r="I53" s="61" t="n">
        <f aca="false">+E53+F53+G53+H53</f>
        <v>2564819.19169401</v>
      </c>
      <c r="J53" s="58" t="n">
        <f aca="false">+J52+I53</f>
        <v>58762081.9004436</v>
      </c>
    </row>
    <row r="54" customFormat="false" ht="14.25" hidden="false" customHeight="false" outlineLevel="0" collapsed="false">
      <c r="A54" s="3" t="n">
        <f aca="false">+A53+1</f>
        <v>49</v>
      </c>
      <c r="B54" s="59" t="n">
        <f aca="false">+'Channel 3 Sales'!C54</f>
        <v>1188.7651125</v>
      </c>
      <c r="C54" s="60" t="n">
        <v>50380.3353836638</v>
      </c>
      <c r="D54" s="61" t="n">
        <f aca="false">IF(MOD($A54-1, 12) = 0, D53 * 1.05, D53)</f>
        <v>364.651875</v>
      </c>
      <c r="E54" s="61" t="n">
        <f aca="false">+C54*D54</f>
        <v>18371283.7607818</v>
      </c>
      <c r="F54" s="61" t="n">
        <f aca="false">-C54*D54*$F$1</f>
        <v>-3674256.75215637</v>
      </c>
      <c r="G54" s="61" t="n">
        <f aca="false">-E54*$F$2</f>
        <v>-4592820.94019546</v>
      </c>
      <c r="H54" s="61" t="n">
        <f aca="false">-E54*$C$3</f>
        <v>-7348513.50431274</v>
      </c>
      <c r="I54" s="61" t="n">
        <f aca="false">+E54+F54+G54+H54</f>
        <v>2755692.56411728</v>
      </c>
      <c r="J54" s="58" t="n">
        <f aca="false">+J53+I54</f>
        <v>61517774.4645609</v>
      </c>
    </row>
    <row r="55" customFormat="false" ht="14.25" hidden="false" customHeight="false" outlineLevel="0" collapsed="false">
      <c r="A55" s="3" t="n">
        <f aca="false">+A54+1</f>
        <v>50</v>
      </c>
      <c r="B55" s="59" t="n">
        <f aca="false">+'Channel 3 Sales'!C55</f>
        <v>1188.7651125</v>
      </c>
      <c r="C55" s="60" t="n">
        <v>51524.5712510371</v>
      </c>
      <c r="D55" s="61" t="n">
        <f aca="false">IF(MOD($A55-1, 12) = 0, D54 * 1.05, D54)</f>
        <v>364.651875</v>
      </c>
      <c r="E55" s="61" t="n">
        <f aca="false">+C55*D55</f>
        <v>18788531.5152618</v>
      </c>
      <c r="F55" s="61" t="n">
        <f aca="false">-C55*D55*$F$1</f>
        <v>-3757706.30305235</v>
      </c>
      <c r="G55" s="61" t="n">
        <f aca="false">-E55*$F$2</f>
        <v>-4697132.87881544</v>
      </c>
      <c r="H55" s="61" t="n">
        <f aca="false">-E55*$C$3</f>
        <v>-7515412.60610471</v>
      </c>
      <c r="I55" s="61" t="n">
        <f aca="false">+E55+F55+G55+H55</f>
        <v>2818279.72728927</v>
      </c>
      <c r="J55" s="58" t="n">
        <f aca="false">+J54+I55</f>
        <v>64336054.1918502</v>
      </c>
    </row>
    <row r="56" customFormat="false" ht="14.25" hidden="false" customHeight="false" outlineLevel="0" collapsed="false">
      <c r="A56" s="3" t="n">
        <f aca="false">+A55+1</f>
        <v>51</v>
      </c>
      <c r="B56" s="59" t="n">
        <f aca="false">+'Channel 3 Sales'!C56</f>
        <v>1188.7651125</v>
      </c>
      <c r="C56" s="60" t="n">
        <v>52668.0491285602</v>
      </c>
      <c r="D56" s="61" t="n">
        <f aca="false">IF(MOD($A56-1, 12) = 0, D55 * 1.05, D55)</f>
        <v>364.651875</v>
      </c>
      <c r="E56" s="61" t="n">
        <f aca="false">+C56*D56</f>
        <v>19205502.8673216</v>
      </c>
      <c r="F56" s="61" t="n">
        <f aca="false">-C56*D56*$F$1</f>
        <v>-3841100.57346432</v>
      </c>
      <c r="G56" s="61" t="n">
        <f aca="false">-E56*$F$2</f>
        <v>-4801375.7168304</v>
      </c>
      <c r="H56" s="61" t="n">
        <f aca="false">-E56*$C$3</f>
        <v>-7682201.14692863</v>
      </c>
      <c r="I56" s="61" t="n">
        <f aca="false">+E56+F56+G56+H56</f>
        <v>2880825.43009824</v>
      </c>
      <c r="J56" s="58" t="n">
        <f aca="false">+J55+I56</f>
        <v>67216879.6219484</v>
      </c>
    </row>
    <row r="57" customFormat="false" ht="14.25" hidden="false" customHeight="false" outlineLevel="0" collapsed="false">
      <c r="A57" s="3" t="n">
        <f aca="false">+A56+1</f>
        <v>52</v>
      </c>
      <c r="B57" s="59" t="n">
        <f aca="false">+'Channel 3 Sales'!C57</f>
        <v>1188.7651125</v>
      </c>
      <c r="C57" s="60" t="n">
        <v>53810.8430455668</v>
      </c>
      <c r="D57" s="61" t="n">
        <f aca="false">IF(MOD($A57-1, 12) = 0, D56 * 1.05, D56)</f>
        <v>364.651875</v>
      </c>
      <c r="E57" s="61" t="n">
        <f aca="false">+C57*D57</f>
        <v>19622224.8118966</v>
      </c>
      <c r="F57" s="61" t="n">
        <f aca="false">-C57*D57*$F$1</f>
        <v>-3924444.96237933</v>
      </c>
      <c r="G57" s="61" t="n">
        <f aca="false">-E57*$F$2</f>
        <v>-4905556.20297416</v>
      </c>
      <c r="H57" s="61" t="n">
        <f aca="false">-E57*$C$3</f>
        <v>-7848889.92475866</v>
      </c>
      <c r="I57" s="61" t="n">
        <f aca="false">+E57+F57+G57+H57</f>
        <v>2943333.7217845</v>
      </c>
      <c r="J57" s="58" t="n">
        <f aca="false">+J56+I57</f>
        <v>70160213.3437329</v>
      </c>
    </row>
    <row r="58" customFormat="false" ht="14.25" hidden="false" customHeight="false" outlineLevel="0" collapsed="false">
      <c r="A58" s="3" t="n">
        <f aca="false">+A57+1</f>
        <v>53</v>
      </c>
      <c r="B58" s="59" t="n">
        <f aca="false">+'Channel 3 Sales'!C58</f>
        <v>1188.7651125</v>
      </c>
      <c r="C58" s="60" t="n">
        <v>54952.9648186935</v>
      </c>
      <c r="D58" s="61" t="n">
        <f aca="false">IF(MOD($A58-1, 12) = 0, D57 * 1.05, D57)</f>
        <v>364.651875</v>
      </c>
      <c r="E58" s="61" t="n">
        <f aca="false">+C58*D58</f>
        <v>20038701.6579456</v>
      </c>
      <c r="F58" s="61" t="n">
        <f aca="false">-C58*D58*$F$1</f>
        <v>-4007740.33158913</v>
      </c>
      <c r="G58" s="61" t="n">
        <f aca="false">-E58*$F$2</f>
        <v>-5009675.41448641</v>
      </c>
      <c r="H58" s="61" t="n">
        <f aca="false">-E58*$C$3</f>
        <v>-8015480.66317825</v>
      </c>
      <c r="I58" s="61" t="n">
        <f aca="false">+E58+F58+G58+H58</f>
        <v>3005805.24869184</v>
      </c>
      <c r="J58" s="58" t="n">
        <f aca="false">+J57+I58</f>
        <v>73166018.5924247</v>
      </c>
    </row>
    <row r="59" customFormat="false" ht="14.25" hidden="false" customHeight="false" outlineLevel="0" collapsed="false">
      <c r="A59" s="3" t="n">
        <f aca="false">+A58+1</f>
        <v>54</v>
      </c>
      <c r="B59" s="59" t="n">
        <f aca="false">+'Channel 3 Sales'!C59</f>
        <v>1188.7651125</v>
      </c>
      <c r="C59" s="60" t="n">
        <v>56094.4317682641</v>
      </c>
      <c r="D59" s="61" t="n">
        <f aca="false">IF(MOD($A59-1, 12) = 0, D58 * 1.05, D58)</f>
        <v>364.651875</v>
      </c>
      <c r="E59" s="61" t="n">
        <f aca="false">+C59*D59</f>
        <v>20454939.7213571</v>
      </c>
      <c r="F59" s="61" t="n">
        <f aca="false">-C59*D59*$F$1</f>
        <v>-4090987.94427142</v>
      </c>
      <c r="G59" s="61" t="n">
        <f aca="false">-E59*$F$2</f>
        <v>-5113734.93033927</v>
      </c>
      <c r="H59" s="61" t="n">
        <f aca="false">-E59*$C$3</f>
        <v>-8181975.88854283</v>
      </c>
      <c r="I59" s="61" t="n">
        <f aca="false">+E59+F59+G59+H59</f>
        <v>3068240.95820356</v>
      </c>
      <c r="J59" s="58" t="n">
        <f aca="false">+J58+I59</f>
        <v>76234259.5506283</v>
      </c>
    </row>
    <row r="60" customFormat="false" ht="14.25" hidden="false" customHeight="false" outlineLevel="0" collapsed="false">
      <c r="A60" s="3" t="n">
        <f aca="false">+A59+1</f>
        <v>55</v>
      </c>
      <c r="B60" s="59" t="n">
        <f aca="false">+'Channel 3 Sales'!C60</f>
        <v>1188.7651125</v>
      </c>
      <c r="C60" s="60" t="n">
        <v>57235.2555352349</v>
      </c>
      <c r="D60" s="61" t="n">
        <f aca="false">IF(MOD($A60-1, 12) = 0, D59 * 1.05, D59)</f>
        <v>364.651875</v>
      </c>
      <c r="E60" s="61" t="n">
        <f aca="false">+C60*D60</f>
        <v>20870943.2470275</v>
      </c>
      <c r="F60" s="61" t="n">
        <f aca="false">-C60*D60*$F$1</f>
        <v>-4174188.64940551</v>
      </c>
      <c r="G60" s="61" t="n">
        <f aca="false">-E60*$F$2</f>
        <v>-5217735.81175689</v>
      </c>
      <c r="H60" s="61" t="n">
        <f aca="false">-E60*$C$3</f>
        <v>-8348377.29881102</v>
      </c>
      <c r="I60" s="61" t="n">
        <f aca="false">+E60+F60+G60+H60</f>
        <v>3130641.48705413</v>
      </c>
      <c r="J60" s="58" t="n">
        <f aca="false">+J59+I60</f>
        <v>79364901.0376824</v>
      </c>
    </row>
    <row r="61" customFormat="false" ht="14.25" hidden="false" customHeight="false" outlineLevel="0" collapsed="false">
      <c r="A61" s="3" t="n">
        <f aca="false">+A60+1</f>
        <v>56</v>
      </c>
      <c r="B61" s="59" t="n">
        <f aca="false">+'Channel 3 Sales'!C61</f>
        <v>1188.7651125</v>
      </c>
      <c r="C61" s="60" t="n">
        <v>58375.4532605403</v>
      </c>
      <c r="D61" s="61" t="n">
        <f aca="false">IF(MOD($A61-1, 12) = 0, D60 * 1.05, D60)</f>
        <v>364.651875</v>
      </c>
      <c r="E61" s="61" t="n">
        <f aca="false">+C61*D61</f>
        <v>21286718.4854309</v>
      </c>
      <c r="F61" s="61" t="n">
        <f aca="false">-C61*D61*$F$1</f>
        <v>-4257343.69708618</v>
      </c>
      <c r="G61" s="61" t="n">
        <f aca="false">-E61*$F$2</f>
        <v>-5321679.62135772</v>
      </c>
      <c r="H61" s="61" t="n">
        <f aca="false">-E61*$C$3</f>
        <v>-8514687.39417235</v>
      </c>
      <c r="I61" s="61" t="n">
        <f aca="false">+E61+F61+G61+H61</f>
        <v>3193007.77281463</v>
      </c>
      <c r="J61" s="58" t="n">
        <f aca="false">+J60+I61</f>
        <v>82557908.8104971</v>
      </c>
    </row>
    <row r="62" customFormat="false" ht="14.25" hidden="false" customHeight="false" outlineLevel="0" collapsed="false">
      <c r="A62" s="3" t="n">
        <f aca="false">+A61+1</f>
        <v>57</v>
      </c>
      <c r="B62" s="59" t="n">
        <f aca="false">+'Channel 3 Sales'!C62</f>
        <v>1188.7651125</v>
      </c>
      <c r="C62" s="60" t="n">
        <v>59515.0364499131</v>
      </c>
      <c r="D62" s="61" t="n">
        <f aca="false">IF(MOD($A62-1, 12) = 0, D61 * 1.05, D61)</f>
        <v>364.651875</v>
      </c>
      <c r="E62" s="61" t="n">
        <f aca="false">+C62*D62</f>
        <v>21702269.6321542</v>
      </c>
      <c r="F62" s="61" t="n">
        <f aca="false">-C62*D62*$F$1</f>
        <v>-4340453.92643083</v>
      </c>
      <c r="G62" s="61" t="n">
        <f aca="false">-E62*$F$2</f>
        <v>-5425567.40803854</v>
      </c>
      <c r="H62" s="61" t="n">
        <f aca="false">-E62*$C$3</f>
        <v>-8680907.85286167</v>
      </c>
      <c r="I62" s="61" t="n">
        <f aca="false">+E62+F62+G62+H62</f>
        <v>3255340.44482313</v>
      </c>
      <c r="J62" s="58" t="n">
        <f aca="false">+J61+I62</f>
        <v>85813249.2553202</v>
      </c>
    </row>
    <row r="63" customFormat="false" ht="14.25" hidden="false" customHeight="false" outlineLevel="0" collapsed="false">
      <c r="A63" s="3" t="n">
        <f aca="false">+A62+1</f>
        <v>58</v>
      </c>
      <c r="B63" s="59" t="n">
        <f aca="false">+'Channel 3 Sales'!C63</f>
        <v>1188.7651125</v>
      </c>
      <c r="C63" s="60" t="n">
        <v>60654.0221106278</v>
      </c>
      <c r="D63" s="61" t="n">
        <f aca="false">IF(MOD($A63-1, 12) = 0, D62 * 1.05, D62)</f>
        <v>364.651875</v>
      </c>
      <c r="E63" s="61" t="n">
        <f aca="false">+C63*D63</f>
        <v>22117602.8889319</v>
      </c>
      <c r="F63" s="61" t="n">
        <f aca="false">-C63*D63*$F$1</f>
        <v>-4423520.57778638</v>
      </c>
      <c r="G63" s="61" t="n">
        <f aca="false">-E63*$F$2</f>
        <v>-5529400.72223297</v>
      </c>
      <c r="H63" s="61" t="n">
        <f aca="false">-E63*$C$3</f>
        <v>-8847041.15557275</v>
      </c>
      <c r="I63" s="61" t="n">
        <f aca="false">+E63+F63+G63+H63</f>
        <v>3317640.43333978</v>
      </c>
      <c r="J63" s="58" t="n">
        <f aca="false">+J62+I63</f>
        <v>89130889.68866</v>
      </c>
    </row>
    <row r="64" customFormat="false" ht="14.25" hidden="false" customHeight="false" outlineLevel="0" collapsed="false">
      <c r="A64" s="3" t="n">
        <f aca="false">+A63+1</f>
        <v>59</v>
      </c>
      <c r="B64" s="59" t="n">
        <f aca="false">+'Channel 3 Sales'!C64</f>
        <v>1188.7651125</v>
      </c>
      <c r="C64" s="60" t="n">
        <v>61792.4216529162</v>
      </c>
      <c r="D64" s="61" t="n">
        <f aca="false">IF(MOD($A64-1, 12) = 0, D63 * 1.05, D63)</f>
        <v>364.651875</v>
      </c>
      <c r="E64" s="61" t="n">
        <f aca="false">+C64*D64</f>
        <v>22532722.4165265</v>
      </c>
      <c r="F64" s="61" t="n">
        <f aca="false">-C64*D64*$F$1</f>
        <v>-4506544.4833053</v>
      </c>
      <c r="G64" s="61" t="n">
        <f aca="false">-E64*$F$2</f>
        <v>-5633180.60413162</v>
      </c>
      <c r="H64" s="61" t="n">
        <f aca="false">-E64*$C$3</f>
        <v>-9013088.96661059</v>
      </c>
      <c r="I64" s="61" t="n">
        <f aca="false">+E64+F64+G64+H64</f>
        <v>3379908.36247897</v>
      </c>
      <c r="J64" s="58" t="n">
        <f aca="false">+J63+I64</f>
        <v>92510798.0511389</v>
      </c>
    </row>
    <row r="65" customFormat="false" ht="14.25" hidden="false" customHeight="false" outlineLevel="0" collapsed="false">
      <c r="A65" s="3" t="n">
        <f aca="false">+A64+1</f>
        <v>60</v>
      </c>
      <c r="B65" s="62" t="n">
        <f aca="false">+'Channel 3 Sales'!C65</f>
        <v>1188.7651125</v>
      </c>
      <c r="C65" s="63" t="n">
        <v>62930.2519954334</v>
      </c>
      <c r="D65" s="65" t="n">
        <f aca="false">IF(MOD($A65-1, 12) = 0, D64 * 1.05, D64)</f>
        <v>364.651875</v>
      </c>
      <c r="E65" s="65" t="n">
        <f aca="false">+C65*D65</f>
        <v>22947634.3843573</v>
      </c>
      <c r="F65" s="61" t="n">
        <f aca="false">-C65*D65*$F$1</f>
        <v>-4589526.87687146</v>
      </c>
      <c r="G65" s="65" t="n">
        <f aca="false">-E65*$F$2</f>
        <v>-5736908.59608932</v>
      </c>
      <c r="H65" s="65" t="n">
        <f aca="false">-E65*$C$3</f>
        <v>-9179053.75374292</v>
      </c>
      <c r="I65" s="65" t="n">
        <f aca="false">+E65+F65+G65+H65</f>
        <v>3442145.15765359</v>
      </c>
      <c r="J65" s="66" t="n">
        <f aca="false">+J64+I65</f>
        <v>95952943.2087925</v>
      </c>
    </row>
    <row r="66" customFormat="false" ht="14.25" hidden="false" customHeight="false" outlineLevel="0" collapsed="false">
      <c r="D66" s="67"/>
      <c r="E66" s="67"/>
      <c r="F66" s="67"/>
      <c r="G66" s="67"/>
      <c r="H66" s="67"/>
      <c r="I66" s="67"/>
      <c r="J66" s="67"/>
    </row>
    <row r="67" customFormat="false" ht="14.25" hidden="false" customHeight="false" outlineLevel="0" collapsed="false">
      <c r="D67" s="67"/>
      <c r="E67" s="67"/>
      <c r="F67" s="67"/>
      <c r="G67" s="67"/>
      <c r="H67" s="67"/>
      <c r="I67" s="67"/>
      <c r="J67" s="67"/>
    </row>
    <row r="68" customFormat="false" ht="14.25" hidden="false" customHeight="false" outlineLevel="0" collapsed="false">
      <c r="D68" s="67"/>
      <c r="E68" s="67"/>
      <c r="F68" s="67"/>
      <c r="G68" s="67"/>
      <c r="H68" s="67"/>
      <c r="I68" s="67"/>
      <c r="J68" s="67"/>
    </row>
    <row r="69" customFormat="false" ht="14.25" hidden="false" customHeight="false" outlineLevel="0" collapsed="false">
      <c r="D69" s="67"/>
      <c r="E69" s="67"/>
      <c r="F69" s="67"/>
      <c r="G69" s="67"/>
      <c r="H69" s="67"/>
      <c r="I69" s="67"/>
      <c r="J69" s="67"/>
    </row>
    <row r="70" customFormat="false" ht="14.25" hidden="false" customHeight="false" outlineLevel="0" collapsed="false">
      <c r="D70" s="67"/>
      <c r="E70" s="67"/>
      <c r="F70" s="67"/>
      <c r="G70" s="67"/>
      <c r="H70" s="67"/>
      <c r="I70" s="67"/>
      <c r="J70" s="67"/>
    </row>
    <row r="71" customFormat="false" ht="14.25" hidden="false" customHeight="false" outlineLevel="0" collapsed="false">
      <c r="D71" s="67"/>
      <c r="E71" s="67"/>
      <c r="F71" s="67"/>
      <c r="G71" s="67"/>
      <c r="H71" s="67"/>
      <c r="I71" s="67"/>
      <c r="J71" s="67"/>
    </row>
    <row r="72" customFormat="false" ht="14.25" hidden="false" customHeight="false" outlineLevel="0" collapsed="false">
      <c r="D72" s="67"/>
      <c r="E72" s="67"/>
      <c r="F72" s="67"/>
      <c r="G72" s="67"/>
      <c r="H72" s="67"/>
      <c r="I72" s="67"/>
      <c r="J72" s="67"/>
    </row>
    <row r="73" customFormat="false" ht="14.25" hidden="false" customHeight="false" outlineLevel="0" collapsed="false">
      <c r="D73" s="67"/>
      <c r="E73" s="67"/>
      <c r="F73" s="67"/>
      <c r="G73" s="67"/>
      <c r="H73" s="67"/>
      <c r="I73" s="67"/>
      <c r="J73" s="67"/>
    </row>
    <row r="74" customFormat="false" ht="14.25" hidden="false" customHeight="false" outlineLevel="0" collapsed="false">
      <c r="D74" s="67"/>
      <c r="E74" s="67"/>
      <c r="F74" s="67"/>
      <c r="G74" s="67"/>
      <c r="H74" s="67"/>
      <c r="I74" s="67"/>
      <c r="J74" s="67"/>
    </row>
    <row r="75" customFormat="false" ht="14.25" hidden="false" customHeight="false" outlineLevel="0" collapsed="false">
      <c r="D75" s="67"/>
      <c r="E75" s="67"/>
      <c r="F75" s="67"/>
      <c r="G75" s="67"/>
      <c r="H75" s="67"/>
      <c r="I75" s="67"/>
      <c r="J75" s="67"/>
    </row>
    <row r="76" customFormat="false" ht="14.25" hidden="false" customHeight="false" outlineLevel="0" collapsed="false">
      <c r="D76" s="67"/>
      <c r="E76" s="67"/>
      <c r="F76" s="67"/>
      <c r="G76" s="67"/>
      <c r="H76" s="67"/>
      <c r="I76" s="67"/>
      <c r="J76" s="67"/>
    </row>
    <row r="77" customFormat="false" ht="14.25" hidden="false" customHeight="false" outlineLevel="0" collapsed="false">
      <c r="D77" s="67"/>
      <c r="E77" s="67"/>
      <c r="F77" s="67"/>
      <c r="G77" s="67"/>
      <c r="H77" s="67"/>
      <c r="I77" s="67"/>
      <c r="J77" s="67"/>
    </row>
    <row r="78" customFormat="false" ht="14.25" hidden="false" customHeight="false" outlineLevel="0" collapsed="false">
      <c r="D78" s="67"/>
      <c r="E78" s="67"/>
      <c r="F78" s="67"/>
      <c r="G78" s="67"/>
      <c r="H78" s="67"/>
      <c r="I78" s="67"/>
      <c r="J78" s="67"/>
    </row>
    <row r="79" customFormat="false" ht="14.25" hidden="false" customHeight="false" outlineLevel="0" collapsed="false">
      <c r="D79" s="67"/>
      <c r="E79" s="67"/>
      <c r="F79" s="67"/>
      <c r="G79" s="67"/>
      <c r="H79" s="67"/>
      <c r="I79" s="67"/>
      <c r="J79" s="67"/>
    </row>
    <row r="80" customFormat="false" ht="14.25" hidden="false" customHeight="false" outlineLevel="0" collapsed="false">
      <c r="D80" s="67"/>
      <c r="E80" s="67"/>
      <c r="F80" s="67"/>
      <c r="G80" s="67"/>
      <c r="H80" s="67"/>
      <c r="I80" s="67"/>
      <c r="J80" s="67"/>
    </row>
    <row r="81" customFormat="false" ht="14.25" hidden="false" customHeight="false" outlineLevel="0" collapsed="false">
      <c r="D81" s="67"/>
      <c r="E81" s="67"/>
      <c r="F81" s="67"/>
      <c r="G81" s="67"/>
      <c r="H81" s="67"/>
      <c r="I81" s="67"/>
      <c r="J81" s="67"/>
    </row>
    <row r="82" customFormat="false" ht="14.25" hidden="false" customHeight="false" outlineLevel="0" collapsed="false">
      <c r="D82" s="67"/>
      <c r="E82" s="67"/>
      <c r="F82" s="67"/>
      <c r="G82" s="67"/>
      <c r="H82" s="67"/>
      <c r="I82" s="67"/>
      <c r="J82" s="67"/>
    </row>
    <row r="83" customFormat="false" ht="14.25" hidden="false" customHeight="false" outlineLevel="0" collapsed="false">
      <c r="D83" s="67"/>
      <c r="E83" s="67"/>
      <c r="F83" s="67"/>
      <c r="G83" s="67"/>
      <c r="H83" s="67"/>
      <c r="I83" s="67"/>
      <c r="J83" s="67"/>
    </row>
    <row r="84" customFormat="false" ht="14.25" hidden="false" customHeight="false" outlineLevel="0" collapsed="false">
      <c r="D84" s="67"/>
      <c r="E84" s="67"/>
      <c r="F84" s="67"/>
      <c r="G84" s="67"/>
      <c r="H84" s="67"/>
      <c r="I84" s="67"/>
      <c r="J84" s="67"/>
    </row>
    <row r="85" customFormat="false" ht="14.25" hidden="false" customHeight="false" outlineLevel="0" collapsed="false">
      <c r="D85" s="67"/>
      <c r="E85" s="67"/>
      <c r="F85" s="67"/>
      <c r="G85" s="67"/>
      <c r="H85" s="67"/>
      <c r="I85" s="67"/>
      <c r="J85" s="67"/>
    </row>
    <row r="86" customFormat="false" ht="14.25" hidden="false" customHeight="false" outlineLevel="0" collapsed="false">
      <c r="D86" s="67"/>
      <c r="E86" s="67"/>
      <c r="F86" s="67"/>
      <c r="G86" s="67"/>
      <c r="H86" s="67"/>
      <c r="I86" s="67"/>
      <c r="J86" s="67"/>
    </row>
    <row r="87" customFormat="false" ht="14.25" hidden="false" customHeight="false" outlineLevel="0" collapsed="false">
      <c r="D87" s="67"/>
      <c r="E87" s="67"/>
      <c r="F87" s="67"/>
      <c r="G87" s="67"/>
      <c r="H87" s="67"/>
      <c r="I87" s="67"/>
      <c r="J87" s="67"/>
    </row>
    <row r="88" customFormat="false" ht="14.25" hidden="false" customHeight="false" outlineLevel="0" collapsed="false">
      <c r="D88" s="67"/>
      <c r="E88" s="67"/>
      <c r="F88" s="67"/>
      <c r="G88" s="67"/>
      <c r="H88" s="67"/>
      <c r="I88" s="67"/>
      <c r="J88" s="67"/>
    </row>
    <row r="89" customFormat="false" ht="14.25" hidden="false" customHeight="false" outlineLevel="0" collapsed="false">
      <c r="D89" s="67"/>
      <c r="E89" s="67"/>
      <c r="F89" s="67"/>
      <c r="G89" s="67"/>
      <c r="H89" s="67"/>
      <c r="I89" s="67"/>
      <c r="J89" s="67"/>
    </row>
    <row r="90" customFormat="false" ht="14.25" hidden="false" customHeight="false" outlineLevel="0" collapsed="false">
      <c r="D90" s="67"/>
      <c r="E90" s="67"/>
      <c r="F90" s="67"/>
      <c r="G90" s="67"/>
      <c r="H90" s="67"/>
      <c r="I90" s="67"/>
      <c r="J90" s="67"/>
    </row>
    <row r="91" customFormat="false" ht="14.25" hidden="false" customHeight="false" outlineLevel="0" collapsed="false">
      <c r="D91" s="67"/>
      <c r="E91" s="67"/>
      <c r="F91" s="67"/>
      <c r="G91" s="67"/>
      <c r="H91" s="67"/>
      <c r="I91" s="67"/>
      <c r="J91" s="67"/>
    </row>
    <row r="92" customFormat="false" ht="14.25" hidden="false" customHeight="false" outlineLevel="0" collapsed="false">
      <c r="D92" s="67"/>
      <c r="E92" s="67"/>
      <c r="F92" s="67"/>
      <c r="G92" s="67"/>
      <c r="H92" s="67"/>
      <c r="I92" s="67"/>
      <c r="J92" s="67"/>
    </row>
    <row r="93" customFormat="false" ht="14.25" hidden="false" customHeight="false" outlineLevel="0" collapsed="false">
      <c r="D93" s="67"/>
      <c r="E93" s="67"/>
      <c r="F93" s="67"/>
      <c r="G93" s="67"/>
      <c r="H93" s="67"/>
      <c r="I93" s="67"/>
      <c r="J93" s="67"/>
    </row>
    <row r="94" customFormat="false" ht="14.25" hidden="false" customHeight="false" outlineLevel="0" collapsed="false">
      <c r="D94" s="67"/>
      <c r="E94" s="67"/>
      <c r="F94" s="67"/>
      <c r="G94" s="67"/>
      <c r="H94" s="67"/>
      <c r="I94" s="67"/>
      <c r="J94" s="67"/>
    </row>
    <row r="95" customFormat="false" ht="14.25" hidden="false" customHeight="false" outlineLevel="0" collapsed="false">
      <c r="D95" s="67"/>
      <c r="E95" s="67"/>
      <c r="F95" s="67"/>
      <c r="G95" s="67"/>
      <c r="H95" s="67"/>
      <c r="I95" s="67"/>
      <c r="J95" s="67"/>
    </row>
    <row r="96" customFormat="false" ht="14.25" hidden="false" customHeight="false" outlineLevel="0" collapsed="false">
      <c r="D96" s="67"/>
      <c r="E96" s="67"/>
      <c r="F96" s="67"/>
      <c r="G96" s="67"/>
      <c r="H96" s="67"/>
      <c r="I96" s="67"/>
      <c r="J96" s="67"/>
    </row>
    <row r="97" customFormat="false" ht="14.25" hidden="false" customHeight="false" outlineLevel="0" collapsed="false">
      <c r="D97" s="67"/>
      <c r="E97" s="67"/>
      <c r="F97" s="67"/>
      <c r="G97" s="67"/>
      <c r="H97" s="67"/>
      <c r="I97" s="67"/>
      <c r="J97" s="67"/>
    </row>
    <row r="98" customFormat="false" ht="14.25" hidden="false" customHeight="false" outlineLevel="0" collapsed="false">
      <c r="D98" s="67"/>
      <c r="E98" s="67"/>
      <c r="F98" s="67"/>
      <c r="G98" s="67"/>
      <c r="H98" s="67"/>
      <c r="I98" s="67"/>
      <c r="J98" s="67"/>
    </row>
    <row r="99" customFormat="false" ht="14.25" hidden="false" customHeight="false" outlineLevel="0" collapsed="false">
      <c r="D99" s="67"/>
      <c r="E99" s="67"/>
      <c r="F99" s="67"/>
      <c r="G99" s="67"/>
      <c r="H99" s="67"/>
      <c r="I99" s="67"/>
      <c r="J99" s="67"/>
    </row>
    <row r="100" customFormat="false" ht="14.25" hidden="false" customHeight="false" outlineLevel="0" collapsed="false">
      <c r="D100" s="67"/>
      <c r="E100" s="67"/>
      <c r="F100" s="67"/>
      <c r="G100" s="67"/>
      <c r="H100" s="67"/>
      <c r="I100" s="67"/>
      <c r="J100" s="67"/>
    </row>
    <row r="101" customFormat="false" ht="14.25" hidden="false" customHeight="false" outlineLevel="0" collapsed="false">
      <c r="D101" s="67"/>
      <c r="E101" s="67"/>
      <c r="F101" s="67"/>
      <c r="G101" s="67"/>
      <c r="H101" s="67"/>
      <c r="I101" s="67"/>
      <c r="J101" s="67"/>
    </row>
    <row r="102" customFormat="false" ht="14.25" hidden="false" customHeight="false" outlineLevel="0" collapsed="false">
      <c r="D102" s="67"/>
      <c r="E102" s="67"/>
      <c r="F102" s="67"/>
      <c r="G102" s="67"/>
      <c r="H102" s="67"/>
      <c r="I102" s="67"/>
      <c r="J102" s="67"/>
    </row>
    <row r="103" customFormat="false" ht="14.25" hidden="false" customHeight="false" outlineLevel="0" collapsed="false">
      <c r="D103" s="67"/>
      <c r="E103" s="67"/>
      <c r="F103" s="67"/>
      <c r="G103" s="67"/>
      <c r="H103" s="67"/>
      <c r="I103" s="67"/>
      <c r="J103" s="67"/>
    </row>
    <row r="104" customFormat="false" ht="14.25" hidden="false" customHeight="false" outlineLevel="0" collapsed="false">
      <c r="D104" s="67"/>
      <c r="E104" s="67"/>
      <c r="F104" s="67"/>
      <c r="G104" s="67"/>
      <c r="H104" s="67"/>
      <c r="I104" s="67"/>
      <c r="J104" s="67"/>
    </row>
    <row r="105" customFormat="false" ht="14.25" hidden="false" customHeight="false" outlineLevel="0" collapsed="false">
      <c r="D105" s="67"/>
      <c r="E105" s="67"/>
      <c r="F105" s="67"/>
      <c r="G105" s="67"/>
      <c r="H105" s="67"/>
      <c r="I105" s="67"/>
      <c r="J105" s="67"/>
    </row>
    <row r="106" customFormat="false" ht="14.25" hidden="false" customHeight="false" outlineLevel="0" collapsed="false">
      <c r="D106" s="67"/>
      <c r="E106" s="67"/>
      <c r="F106" s="67"/>
      <c r="G106" s="67"/>
      <c r="H106" s="67"/>
      <c r="I106" s="67"/>
      <c r="J106" s="67"/>
    </row>
    <row r="107" customFormat="false" ht="14.25" hidden="false" customHeight="false" outlineLevel="0" collapsed="false">
      <c r="D107" s="67"/>
      <c r="E107" s="67"/>
      <c r="F107" s="67"/>
      <c r="G107" s="67"/>
      <c r="H107" s="67"/>
      <c r="I107" s="67"/>
      <c r="J107" s="67"/>
    </row>
    <row r="108" customFormat="false" ht="14.25" hidden="false" customHeight="false" outlineLevel="0" collapsed="false">
      <c r="D108" s="67"/>
      <c r="E108" s="67"/>
      <c r="F108" s="67"/>
      <c r="G108" s="67"/>
      <c r="H108" s="67"/>
      <c r="I108" s="67"/>
      <c r="J108" s="67"/>
    </row>
    <row r="109" customFormat="false" ht="14.25" hidden="false" customHeight="false" outlineLevel="0" collapsed="false">
      <c r="D109" s="67"/>
      <c r="E109" s="67"/>
      <c r="F109" s="67"/>
      <c r="G109" s="67"/>
      <c r="H109" s="67"/>
      <c r="I109" s="67"/>
      <c r="J109" s="67"/>
    </row>
    <row r="110" customFormat="false" ht="14.25" hidden="false" customHeight="false" outlineLevel="0" collapsed="false">
      <c r="D110" s="67"/>
      <c r="E110" s="67"/>
      <c r="F110" s="67"/>
      <c r="G110" s="67"/>
      <c r="H110" s="67"/>
      <c r="I110" s="67"/>
      <c r="J110" s="67"/>
    </row>
    <row r="111" customFormat="false" ht="14.25" hidden="false" customHeight="false" outlineLevel="0" collapsed="false">
      <c r="D111" s="67"/>
      <c r="E111" s="67"/>
      <c r="F111" s="67"/>
      <c r="G111" s="67"/>
      <c r="H111" s="67"/>
      <c r="I111" s="67"/>
      <c r="J111" s="67"/>
    </row>
    <row r="112" customFormat="false" ht="14.25" hidden="false" customHeight="false" outlineLevel="0" collapsed="false">
      <c r="D112" s="67"/>
      <c r="E112" s="67"/>
      <c r="F112" s="67"/>
      <c r="G112" s="67"/>
      <c r="H112" s="67"/>
      <c r="I112" s="67"/>
      <c r="J112" s="67"/>
    </row>
    <row r="113" customFormat="false" ht="14.25" hidden="false" customHeight="false" outlineLevel="0" collapsed="false">
      <c r="D113" s="67"/>
      <c r="E113" s="67"/>
      <c r="F113" s="67"/>
      <c r="G113" s="67"/>
      <c r="H113" s="67"/>
      <c r="I113" s="67"/>
      <c r="J113" s="67"/>
    </row>
    <row r="114" customFormat="false" ht="14.25" hidden="false" customHeight="false" outlineLevel="0" collapsed="false">
      <c r="D114" s="67"/>
      <c r="E114" s="67"/>
      <c r="F114" s="67"/>
      <c r="G114" s="67"/>
      <c r="H114" s="67"/>
      <c r="I114" s="67"/>
      <c r="J114" s="67"/>
    </row>
    <row r="115" customFormat="false" ht="14.25" hidden="false" customHeight="false" outlineLevel="0" collapsed="false">
      <c r="D115" s="67"/>
      <c r="E115" s="67"/>
      <c r="F115" s="67"/>
      <c r="G115" s="67"/>
      <c r="H115" s="67"/>
      <c r="I115" s="67"/>
      <c r="J115" s="67"/>
    </row>
    <row r="116" customFormat="false" ht="14.25" hidden="false" customHeight="false" outlineLevel="0" collapsed="false">
      <c r="D116" s="67"/>
      <c r="E116" s="67"/>
      <c r="F116" s="67"/>
      <c r="G116" s="67"/>
      <c r="H116" s="67"/>
      <c r="I116" s="67"/>
      <c r="J116" s="67"/>
    </row>
    <row r="117" customFormat="false" ht="14.25" hidden="false" customHeight="false" outlineLevel="0" collapsed="false">
      <c r="D117" s="67"/>
      <c r="E117" s="67"/>
      <c r="F117" s="67"/>
      <c r="G117" s="67"/>
      <c r="H117" s="67"/>
      <c r="I117" s="67"/>
      <c r="J117" s="67"/>
    </row>
    <row r="118" customFormat="false" ht="14.25" hidden="false" customHeight="false" outlineLevel="0" collapsed="false">
      <c r="D118" s="67"/>
      <c r="E118" s="67"/>
      <c r="F118" s="67"/>
      <c r="G118" s="67"/>
      <c r="H118" s="67"/>
      <c r="I118" s="67"/>
      <c r="J118" s="67"/>
    </row>
    <row r="119" customFormat="false" ht="14.25" hidden="false" customHeight="false" outlineLevel="0" collapsed="false">
      <c r="D119" s="67"/>
      <c r="E119" s="67"/>
      <c r="F119" s="67"/>
      <c r="G119" s="67"/>
      <c r="H119" s="67"/>
      <c r="I119" s="67"/>
      <c r="J119" s="67"/>
    </row>
    <row r="120" customFormat="false" ht="14.25" hidden="false" customHeight="false" outlineLevel="0" collapsed="false">
      <c r="D120" s="67"/>
      <c r="E120" s="67"/>
      <c r="F120" s="67"/>
      <c r="G120" s="67"/>
      <c r="H120" s="67"/>
      <c r="I120" s="67"/>
      <c r="J120" s="67"/>
    </row>
    <row r="121" customFormat="false" ht="14.25" hidden="false" customHeight="false" outlineLevel="0" collapsed="false">
      <c r="D121" s="67"/>
      <c r="E121" s="67"/>
      <c r="F121" s="67"/>
      <c r="G121" s="67"/>
      <c r="H121" s="67"/>
      <c r="I121" s="67"/>
      <c r="J121" s="67"/>
    </row>
    <row r="122" customFormat="false" ht="14.25" hidden="false" customHeight="false" outlineLevel="0" collapsed="false">
      <c r="D122" s="67"/>
      <c r="E122" s="67"/>
      <c r="F122" s="67"/>
      <c r="G122" s="67"/>
      <c r="H122" s="67"/>
      <c r="I122" s="67"/>
      <c r="J122" s="67"/>
    </row>
    <row r="123" customFormat="false" ht="14.25" hidden="false" customHeight="false" outlineLevel="0" collapsed="false">
      <c r="D123" s="67"/>
      <c r="E123" s="67"/>
      <c r="F123" s="67"/>
      <c r="G123" s="67"/>
      <c r="H123" s="67"/>
      <c r="I123" s="67"/>
      <c r="J123" s="67"/>
    </row>
    <row r="124" customFormat="false" ht="14.25" hidden="false" customHeight="false" outlineLevel="0" collapsed="false">
      <c r="D124" s="67"/>
      <c r="E124" s="67"/>
      <c r="F124" s="67"/>
      <c r="G124" s="67"/>
      <c r="H124" s="67"/>
      <c r="I124" s="67"/>
      <c r="J124" s="67"/>
    </row>
    <row r="125" customFormat="false" ht="14.25" hidden="false" customHeight="false" outlineLevel="0" collapsed="false">
      <c r="D125" s="67"/>
      <c r="E125" s="67"/>
      <c r="F125" s="67"/>
      <c r="G125" s="67"/>
      <c r="H125" s="67"/>
      <c r="I125" s="67"/>
      <c r="J125" s="67"/>
    </row>
    <row r="126" customFormat="false" ht="14.25" hidden="false" customHeight="false" outlineLevel="0" collapsed="false">
      <c r="D126" s="67"/>
      <c r="E126" s="67"/>
      <c r="F126" s="67"/>
      <c r="G126" s="67"/>
      <c r="H126" s="67"/>
      <c r="I126" s="67"/>
      <c r="J126" s="67"/>
    </row>
    <row r="127" customFormat="false" ht="14.25" hidden="false" customHeight="false" outlineLevel="0" collapsed="false">
      <c r="D127" s="67"/>
      <c r="E127" s="67"/>
      <c r="F127" s="67"/>
      <c r="G127" s="67"/>
      <c r="H127" s="67"/>
      <c r="I127" s="67"/>
      <c r="J127" s="67"/>
    </row>
    <row r="128" customFormat="false" ht="14.25" hidden="false" customHeight="false" outlineLevel="0" collapsed="false">
      <c r="D128" s="67"/>
      <c r="E128" s="67"/>
      <c r="F128" s="67"/>
      <c r="G128" s="67"/>
      <c r="H128" s="67"/>
      <c r="I128" s="67"/>
      <c r="J128" s="67"/>
    </row>
    <row r="129" customFormat="false" ht="14.25" hidden="false" customHeight="false" outlineLevel="0" collapsed="false">
      <c r="D129" s="67"/>
      <c r="E129" s="67"/>
      <c r="F129" s="67"/>
      <c r="G129" s="67"/>
      <c r="H129" s="67"/>
      <c r="I129" s="67"/>
      <c r="J129" s="67"/>
    </row>
    <row r="130" customFormat="false" ht="14.25" hidden="false" customHeight="false" outlineLevel="0" collapsed="false">
      <c r="D130" s="67"/>
      <c r="E130" s="67"/>
      <c r="F130" s="67"/>
      <c r="G130" s="67"/>
      <c r="H130" s="67"/>
      <c r="I130" s="67"/>
      <c r="J130" s="67"/>
    </row>
    <row r="131" customFormat="false" ht="14.25" hidden="false" customHeight="false" outlineLevel="0" collapsed="false">
      <c r="D131" s="67"/>
      <c r="E131" s="67"/>
      <c r="F131" s="67"/>
      <c r="G131" s="67"/>
      <c r="H131" s="67"/>
      <c r="I131" s="67"/>
      <c r="J131" s="67"/>
    </row>
    <row r="132" customFormat="false" ht="14.25" hidden="false" customHeight="false" outlineLevel="0" collapsed="false">
      <c r="D132" s="67"/>
      <c r="E132" s="67"/>
      <c r="F132" s="67"/>
      <c r="G132" s="67"/>
      <c r="H132" s="67"/>
      <c r="I132" s="67"/>
      <c r="J132" s="67"/>
    </row>
    <row r="133" customFormat="false" ht="14.25" hidden="false" customHeight="false" outlineLevel="0" collapsed="false">
      <c r="D133" s="67"/>
      <c r="E133" s="67"/>
      <c r="F133" s="67"/>
      <c r="G133" s="67"/>
      <c r="H133" s="67"/>
      <c r="I133" s="67"/>
      <c r="J133" s="67"/>
    </row>
    <row r="134" customFormat="false" ht="14.25" hidden="false" customHeight="false" outlineLevel="0" collapsed="false">
      <c r="D134" s="67"/>
      <c r="E134" s="67"/>
      <c r="F134" s="67"/>
      <c r="G134" s="67"/>
      <c r="H134" s="67"/>
      <c r="I134" s="67"/>
      <c r="J134" s="67"/>
    </row>
    <row r="135" customFormat="false" ht="14.25" hidden="false" customHeight="false" outlineLevel="0" collapsed="false">
      <c r="D135" s="67"/>
      <c r="E135" s="67"/>
      <c r="F135" s="67"/>
      <c r="G135" s="67"/>
      <c r="H135" s="67"/>
      <c r="I135" s="67"/>
      <c r="J135" s="67"/>
    </row>
    <row r="136" customFormat="false" ht="14.25" hidden="false" customHeight="false" outlineLevel="0" collapsed="false">
      <c r="D136" s="67"/>
      <c r="E136" s="67"/>
      <c r="F136" s="67"/>
      <c r="G136" s="67"/>
      <c r="H136" s="67"/>
      <c r="I136" s="67"/>
      <c r="J136" s="67"/>
    </row>
    <row r="137" customFormat="false" ht="14.25" hidden="false" customHeight="false" outlineLevel="0" collapsed="false">
      <c r="D137" s="67"/>
      <c r="E137" s="67"/>
      <c r="F137" s="67"/>
      <c r="G137" s="67"/>
      <c r="H137" s="67"/>
      <c r="I137" s="67"/>
      <c r="J137" s="67"/>
    </row>
    <row r="138" customFormat="false" ht="14.25" hidden="false" customHeight="false" outlineLevel="0" collapsed="false">
      <c r="D138" s="67"/>
      <c r="E138" s="67"/>
      <c r="F138" s="67"/>
      <c r="G138" s="67"/>
      <c r="H138" s="67"/>
      <c r="I138" s="67"/>
      <c r="J138" s="67"/>
    </row>
    <row r="139" customFormat="false" ht="14.25" hidden="false" customHeight="false" outlineLevel="0" collapsed="false">
      <c r="D139" s="67"/>
      <c r="E139" s="67"/>
      <c r="F139" s="67"/>
      <c r="G139" s="67"/>
      <c r="H139" s="67"/>
      <c r="I139" s="67"/>
      <c r="J139" s="67"/>
    </row>
    <row r="140" customFormat="false" ht="14.25" hidden="false" customHeight="false" outlineLevel="0" collapsed="false">
      <c r="D140" s="67"/>
      <c r="E140" s="67"/>
      <c r="F140" s="67"/>
      <c r="G140" s="67"/>
      <c r="H140" s="67"/>
      <c r="I140" s="67"/>
      <c r="J140" s="67"/>
    </row>
    <row r="141" customFormat="false" ht="14.25" hidden="false" customHeight="false" outlineLevel="0" collapsed="false">
      <c r="D141" s="67"/>
      <c r="E141" s="67"/>
      <c r="F141" s="67"/>
      <c r="G141" s="67"/>
      <c r="H141" s="67"/>
      <c r="I141" s="67"/>
      <c r="J141" s="67"/>
    </row>
    <row r="142" customFormat="false" ht="14.25" hidden="false" customHeight="false" outlineLevel="0" collapsed="false">
      <c r="D142" s="67"/>
      <c r="E142" s="67"/>
      <c r="F142" s="67"/>
      <c r="G142" s="67"/>
      <c r="H142" s="67"/>
      <c r="I142" s="67"/>
      <c r="J142" s="67"/>
    </row>
    <row r="143" customFormat="false" ht="14.25" hidden="false" customHeight="false" outlineLevel="0" collapsed="false">
      <c r="D143" s="67"/>
      <c r="E143" s="67"/>
      <c r="F143" s="67"/>
      <c r="G143" s="67"/>
      <c r="H143" s="67"/>
      <c r="I143" s="67"/>
      <c r="J143" s="67"/>
    </row>
    <row r="144" customFormat="false" ht="14.25" hidden="false" customHeight="false" outlineLevel="0" collapsed="false">
      <c r="D144" s="67"/>
      <c r="E144" s="67"/>
      <c r="F144" s="67"/>
      <c r="G144" s="67"/>
      <c r="H144" s="67"/>
      <c r="I144" s="67"/>
      <c r="J144" s="67"/>
    </row>
    <row r="145" customFormat="false" ht="14.25" hidden="false" customHeight="false" outlineLevel="0" collapsed="false">
      <c r="D145" s="67"/>
      <c r="E145" s="67"/>
      <c r="F145" s="67"/>
      <c r="G145" s="67"/>
      <c r="H145" s="67"/>
      <c r="I145" s="67"/>
      <c r="J145" s="67"/>
    </row>
    <row r="146" customFormat="false" ht="14.25" hidden="false" customHeight="false" outlineLevel="0" collapsed="false">
      <c r="D146" s="67"/>
      <c r="E146" s="67"/>
      <c r="F146" s="67"/>
      <c r="G146" s="67"/>
      <c r="H146" s="67"/>
      <c r="I146" s="67"/>
      <c r="J146" s="67"/>
    </row>
    <row r="147" customFormat="false" ht="14.25" hidden="false" customHeight="false" outlineLevel="0" collapsed="false">
      <c r="D147" s="67"/>
      <c r="E147" s="67"/>
      <c r="F147" s="67"/>
      <c r="G147" s="67"/>
      <c r="H147" s="67"/>
      <c r="I147" s="67"/>
      <c r="J147" s="67"/>
    </row>
    <row r="148" customFormat="false" ht="14.25" hidden="false" customHeight="false" outlineLevel="0" collapsed="false">
      <c r="D148" s="67"/>
      <c r="E148" s="67"/>
      <c r="F148" s="67"/>
      <c r="G148" s="67"/>
      <c r="H148" s="67"/>
      <c r="I148" s="67"/>
      <c r="J148" s="67"/>
    </row>
    <row r="149" customFormat="false" ht="14.25" hidden="false" customHeight="false" outlineLevel="0" collapsed="false">
      <c r="D149" s="67"/>
      <c r="E149" s="67"/>
      <c r="F149" s="67"/>
      <c r="G149" s="67"/>
      <c r="H149" s="67"/>
      <c r="I149" s="67"/>
      <c r="J149" s="67"/>
    </row>
    <row r="150" customFormat="false" ht="14.25" hidden="false" customHeight="false" outlineLevel="0" collapsed="false">
      <c r="D150" s="67"/>
      <c r="E150" s="67"/>
      <c r="F150" s="67"/>
      <c r="G150" s="67"/>
      <c r="H150" s="67"/>
      <c r="I150" s="67"/>
      <c r="J150" s="67"/>
    </row>
    <row r="151" customFormat="false" ht="14.25" hidden="false" customHeight="false" outlineLevel="0" collapsed="false">
      <c r="D151" s="67"/>
      <c r="E151" s="67"/>
      <c r="F151" s="67"/>
      <c r="G151" s="67"/>
      <c r="H151" s="67"/>
      <c r="I151" s="67"/>
      <c r="J151" s="67"/>
    </row>
    <row r="152" customFormat="false" ht="14.25" hidden="false" customHeight="false" outlineLevel="0" collapsed="false">
      <c r="D152" s="67"/>
      <c r="E152" s="67"/>
      <c r="F152" s="67"/>
      <c r="G152" s="67"/>
      <c r="H152" s="67"/>
      <c r="I152" s="67"/>
      <c r="J152" s="67"/>
    </row>
    <row r="153" customFormat="false" ht="14.25" hidden="false" customHeight="false" outlineLevel="0" collapsed="false">
      <c r="D153" s="67"/>
      <c r="E153" s="67"/>
      <c r="F153" s="67"/>
      <c r="G153" s="67"/>
      <c r="H153" s="67"/>
      <c r="I153" s="67"/>
      <c r="J153" s="67"/>
    </row>
    <row r="154" customFormat="false" ht="14.25" hidden="false" customHeight="false" outlineLevel="0" collapsed="false">
      <c r="D154" s="67"/>
      <c r="E154" s="67"/>
      <c r="F154" s="67"/>
      <c r="G154" s="67"/>
      <c r="H154" s="67"/>
      <c r="I154" s="67"/>
      <c r="J154" s="67"/>
    </row>
    <row r="155" customFormat="false" ht="14.25" hidden="false" customHeight="false" outlineLevel="0" collapsed="false">
      <c r="D155" s="67"/>
      <c r="E155" s="67"/>
      <c r="F155" s="67"/>
      <c r="G155" s="67"/>
      <c r="H155" s="67"/>
      <c r="I155" s="67"/>
      <c r="J155" s="67"/>
    </row>
    <row r="156" customFormat="false" ht="14.25" hidden="false" customHeight="false" outlineLevel="0" collapsed="false">
      <c r="D156" s="67"/>
      <c r="E156" s="67"/>
      <c r="F156" s="67"/>
      <c r="G156" s="67"/>
      <c r="H156" s="67"/>
      <c r="I156" s="67"/>
      <c r="J156" s="67"/>
    </row>
    <row r="157" customFormat="false" ht="14.25" hidden="false" customHeight="false" outlineLevel="0" collapsed="false">
      <c r="D157" s="67"/>
      <c r="E157" s="67"/>
      <c r="F157" s="67"/>
      <c r="G157" s="67"/>
      <c r="H157" s="67"/>
      <c r="I157" s="67"/>
      <c r="J157" s="67"/>
    </row>
    <row r="158" customFormat="false" ht="14.25" hidden="false" customHeight="false" outlineLevel="0" collapsed="false">
      <c r="D158" s="67"/>
      <c r="E158" s="67"/>
      <c r="F158" s="67"/>
      <c r="G158" s="67"/>
      <c r="H158" s="67"/>
      <c r="I158" s="67"/>
      <c r="J158" s="67"/>
    </row>
    <row r="159" customFormat="false" ht="14.25" hidden="false" customHeight="false" outlineLevel="0" collapsed="false">
      <c r="D159" s="67"/>
      <c r="E159" s="67"/>
      <c r="F159" s="67"/>
      <c r="G159" s="67"/>
      <c r="H159" s="67"/>
      <c r="I159" s="67"/>
      <c r="J159" s="67"/>
    </row>
    <row r="160" customFormat="false" ht="14.25" hidden="false" customHeight="false" outlineLevel="0" collapsed="false">
      <c r="D160" s="67"/>
      <c r="E160" s="67"/>
      <c r="F160" s="67"/>
      <c r="G160" s="67"/>
      <c r="H160" s="67"/>
      <c r="I160" s="67"/>
      <c r="J160" s="67"/>
    </row>
    <row r="161" customFormat="false" ht="14.25" hidden="false" customHeight="false" outlineLevel="0" collapsed="false">
      <c r="D161" s="67"/>
      <c r="E161" s="67"/>
      <c r="F161" s="67"/>
      <c r="G161" s="67"/>
      <c r="H161" s="67"/>
      <c r="I161" s="67"/>
      <c r="J161" s="67"/>
    </row>
    <row r="162" customFormat="false" ht="14.25" hidden="false" customHeight="false" outlineLevel="0" collapsed="false">
      <c r="D162" s="67"/>
      <c r="E162" s="67"/>
      <c r="F162" s="67"/>
      <c r="G162" s="67"/>
      <c r="H162" s="67"/>
      <c r="I162" s="67"/>
      <c r="J162" s="67"/>
    </row>
    <row r="163" customFormat="false" ht="14.25" hidden="false" customHeight="false" outlineLevel="0" collapsed="false">
      <c r="D163" s="67"/>
      <c r="E163" s="67"/>
      <c r="F163" s="67"/>
      <c r="G163" s="67"/>
      <c r="H163" s="67"/>
      <c r="I163" s="67"/>
      <c r="J163" s="67"/>
    </row>
    <row r="164" customFormat="false" ht="14.25" hidden="false" customHeight="false" outlineLevel="0" collapsed="false">
      <c r="D164" s="67"/>
      <c r="E164" s="67"/>
      <c r="F164" s="67"/>
      <c r="G164" s="67"/>
      <c r="H164" s="67"/>
      <c r="I164" s="67"/>
      <c r="J164" s="67"/>
    </row>
    <row r="165" customFormat="false" ht="14.25" hidden="false" customHeight="false" outlineLevel="0" collapsed="false">
      <c r="D165" s="67"/>
      <c r="E165" s="67"/>
      <c r="F165" s="67"/>
      <c r="G165" s="67"/>
      <c r="H165" s="67"/>
      <c r="I165" s="67"/>
      <c r="J165" s="67"/>
    </row>
    <row r="166" customFormat="false" ht="14.25" hidden="false" customHeight="false" outlineLevel="0" collapsed="false">
      <c r="D166" s="67"/>
      <c r="E166" s="67"/>
      <c r="F166" s="67"/>
      <c r="G166" s="67"/>
      <c r="H166" s="67"/>
      <c r="I166" s="67"/>
      <c r="J166" s="67"/>
    </row>
    <row r="167" customFormat="false" ht="14.25" hidden="false" customHeight="false" outlineLevel="0" collapsed="false">
      <c r="D167" s="67"/>
      <c r="E167" s="67"/>
      <c r="F167" s="67"/>
      <c r="G167" s="67"/>
      <c r="H167" s="67"/>
      <c r="I167" s="67"/>
      <c r="J167" s="67"/>
    </row>
    <row r="168" customFormat="false" ht="14.25" hidden="false" customHeight="false" outlineLevel="0" collapsed="false">
      <c r="D168" s="67"/>
      <c r="E168" s="67"/>
      <c r="F168" s="67"/>
      <c r="G168" s="67"/>
      <c r="H168" s="67"/>
      <c r="I168" s="67"/>
      <c r="J168" s="67"/>
    </row>
    <row r="169" customFormat="false" ht="14.25" hidden="false" customHeight="false" outlineLevel="0" collapsed="false">
      <c r="D169" s="67"/>
      <c r="E169" s="67"/>
      <c r="F169" s="67"/>
      <c r="G169" s="67"/>
      <c r="H169" s="67"/>
      <c r="I169" s="67"/>
      <c r="J169" s="67"/>
    </row>
    <row r="170" customFormat="false" ht="14.25" hidden="false" customHeight="false" outlineLevel="0" collapsed="false">
      <c r="D170" s="67"/>
      <c r="E170" s="67"/>
      <c r="F170" s="67"/>
      <c r="G170" s="67"/>
      <c r="H170" s="67"/>
      <c r="I170" s="67"/>
      <c r="J170" s="67"/>
    </row>
    <row r="171" customFormat="false" ht="14.25" hidden="false" customHeight="false" outlineLevel="0" collapsed="false">
      <c r="D171" s="67"/>
      <c r="E171" s="67"/>
      <c r="F171" s="67"/>
      <c r="G171" s="67"/>
      <c r="H171" s="67"/>
      <c r="I171" s="67"/>
      <c r="J171" s="67"/>
    </row>
  </sheetData>
  <conditionalFormatting sqref="A1:AE1048576">
    <cfRule type="cellIs" priority="2" operator="lessThan" aboveAverage="0" equalAverage="0" bottom="0" percent="0" rank="0" text="" dxfId="1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O67"/>
  <sheetViews>
    <sheetView showFormulas="false" showGridLines="true" showRowColHeaders="true" showZeros="true" rightToLeft="false" tabSelected="false" showOutlineSymbols="true" defaultGridColor="true" view="normal" topLeftCell="A2" colorId="64" zoomScale="120" zoomScaleNormal="120" zoomScalePageLayoutView="100" workbookViewId="0">
      <selection pane="topLeft" activeCell="F2" activeCellId="0" sqref="F2"/>
    </sheetView>
  </sheetViews>
  <sheetFormatPr defaultColWidth="9.11328125" defaultRowHeight="14.25" zeroHeight="false" outlineLevelRow="0" outlineLevelCol="0"/>
  <cols>
    <col collapsed="false" customWidth="false" hidden="false" outlineLevel="0" max="5" min="1" style="17" width="9.11"/>
    <col collapsed="false" customWidth="true" hidden="false" outlineLevel="0" max="6" min="6" style="17" width="13.11"/>
    <col collapsed="false" customWidth="true" hidden="false" outlineLevel="0" max="7" min="7" style="17" width="9.33"/>
    <col collapsed="false" customWidth="true" hidden="false" outlineLevel="0" max="9" min="8" style="17" width="10.44"/>
    <col collapsed="false" customWidth="true" hidden="false" outlineLevel="0" max="30" min="10" style="17" width="10.66"/>
    <col collapsed="false" customWidth="true" hidden="false" outlineLevel="0" max="31" min="31" style="17" width="15.66"/>
    <col collapsed="false" customWidth="true" hidden="false" outlineLevel="0" max="44" min="32" style="17" width="10.66"/>
    <col collapsed="false" customWidth="true" hidden="false" outlineLevel="0" max="66" min="45" style="17" width="11.66"/>
    <col collapsed="false" customWidth="false" hidden="false" outlineLevel="0" max="16384" min="67" style="17" width="9.11"/>
  </cols>
  <sheetData>
    <row r="2" customFormat="false" ht="14.25" hidden="false" customHeight="false" outlineLevel="0" collapsed="false">
      <c r="F2" s="3" t="s">
        <v>106</v>
      </c>
      <c r="G2" s="19" t="n">
        <f aca="false">+'Inputs &amp; Assuptions'!$B$4</f>
        <v>6000</v>
      </c>
      <c r="BN2" s="70"/>
    </row>
    <row r="3" customFormat="false" ht="14.25" hidden="false" customHeight="false" outlineLevel="0" collapsed="false">
      <c r="F3" s="3" t="s">
        <v>107</v>
      </c>
      <c r="G3" s="54" t="n">
        <f aca="false">+'Inputs &amp; Assuptions'!$B$5</f>
        <v>0.05</v>
      </c>
      <c r="BN3" s="70"/>
    </row>
    <row r="4" customFormat="false" ht="14.25" hidden="false" customHeight="false" outlineLevel="0" collapsed="false">
      <c r="BN4" s="70"/>
    </row>
    <row r="5" customFormat="false" ht="14.25" hidden="false" customHeight="false" outlineLevel="0" collapsed="false">
      <c r="A5" s="3"/>
      <c r="B5" s="4" t="s">
        <v>108</v>
      </c>
      <c r="C5" s="4" t="s">
        <v>109</v>
      </c>
      <c r="E5" s="3" t="s">
        <v>16</v>
      </c>
      <c r="F5" s="4" t="n">
        <v>1</v>
      </c>
      <c r="G5" s="4" t="n">
        <f aca="false">+F5+1</f>
        <v>2</v>
      </c>
      <c r="H5" s="4" t="n">
        <f aca="false">+G5+1</f>
        <v>3</v>
      </c>
      <c r="I5" s="4" t="n">
        <f aca="false">+H5+1</f>
        <v>4</v>
      </c>
      <c r="J5" s="4" t="n">
        <f aca="false">+I5+1</f>
        <v>5</v>
      </c>
      <c r="K5" s="4" t="n">
        <f aca="false">+J5+1</f>
        <v>6</v>
      </c>
      <c r="L5" s="4" t="n">
        <f aca="false">+K5+1</f>
        <v>7</v>
      </c>
      <c r="M5" s="4" t="n">
        <f aca="false">+L5+1</f>
        <v>8</v>
      </c>
      <c r="N5" s="4" t="n">
        <f aca="false">+M5+1</f>
        <v>9</v>
      </c>
      <c r="O5" s="4" t="n">
        <f aca="false">+N5+1</f>
        <v>10</v>
      </c>
      <c r="P5" s="4" t="n">
        <f aca="false">+O5+1</f>
        <v>11</v>
      </c>
      <c r="Q5" s="4" t="n">
        <f aca="false">+P5+1</f>
        <v>12</v>
      </c>
      <c r="R5" s="4" t="n">
        <f aca="false">+Q5+1</f>
        <v>13</v>
      </c>
      <c r="S5" s="4" t="n">
        <f aca="false">+R5+1</f>
        <v>14</v>
      </c>
      <c r="T5" s="4" t="n">
        <f aca="false">+S5+1</f>
        <v>15</v>
      </c>
      <c r="U5" s="4" t="n">
        <f aca="false">+T5+1</f>
        <v>16</v>
      </c>
      <c r="V5" s="4" t="n">
        <f aca="false">+U5+1</f>
        <v>17</v>
      </c>
      <c r="W5" s="4" t="n">
        <f aca="false">+V5+1</f>
        <v>18</v>
      </c>
      <c r="X5" s="4" t="n">
        <f aca="false">+W5+1</f>
        <v>19</v>
      </c>
      <c r="Y5" s="4" t="n">
        <f aca="false">+X5+1</f>
        <v>20</v>
      </c>
      <c r="Z5" s="4" t="n">
        <f aca="false">+Y5+1</f>
        <v>21</v>
      </c>
      <c r="AA5" s="4" t="n">
        <f aca="false">+Z5+1</f>
        <v>22</v>
      </c>
      <c r="AB5" s="4" t="n">
        <f aca="false">+AA5+1</f>
        <v>23</v>
      </c>
      <c r="AC5" s="4" t="n">
        <f aca="false">+AB5+1</f>
        <v>24</v>
      </c>
      <c r="AD5" s="4" t="n">
        <f aca="false">+AC5+1</f>
        <v>25</v>
      </c>
      <c r="AE5" s="4" t="n">
        <f aca="false">+AD5+1</f>
        <v>26</v>
      </c>
      <c r="AF5" s="4" t="n">
        <f aca="false">+AE5+1</f>
        <v>27</v>
      </c>
      <c r="AG5" s="4" t="n">
        <f aca="false">+AF5+1</f>
        <v>28</v>
      </c>
      <c r="AH5" s="4" t="n">
        <f aca="false">+AG5+1</f>
        <v>29</v>
      </c>
      <c r="AI5" s="4" t="n">
        <f aca="false">+AH5+1</f>
        <v>30</v>
      </c>
      <c r="AJ5" s="4" t="n">
        <f aca="false">+AI5+1</f>
        <v>31</v>
      </c>
      <c r="AK5" s="4" t="n">
        <f aca="false">+AJ5+1</f>
        <v>32</v>
      </c>
      <c r="AL5" s="4" t="n">
        <f aca="false">+AK5+1</f>
        <v>33</v>
      </c>
      <c r="AM5" s="4" t="n">
        <f aca="false">+AL5+1</f>
        <v>34</v>
      </c>
      <c r="AN5" s="4" t="n">
        <f aca="false">+AM5+1</f>
        <v>35</v>
      </c>
      <c r="AO5" s="4" t="n">
        <f aca="false">+AN5+1</f>
        <v>36</v>
      </c>
      <c r="AP5" s="4" t="n">
        <f aca="false">+AO5+1</f>
        <v>37</v>
      </c>
      <c r="AQ5" s="4" t="n">
        <f aca="false">+AP5+1</f>
        <v>38</v>
      </c>
      <c r="AR5" s="4" t="n">
        <f aca="false">+AQ5+1</f>
        <v>39</v>
      </c>
      <c r="AS5" s="4" t="n">
        <f aca="false">+AR5+1</f>
        <v>40</v>
      </c>
      <c r="AT5" s="4" t="n">
        <f aca="false">+AS5+1</f>
        <v>41</v>
      </c>
      <c r="AU5" s="4" t="n">
        <f aca="false">+AT5+1</f>
        <v>42</v>
      </c>
      <c r="AV5" s="4" t="n">
        <f aca="false">+AU5+1</f>
        <v>43</v>
      </c>
      <c r="AW5" s="4" t="n">
        <f aca="false">+AV5+1</f>
        <v>44</v>
      </c>
      <c r="AX5" s="4" t="n">
        <f aca="false">+AW5+1</f>
        <v>45</v>
      </c>
      <c r="AY5" s="4" t="n">
        <f aca="false">+AX5+1</f>
        <v>46</v>
      </c>
      <c r="AZ5" s="4" t="n">
        <f aca="false">+AY5+1</f>
        <v>47</v>
      </c>
      <c r="BA5" s="4" t="n">
        <f aca="false">+AZ5+1</f>
        <v>48</v>
      </c>
      <c r="BB5" s="4" t="n">
        <f aca="false">+BA5+1</f>
        <v>49</v>
      </c>
      <c r="BC5" s="4" t="n">
        <f aca="false">+BB5+1</f>
        <v>50</v>
      </c>
      <c r="BD5" s="4" t="n">
        <f aca="false">+BC5+1</f>
        <v>51</v>
      </c>
      <c r="BE5" s="4" t="n">
        <f aca="false">+BD5+1</f>
        <v>52</v>
      </c>
      <c r="BF5" s="4" t="n">
        <f aca="false">+BE5+1</f>
        <v>53</v>
      </c>
      <c r="BG5" s="4" t="n">
        <f aca="false">+BF5+1</f>
        <v>54</v>
      </c>
      <c r="BH5" s="4" t="n">
        <f aca="false">+BG5+1</f>
        <v>55</v>
      </c>
      <c r="BI5" s="4" t="n">
        <f aca="false">+BH5+1</f>
        <v>56</v>
      </c>
      <c r="BJ5" s="4" t="n">
        <f aca="false">+BI5+1</f>
        <v>57</v>
      </c>
      <c r="BK5" s="4" t="n">
        <f aca="false">+BJ5+1</f>
        <v>58</v>
      </c>
      <c r="BL5" s="4" t="n">
        <f aca="false">+BK5+1</f>
        <v>59</v>
      </c>
      <c r="BM5" s="4" t="n">
        <f aca="false">+BL5+1</f>
        <v>60</v>
      </c>
    </row>
    <row r="6" customFormat="false" ht="14.25" hidden="false" customHeight="false" outlineLevel="0" collapsed="false">
      <c r="A6" s="29" t="n">
        <v>1</v>
      </c>
      <c r="B6" s="71" t="n">
        <f aca="false">IF(MOD($A6, 12) = 0, $G$2 * 1.05, $G$2)</f>
        <v>6000</v>
      </c>
      <c r="C6" s="72" t="n">
        <f aca="false">$B6*(1-'Inputs &amp; Assuptions'!$B$12)</f>
        <v>3480</v>
      </c>
      <c r="E6" s="29" t="n">
        <v>1</v>
      </c>
      <c r="F6" s="73" t="n">
        <f aca="false">+$C6</f>
        <v>3480</v>
      </c>
      <c r="G6" s="74" t="n">
        <f aca="false" t="array" ref="G6:G6">IF(COLUMN() - ($E6 + 5) &lt; 0, 0,
  IF(COLUMN() - ($E6 + 5) = 0, $F6,
    F6 * (1 - IFERROR(INDEX('Inputs &amp; Assuptions'!$B$13:$B$72, COLUMN() - ($E6 + 5)), 0))
  )
)</f>
        <v>3114.6</v>
      </c>
      <c r="H6" s="74" t="n">
        <f aca="false" t="array" ref="H6:H6">IF(COLUMN() - ($E6 + 5) &lt; 0, 0,
  IF(COLUMN() - ($E6 + 5) = 0, $F6,
    G6 * (1 - IFERROR(INDEX('Inputs &amp; Assuptions'!$B$13:$B$72, COLUMN() - ($E6 + 5)), 0))
  )
)</f>
        <v>2865.432</v>
      </c>
      <c r="I6" s="74" t="n">
        <f aca="false" t="array" ref="I6:I6">IF(COLUMN() - ($E6 + 5) &lt; 0, 0,
  IF(COLUMN() - ($E6 + 5) = 0, $F6,
    H6 * (1 - IFERROR(INDEX('Inputs &amp; Assuptions'!$B$13:$B$72, COLUMN() - ($E6 + 5)), 0))
  )
)</f>
        <v>2707.83324</v>
      </c>
      <c r="J6" s="74" t="n">
        <f aca="false" t="array" ref="J6:J6">IF(COLUMN() - ($E6 + 5) &lt; 0, 0,
  IF(COLUMN() - ($E6 + 5) = 0, $F6,
    I6 * (1 - IFERROR(INDEX('Inputs &amp; Assuptions'!$B$13:$B$72, COLUMN() - ($E6 + 5)), 0))
  )
)</f>
        <v>2572.441578</v>
      </c>
      <c r="K6" s="74" t="n">
        <f aca="false" t="array" ref="K6:K6">IF(COLUMN() - ($E6 + 5) &lt; 0, 0,
  IF(COLUMN() - ($E6 + 5) = 0, $F6,
    J6 * (1 - IFERROR(INDEX('Inputs &amp; Assuptions'!$B$13:$B$72, COLUMN() - ($E6 + 5)), 0))
  )
)</f>
        <v>2456.68170699</v>
      </c>
      <c r="L6" s="74" t="n">
        <f aca="false" t="array" ref="L6:L6">IF(COLUMN() - ($E6 + 5) &lt; 0, 0,
  IF(COLUMN() - ($E6 + 5) = 0, $F6,
    K6 * (1 - IFERROR(INDEX('Inputs &amp; Assuptions'!$B$13:$B$72, COLUMN() - ($E6 + 5)), 0))
  )
)</f>
        <v>2358.4144387104</v>
      </c>
      <c r="M6" s="74" t="n">
        <f aca="false" t="array" ref="M6:M6">IF(COLUMN() - ($E6 + 5) &lt; 0, 0,
  IF(COLUMN() - ($E6 + 5) = 0, $F6,
    L6 * (1 - IFERROR(INDEX('Inputs &amp; Assuptions'!$B$13:$B$72, COLUMN() - ($E6 + 5)), 0))
  )
)</f>
        <v>2275.86993335554</v>
      </c>
      <c r="N6" s="74" t="n">
        <f aca="false" t="array" ref="N6:N6">IF(COLUMN() - ($E6 + 5) &lt; 0, 0,
  IF(COLUMN() - ($E6 + 5) = 0, $F6,
    M6 * (1 - IFERROR(INDEX('Inputs &amp; Assuptions'!$B$13:$B$72, COLUMN() - ($E6 + 5)), 0))
  )
)</f>
        <v>2207.59383535487</v>
      </c>
      <c r="O6" s="74" t="n">
        <f aca="false" t="array" ref="O6:O6">IF(COLUMN() - ($E6 + 5) &lt; 0, 0,
  IF(COLUMN() - ($E6 + 5) = 0, $F6,
    N6 * (1 - IFERROR(INDEX('Inputs &amp; Assuptions'!$B$13:$B$72, COLUMN() - ($E6 + 5)), 0))
  )
)</f>
        <v>2152.403989471</v>
      </c>
      <c r="P6" s="74" t="n">
        <f aca="false" t="array" ref="P6:P6">IF(COLUMN() - ($E6 + 5) &lt; 0, 0,
  IF(COLUMN() - ($E6 + 5) = 0, $F6,
    O6 * (1 - IFERROR(INDEX('Inputs &amp; Assuptions'!$B$13:$B$72, COLUMN() - ($E6 + 5)), 0))
  )
)</f>
        <v>2109.35590968158</v>
      </c>
      <c r="Q6" s="74" t="n">
        <f aca="false" t="array" ref="Q6:Q6">IF(COLUMN() - ($E6 + 5) &lt; 0, 0,
  IF(COLUMN() - ($E6 + 5) = 0, $F6,
    P6 * (1 - IFERROR(INDEX('Inputs &amp; Assuptions'!$B$13:$B$72, COLUMN() - ($E6 + 5)), 0))
  )
)</f>
        <v>2088.26235058476</v>
      </c>
      <c r="R6" s="74" t="n">
        <f aca="false" t="array" ref="R6:R6">IF(COLUMN() - ($E6 + 5) &lt; 0, 0,
  IF(COLUMN() - ($E6 + 5) = 0, $F6,
    Q6 * (1 - IFERROR(INDEX('Inputs &amp; Assuptions'!$B$13:$B$72, COLUMN() - ($E6 + 5)), 0))
  )
)</f>
        <v>2067.37972707891</v>
      </c>
      <c r="S6" s="74" t="n">
        <f aca="false" t="array" ref="S6:S6">IF(COLUMN() - ($E6 + 5) &lt; 0, 0,
  IF(COLUMN() - ($E6 + 5) = 0, $F6,
    R6 * (1 - IFERROR(INDEX('Inputs &amp; Assuptions'!$B$13:$B$72, COLUMN() - ($E6 + 5)), 0))
  )
)</f>
        <v>2046.70592980813</v>
      </c>
      <c r="T6" s="74" t="n">
        <f aca="false" t="array" ref="T6:T6">IF(COLUMN() - ($E6 + 5) &lt; 0, 0,
  IF(COLUMN() - ($E6 + 5) = 0, $F6,
    S6 * (1 - IFERROR(INDEX('Inputs &amp; Assuptions'!$B$13:$B$72, COLUMN() - ($E6 + 5)), 0))
  )
)</f>
        <v>2026.23887051004</v>
      </c>
      <c r="U6" s="74" t="n">
        <f aca="false" t="array" ref="U6:U6">IF(COLUMN() - ($E6 + 5) &lt; 0, 0,
  IF(COLUMN() - ($E6 + 5) = 0, $F6,
    T6 * (1 - IFERROR(INDEX('Inputs &amp; Assuptions'!$B$13:$B$72, COLUMN() - ($E6 + 5)), 0))
  )
)</f>
        <v>2005.97648180494</v>
      </c>
      <c r="V6" s="74" t="n">
        <f aca="false" t="array" ref="V6:V6">IF(COLUMN() - ($E6 + 5) &lt; 0, 0,
  IF(COLUMN() - ($E6 + 5) = 0, $F6,
    U6 * (1 - IFERROR(INDEX('Inputs &amp; Assuptions'!$B$13:$B$72, COLUMN() - ($E6 + 5)), 0))
  )
)</f>
        <v>1985.91671698689</v>
      </c>
      <c r="W6" s="74" t="n">
        <f aca="false" t="array" ref="W6:W6">IF(COLUMN() - ($E6 + 5) &lt; 0, 0,
  IF(COLUMN() - ($E6 + 5) = 0, $F6,
    V6 * (1 - IFERROR(INDEX('Inputs &amp; Assuptions'!$B$13:$B$72, COLUMN() - ($E6 + 5)), 0))
  )
)</f>
        <v>1966.05754981703</v>
      </c>
      <c r="X6" s="74" t="n">
        <f aca="false" t="array" ref="X6:X6">IF(COLUMN() - ($E6 + 5) &lt; 0, 0,
  IF(COLUMN() - ($E6 + 5) = 0, $F6,
    W6 * (1 - IFERROR(INDEX('Inputs &amp; Assuptions'!$B$13:$B$72, COLUMN() - ($E6 + 5)), 0))
  )
)</f>
        <v>1946.39697431885</v>
      </c>
      <c r="Y6" s="74" t="n">
        <f aca="false" t="array" ref="Y6:Y6">IF(COLUMN() - ($E6 + 5) &lt; 0, 0,
  IF(COLUMN() - ($E6 + 5) = 0, $F6,
    X6 * (1 - IFERROR(INDEX('Inputs &amp; Assuptions'!$B$13:$B$72, COLUMN() - ($E6 + 5)), 0))
  )
)</f>
        <v>1926.93300457567</v>
      </c>
      <c r="Z6" s="74" t="n">
        <f aca="false" t="array" ref="Z6:Z6">IF(COLUMN() - ($E6 + 5) &lt; 0, 0,
  IF(COLUMN() - ($E6 + 5) = 0, $F6,
    Y6 * (1 - IFERROR(INDEX('Inputs &amp; Assuptions'!$B$13:$B$72, COLUMN() - ($E6 + 5)), 0))
  )
)</f>
        <v>1907.66367452991</v>
      </c>
      <c r="AA6" s="74" t="n">
        <f aca="false" t="array" ref="AA6:AA6">IF(COLUMN() - ($E6 + 5) &lt; 0, 0,
  IF(COLUMN() - ($E6 + 5) = 0, $F6,
    Z6 * (1 - IFERROR(INDEX('Inputs &amp; Assuptions'!$B$13:$B$72, COLUMN() - ($E6 + 5)), 0))
  )
)</f>
        <v>1888.58703778461</v>
      </c>
      <c r="AB6" s="74" t="n">
        <f aca="false" t="array" ref="AB6:AB6">IF(COLUMN() - ($E6 + 5) &lt; 0, 0,
  IF(COLUMN() - ($E6 + 5) = 0, $F6,
    AA6 * (1 - IFERROR(INDEX('Inputs &amp; Assuptions'!$B$13:$B$72, COLUMN() - ($E6 + 5)), 0))
  )
)</f>
        <v>1869.70116740676</v>
      </c>
      <c r="AC6" s="74" t="n">
        <f aca="false" t="array" ref="AC6:AC6">IF(COLUMN() - ($E6 + 5) &lt; 0, 0,
  IF(COLUMN() - ($E6 + 5) = 0, $F6,
    AB6 * (1 - IFERROR(INDEX('Inputs &amp; Assuptions'!$B$13:$B$72, COLUMN() - ($E6 + 5)), 0))
  )
)</f>
        <v>1851.0041557327</v>
      </c>
      <c r="AD6" s="74" t="n">
        <f aca="false" t="array" ref="AD6:AD6">IF(COLUMN() - ($E6 + 5) &lt; 0, 0,
  IF(COLUMN() - ($E6 + 5) = 0, $F6,
    AC6 * (1 - IFERROR(INDEX('Inputs &amp; Assuptions'!$B$13:$B$72, COLUMN() - ($E6 + 5)), 0))
  )
)</f>
        <v>1832.49411417537</v>
      </c>
      <c r="AE6" s="74" t="n">
        <f aca="false" t="array" ref="AE6:AE6">IF(COLUMN() - ($E6 + 5) &lt; 0, 0,
  IF(COLUMN() - ($E6 + 5) = 0, $F6,
    AD6 * (1 - IFERROR(INDEX('Inputs &amp; Assuptions'!$B$13:$B$72, COLUMN() - ($E6 + 5)), 0))
  )
)</f>
        <v>1814.16917303362</v>
      </c>
      <c r="AF6" s="74" t="n">
        <f aca="false" t="array" ref="AF6:AF6">IF(COLUMN() - ($E6 + 5) &lt; 0, 0,
  IF(COLUMN() - ($E6 + 5) = 0, $F6,
    AE6 * (1 - IFERROR(INDEX('Inputs &amp; Assuptions'!$B$13:$B$72, COLUMN() - ($E6 + 5)), 0))
  )
)</f>
        <v>1796.02748130328</v>
      </c>
      <c r="AG6" s="74" t="n">
        <f aca="false" t="array" ref="AG6:AG6">IF(COLUMN() - ($E6 + 5) &lt; 0, 0,
  IF(COLUMN() - ($E6 + 5) = 0, $F6,
    AF6 * (1 - IFERROR(INDEX('Inputs &amp; Assuptions'!$B$13:$B$72, COLUMN() - ($E6 + 5)), 0))
  )
)</f>
        <v>1778.06720649025</v>
      </c>
      <c r="AH6" s="74" t="n">
        <f aca="false" t="array" ref="AH6:AH6">IF(COLUMN() - ($E6 + 5) &lt; 0, 0,
  IF(COLUMN() - ($E6 + 5) = 0, $F6,
    AG6 * (1 - IFERROR(INDEX('Inputs &amp; Assuptions'!$B$13:$B$72, COLUMN() - ($E6 + 5)), 0))
  )
)</f>
        <v>1760.28653442534</v>
      </c>
      <c r="AI6" s="74" t="n">
        <f aca="false" t="array" ref="AI6:AI6">IF(COLUMN() - ($E6 + 5) &lt; 0, 0,
  IF(COLUMN() - ($E6 + 5) = 0, $F6,
    AH6 * (1 - IFERROR(INDEX('Inputs &amp; Assuptions'!$B$13:$B$72, COLUMN() - ($E6 + 5)), 0))
  )
)</f>
        <v>1742.68366908109</v>
      </c>
      <c r="AJ6" s="74" t="n">
        <f aca="false" t="array" ref="AJ6:AJ6">IF(COLUMN() - ($E6 + 5) &lt; 0, 0,
  IF(COLUMN() - ($E6 + 5) = 0, $F6,
    AI6 * (1 - IFERROR(INDEX('Inputs &amp; Assuptions'!$B$13:$B$72, COLUMN() - ($E6 + 5)), 0))
  )
)</f>
        <v>1725.25683239028</v>
      </c>
      <c r="AK6" s="74" t="n">
        <f aca="false" t="array" ref="AK6:AK6">IF(COLUMN() - ($E6 + 5) &lt; 0, 0,
  IF(COLUMN() - ($E6 + 5) = 0, $F6,
    AJ6 * (1 - IFERROR(INDEX('Inputs &amp; Assuptions'!$B$13:$B$72, COLUMN() - ($E6 + 5)), 0))
  )
)</f>
        <v>1708.00426406638</v>
      </c>
      <c r="AL6" s="74" t="n">
        <f aca="false" t="array" ref="AL6:AL6">IF(COLUMN() - ($E6 + 5) &lt; 0, 0,
  IF(COLUMN() - ($E6 + 5) = 0, $F6,
    AK6 * (1 - IFERROR(INDEX('Inputs &amp; Assuptions'!$B$13:$B$72, COLUMN() - ($E6 + 5)), 0))
  )
)</f>
        <v>1690.92422142571</v>
      </c>
      <c r="AM6" s="74" t="n">
        <f aca="false" t="array" ref="AM6:AM6">IF(COLUMN() - ($E6 + 5) &lt; 0, 0,
  IF(COLUMN() - ($E6 + 5) = 0, $F6,
    AL6 * (1 - IFERROR(INDEX('Inputs &amp; Assuptions'!$B$13:$B$72, COLUMN() - ($E6 + 5)), 0))
  )
)</f>
        <v>1674.01497921146</v>
      </c>
      <c r="AN6" s="74" t="n">
        <f aca="false" t="array" ref="AN6:AN6">IF(COLUMN() - ($E6 + 5) &lt; 0, 0,
  IF(COLUMN() - ($E6 + 5) = 0, $F6,
    AM6 * (1 - IFERROR(INDEX('Inputs &amp; Assuptions'!$B$13:$B$72, COLUMN() - ($E6 + 5)), 0))
  )
)</f>
        <v>1657.27482941934</v>
      </c>
      <c r="AO6" s="74" t="n">
        <f aca="false" t="array" ref="AO6:AO6">IF(COLUMN() - ($E6 + 5) &lt; 0, 0,
  IF(COLUMN() - ($E6 + 5) = 0, $F6,
    AN6 * (1 - IFERROR(INDEX('Inputs &amp; Assuptions'!$B$13:$B$72, COLUMN() - ($E6 + 5)), 0))
  )
)</f>
        <v>1640.70208112515</v>
      </c>
      <c r="AP6" s="74" t="n">
        <f aca="false" t="array" ref="AP6:AP6">IF(COLUMN() - ($E6 + 5) &lt; 0, 0,
  IF(COLUMN() - ($E6 + 5) = 0, $F6,
    AO6 * (1 - IFERROR(INDEX('Inputs &amp; Assuptions'!$B$13:$B$72, COLUMN() - ($E6 + 5)), 0))
  )
)</f>
        <v>1624.2950603139</v>
      </c>
      <c r="AQ6" s="74" t="n">
        <f aca="false" t="array" ref="AQ6:AQ6">IF(COLUMN() - ($E6 + 5) &lt; 0, 0,
  IF(COLUMN() - ($E6 + 5) = 0, $F6,
    AP6 * (1 - IFERROR(INDEX('Inputs &amp; Assuptions'!$B$13:$B$72, COLUMN() - ($E6 + 5)), 0))
  )
)</f>
        <v>1608.05210971076</v>
      </c>
      <c r="AR6" s="74" t="n">
        <f aca="false" t="array" ref="AR6:AR6">IF(COLUMN() - ($E6 + 5) &lt; 0, 0,
  IF(COLUMN() - ($E6 + 5) = 0, $F6,
    AQ6 * (1 - IFERROR(INDEX('Inputs &amp; Assuptions'!$B$13:$B$72, COLUMN() - ($E6 + 5)), 0))
  )
)</f>
        <v>1591.97158861365</v>
      </c>
      <c r="AS6" s="74" t="n">
        <f aca="false" t="array" ref="AS6:AS6">IF(COLUMN() - ($E6 + 5) &lt; 0, 0,
  IF(COLUMN() - ($E6 + 5) = 0, $F6,
    AR6 * (1 - IFERROR(INDEX('Inputs &amp; Assuptions'!$B$13:$B$72, COLUMN() - ($E6 + 5)), 0))
  )
)</f>
        <v>1576.05187272751</v>
      </c>
      <c r="AT6" s="74" t="n">
        <f aca="false" t="array" ref="AT6:AT6">IF(COLUMN() - ($E6 + 5) &lt; 0, 0,
  IF(COLUMN() - ($E6 + 5) = 0, $F6,
    AS6 * (1 - IFERROR(INDEX('Inputs &amp; Assuptions'!$B$13:$B$72, COLUMN() - ($E6 + 5)), 0))
  )
)</f>
        <v>1560.29135400024</v>
      </c>
      <c r="AU6" s="74" t="n">
        <f aca="false" t="array" ref="AU6:AU6">IF(COLUMN() - ($E6 + 5) &lt; 0, 0,
  IF(COLUMN() - ($E6 + 5) = 0, $F6,
    AT6 * (1 - IFERROR(INDEX('Inputs &amp; Assuptions'!$B$13:$B$72, COLUMN() - ($E6 + 5)), 0))
  )
)</f>
        <v>1544.68844046024</v>
      </c>
      <c r="AV6" s="74" t="n">
        <f aca="false" t="array" ref="AV6:AV6">IF(COLUMN() - ($E6 + 5) &lt; 0, 0,
  IF(COLUMN() - ($E6 + 5) = 0, $F6,
    AU6 * (1 - IFERROR(INDEX('Inputs &amp; Assuptions'!$B$13:$B$72, COLUMN() - ($E6 + 5)), 0))
  )
)</f>
        <v>1529.24155605563</v>
      </c>
      <c r="AW6" s="74" t="n">
        <f aca="false" t="array" ref="AW6:AW6">IF(COLUMN() - ($E6 + 5) &lt; 0, 0,
  IF(COLUMN() - ($E6 + 5) = 0, $F6,
    AV6 * (1 - IFERROR(INDEX('Inputs &amp; Assuptions'!$B$13:$B$72, COLUMN() - ($E6 + 5)), 0))
  )
)</f>
        <v>1513.94914049508</v>
      </c>
      <c r="AX6" s="74" t="n">
        <f aca="false" t="array" ref="AX6:AX6">IF(COLUMN() - ($E6 + 5) &lt; 0, 0,
  IF(COLUMN() - ($E6 + 5) = 0, $F6,
    AW6 * (1 - IFERROR(INDEX('Inputs &amp; Assuptions'!$B$13:$B$72, COLUMN() - ($E6 + 5)), 0))
  )
)</f>
        <v>1498.80964909013</v>
      </c>
      <c r="AY6" s="74" t="n">
        <f aca="false" t="array" ref="AY6:AY6">IF(COLUMN() - ($E6 + 5) &lt; 0, 0,
  IF(COLUMN() - ($E6 + 5) = 0, $F6,
    AX6 * (1 - IFERROR(INDEX('Inputs &amp; Assuptions'!$B$13:$B$72, COLUMN() - ($E6 + 5)), 0))
  )
)</f>
        <v>1483.82155259923</v>
      </c>
      <c r="AZ6" s="74" t="n">
        <f aca="false" t="array" ref="AZ6:AZ6">IF(COLUMN() - ($E6 + 5) &lt; 0, 0,
  IF(COLUMN() - ($E6 + 5) = 0, $F6,
    AY6 * (1 - IFERROR(INDEX('Inputs &amp; Assuptions'!$B$13:$B$72, COLUMN() - ($E6 + 5)), 0))
  )
)</f>
        <v>1468.98333707323</v>
      </c>
      <c r="BA6" s="74" t="n">
        <f aca="false" t="array" ref="BA6:BA6">IF(COLUMN() - ($E6 + 5) &lt; 0, 0,
  IF(COLUMN() - ($E6 + 5) = 0, $F6,
    AZ6 * (1 - IFERROR(INDEX('Inputs &amp; Assuptions'!$B$13:$B$72, COLUMN() - ($E6 + 5)), 0))
  )
)</f>
        <v>1454.2935037025</v>
      </c>
      <c r="BB6" s="74" t="n">
        <f aca="false" t="array" ref="BB6:BB6">IF(COLUMN() - ($E6 + 5) &lt; 0, 0,
  IF(COLUMN() - ($E6 + 5) = 0, $F6,
    BA6 * (1 - IFERROR(INDEX('Inputs &amp; Assuptions'!$B$13:$B$72, COLUMN() - ($E6 + 5)), 0))
  )
)</f>
        <v>1439.75056866548</v>
      </c>
      <c r="BC6" s="74" t="n">
        <f aca="false" t="array" ref="BC6:BC6">IF(COLUMN() - ($E6 + 5) &lt; 0, 0,
  IF(COLUMN() - ($E6 + 5) = 0, $F6,
    BB6 * (1 - IFERROR(INDEX('Inputs &amp; Assuptions'!$B$13:$B$72, COLUMN() - ($E6 + 5)), 0))
  )
)</f>
        <v>1425.35306297882</v>
      </c>
      <c r="BD6" s="74" t="n">
        <f aca="false" t="array" ref="BD6:BD6">IF(COLUMN() - ($E6 + 5) &lt; 0, 0,
  IF(COLUMN() - ($E6 + 5) = 0, $F6,
    BC6 * (1 - IFERROR(INDEX('Inputs &amp; Assuptions'!$B$13:$B$72, COLUMN() - ($E6 + 5)), 0))
  )
)</f>
        <v>1411.09953234903</v>
      </c>
      <c r="BE6" s="74" t="n">
        <f aca="false" t="array" ref="BE6:BE6">IF(COLUMN() - ($E6 + 5) &lt; 0, 0,
  IF(COLUMN() - ($E6 + 5) = 0, $F6,
    BD6 * (1 - IFERROR(INDEX('Inputs &amp; Assuptions'!$B$13:$B$72, COLUMN() - ($E6 + 5)), 0))
  )
)</f>
        <v>1396.98853702554</v>
      </c>
      <c r="BF6" s="74" t="n">
        <f aca="false" t="array" ref="BF6:BF6">IF(COLUMN() - ($E6 + 5) &lt; 0, 0,
  IF(COLUMN() - ($E6 + 5) = 0, $F6,
    BE6 * (1 - IFERROR(INDEX('Inputs &amp; Assuptions'!$B$13:$B$72, COLUMN() - ($E6 + 5)), 0))
  )
)</f>
        <v>1383.01865165529</v>
      </c>
      <c r="BG6" s="74" t="n">
        <f aca="false" t="array" ref="BG6:BG6">IF(COLUMN() - ($E6 + 5) &lt; 0, 0,
  IF(COLUMN() - ($E6 + 5) = 0, $F6,
    BF6 * (1 - IFERROR(INDEX('Inputs &amp; Assuptions'!$B$13:$B$72, COLUMN() - ($E6 + 5)), 0))
  )
)</f>
        <v>1369.18846513873</v>
      </c>
      <c r="BH6" s="74" t="n">
        <f aca="false" t="array" ref="BH6:BH6">IF(COLUMN() - ($E6 + 5) &lt; 0, 0,
  IF(COLUMN() - ($E6 + 5) = 0, $F6,
    BG6 * (1 - IFERROR(INDEX('Inputs &amp; Assuptions'!$B$13:$B$72, COLUMN() - ($E6 + 5)), 0))
  )
)</f>
        <v>1355.49658048735</v>
      </c>
      <c r="BI6" s="74" t="n">
        <f aca="false" t="array" ref="BI6:BI6">IF(COLUMN() - ($E6 + 5) &lt; 0, 0,
  IF(COLUMN() - ($E6 + 5) = 0, $F6,
    BH6 * (1 - IFERROR(INDEX('Inputs &amp; Assuptions'!$B$13:$B$72, COLUMN() - ($E6 + 5)), 0))
  )
)</f>
        <v>1341.94161468247</v>
      </c>
      <c r="BJ6" s="74" t="n">
        <f aca="false" t="array" ref="BJ6:BJ6">IF(COLUMN() - ($E6 + 5) &lt; 0, 0,
  IF(COLUMN() - ($E6 + 5) = 0, $F6,
    BI6 * (1 - IFERROR(INDEX('Inputs &amp; Assuptions'!$B$13:$B$72, COLUMN() - ($E6 + 5)), 0))
  )
)</f>
        <v>1328.52219853565</v>
      </c>
      <c r="BK6" s="74" t="n">
        <f aca="false" t="array" ref="BK6:BK6">IF(COLUMN() - ($E6 + 5) &lt; 0, 0,
  IF(COLUMN() - ($E6 + 5) = 0, $F6,
    BJ6 * (1 - IFERROR(INDEX('Inputs &amp; Assuptions'!$B$13:$B$72, COLUMN() - ($E6 + 5)), 0))
  )
)</f>
        <v>1315.23697655029</v>
      </c>
      <c r="BL6" s="74" t="n">
        <f aca="false" t="array" ref="BL6:BL6">IF(COLUMN() - ($E6 + 5) &lt; 0, 0,
  IF(COLUMN() - ($E6 + 5) = 0, $F6,
    BK6 * (1 - IFERROR(INDEX('Inputs &amp; Assuptions'!$B$13:$B$72, COLUMN() - ($E6 + 5)), 0))
  )
)</f>
        <v>1302.08460678479</v>
      </c>
      <c r="BM6" s="75" t="n">
        <f aca="false" t="array" ref="BM6:BM6">IF(COLUMN() - ($E6 + 5) &lt; 0, 0,
  IF(COLUMN() - ($E6 + 5) = 0, $F6,
    BL6 * (1 - IFERROR(INDEX('Inputs &amp; Assuptions'!$B$13:$B$72, COLUMN() - ($E6 + 5)), 0))
  )
)</f>
        <v>1289.06376071694</v>
      </c>
      <c r="BN6" s="76"/>
      <c r="BO6" s="70"/>
    </row>
    <row r="7" customFormat="false" ht="14.25" hidden="false" customHeight="false" outlineLevel="0" collapsed="false">
      <c r="A7" s="29" t="n">
        <f aca="false">A6+1</f>
        <v>2</v>
      </c>
      <c r="B7" s="77" t="n">
        <f aca="false">IF(MOD($A7-1, 12) = 0, $B6 * 1.05, $B6)</f>
        <v>6000</v>
      </c>
      <c r="C7" s="78" t="n">
        <f aca="false">$B7*(1-'Inputs &amp; Assuptions'!$B$12)</f>
        <v>3480</v>
      </c>
      <c r="E7" s="29" t="n">
        <f aca="false">E6+1</f>
        <v>2</v>
      </c>
      <c r="F7" s="79"/>
      <c r="G7" s="80" t="n">
        <f aca="false">+$C7</f>
        <v>3480</v>
      </c>
      <c r="H7" s="80" t="n">
        <f aca="false" t="array" ref="H7:H7">IF(COLUMN() - ($E7 + 5) &lt; 0, 0,
  IF(COLUMN() - ($E7 + 5) = 0, $F7,
    G7 * (1 - IFERROR(INDEX('Inputs &amp; Assuptions'!$B$13:$B$72, COLUMN() - ($E7 + 5)), 0))
  )
)</f>
        <v>3114.6</v>
      </c>
      <c r="I7" s="80" t="n">
        <f aca="false" t="array" ref="I7:I7">IF(COLUMN() - ($E7 + 5) &lt; 0, 0,
  IF(COLUMN() - ($E7 + 5) = 0, $F7,
    H7 * (1 - IFERROR(INDEX('Inputs &amp; Assuptions'!$B$13:$B$72, COLUMN() - ($E7 + 5)), 0))
  )
)</f>
        <v>2865.432</v>
      </c>
      <c r="J7" s="80" t="n">
        <f aca="false" t="array" ref="J7:J7">IF(COLUMN() - ($E7 + 5) &lt; 0, 0,
  IF(COLUMN() - ($E7 + 5) = 0, $F7,
    I7 * (1 - IFERROR(INDEX('Inputs &amp; Assuptions'!$B$13:$B$72, COLUMN() - ($E7 + 5)), 0))
  )
)</f>
        <v>2707.83324</v>
      </c>
      <c r="K7" s="80" t="n">
        <f aca="false" t="array" ref="K7:K7">IF(COLUMN() - ($E7 + 5) &lt; 0, 0,
  IF(COLUMN() - ($E7 + 5) = 0, $F7,
    J7 * (1 - IFERROR(INDEX('Inputs &amp; Assuptions'!$B$13:$B$72, COLUMN() - ($E7 + 5)), 0))
  )
)</f>
        <v>2572.441578</v>
      </c>
      <c r="L7" s="80" t="n">
        <f aca="false" t="array" ref="L7:L7">IF(COLUMN() - ($E7 + 5) &lt; 0, 0,
  IF(COLUMN() - ($E7 + 5) = 0, $F7,
    K7 * (1 - IFERROR(INDEX('Inputs &amp; Assuptions'!$B$13:$B$72, COLUMN() - ($E7 + 5)), 0))
  )
)</f>
        <v>2456.68170699</v>
      </c>
      <c r="M7" s="80" t="n">
        <f aca="false" t="array" ref="M7:M7">IF(COLUMN() - ($E7 + 5) &lt; 0, 0,
  IF(COLUMN() - ($E7 + 5) = 0, $F7,
    L7 * (1 - IFERROR(INDEX('Inputs &amp; Assuptions'!$B$13:$B$72, COLUMN() - ($E7 + 5)), 0))
  )
)</f>
        <v>2358.4144387104</v>
      </c>
      <c r="N7" s="80" t="n">
        <f aca="false" t="array" ref="N7:N7">IF(COLUMN() - ($E7 + 5) &lt; 0, 0,
  IF(COLUMN() - ($E7 + 5) = 0, $F7,
    M7 * (1 - IFERROR(INDEX('Inputs &amp; Assuptions'!$B$13:$B$72, COLUMN() - ($E7 + 5)), 0))
  )
)</f>
        <v>2275.86993335554</v>
      </c>
      <c r="O7" s="80" t="n">
        <f aca="false" t="array" ref="O7:O7">IF(COLUMN() - ($E7 + 5) &lt; 0, 0,
  IF(COLUMN() - ($E7 + 5) = 0, $F7,
    N7 * (1 - IFERROR(INDEX('Inputs &amp; Assuptions'!$B$13:$B$72, COLUMN() - ($E7 + 5)), 0))
  )
)</f>
        <v>2207.59383535487</v>
      </c>
      <c r="P7" s="80" t="n">
        <f aca="false" t="array" ref="P7:P7">IF(COLUMN() - ($E7 + 5) &lt; 0, 0,
  IF(COLUMN() - ($E7 + 5) = 0, $F7,
    O7 * (1 - IFERROR(INDEX('Inputs &amp; Assuptions'!$B$13:$B$72, COLUMN() - ($E7 + 5)), 0))
  )
)</f>
        <v>2152.403989471</v>
      </c>
      <c r="Q7" s="80" t="n">
        <f aca="false" t="array" ref="Q7:Q7">IF(COLUMN() - ($E7 + 5) &lt; 0, 0,
  IF(COLUMN() - ($E7 + 5) = 0, $F7,
    P7 * (1 - IFERROR(INDEX('Inputs &amp; Assuptions'!$B$13:$B$72, COLUMN() - ($E7 + 5)), 0))
  )
)</f>
        <v>2109.35590968158</v>
      </c>
      <c r="R7" s="80" t="n">
        <f aca="false" t="array" ref="R7:R7">IF(COLUMN() - ($E7 + 5) &lt; 0, 0,
  IF(COLUMN() - ($E7 + 5) = 0, $F7,
    Q7 * (1 - IFERROR(INDEX('Inputs &amp; Assuptions'!$B$13:$B$72, COLUMN() - ($E7 + 5)), 0))
  )
)</f>
        <v>2088.26235058476</v>
      </c>
      <c r="S7" s="80" t="n">
        <f aca="false" t="array" ref="S7:S7">IF(COLUMN() - ($E7 + 5) &lt; 0, 0,
  IF(COLUMN() - ($E7 + 5) = 0, $F7,
    R7 * (1 - IFERROR(INDEX('Inputs &amp; Assuptions'!$B$13:$B$72, COLUMN() - ($E7 + 5)), 0))
  )
)</f>
        <v>2067.37972707891</v>
      </c>
      <c r="T7" s="80" t="n">
        <f aca="false" t="array" ref="T7:T7">IF(COLUMN() - ($E7 + 5) &lt; 0, 0,
  IF(COLUMN() - ($E7 + 5) = 0, $F7,
    S7 * (1 - IFERROR(INDEX('Inputs &amp; Assuptions'!$B$13:$B$72, COLUMN() - ($E7 + 5)), 0))
  )
)</f>
        <v>2046.70592980813</v>
      </c>
      <c r="U7" s="80" t="n">
        <f aca="false" t="array" ref="U7:U7">IF(COLUMN() - ($E7 + 5) &lt; 0, 0,
  IF(COLUMN() - ($E7 + 5) = 0, $F7,
    T7 * (1 - IFERROR(INDEX('Inputs &amp; Assuptions'!$B$13:$B$72, COLUMN() - ($E7 + 5)), 0))
  )
)</f>
        <v>2026.23887051004</v>
      </c>
      <c r="V7" s="80" t="n">
        <f aca="false" t="array" ref="V7:V7">IF(COLUMN() - ($E7 + 5) &lt; 0, 0,
  IF(COLUMN() - ($E7 + 5) = 0, $F7,
    U7 * (1 - IFERROR(INDEX('Inputs &amp; Assuptions'!$B$13:$B$72, COLUMN() - ($E7 + 5)), 0))
  )
)</f>
        <v>2005.97648180494</v>
      </c>
      <c r="W7" s="80" t="n">
        <f aca="false" t="array" ref="W7:W7">IF(COLUMN() - ($E7 + 5) &lt; 0, 0,
  IF(COLUMN() - ($E7 + 5) = 0, $F7,
    V7 * (1 - IFERROR(INDEX('Inputs &amp; Assuptions'!$B$13:$B$72, COLUMN() - ($E7 + 5)), 0))
  )
)</f>
        <v>1985.91671698689</v>
      </c>
      <c r="X7" s="80" t="n">
        <f aca="false" t="array" ref="X7:X7">IF(COLUMN() - ($E7 + 5) &lt; 0, 0,
  IF(COLUMN() - ($E7 + 5) = 0, $F7,
    W7 * (1 - IFERROR(INDEX('Inputs &amp; Assuptions'!$B$13:$B$72, COLUMN() - ($E7 + 5)), 0))
  )
)</f>
        <v>1966.05754981703</v>
      </c>
      <c r="Y7" s="80" t="n">
        <f aca="false" t="array" ref="Y7:Y7">IF(COLUMN() - ($E7 + 5) &lt; 0, 0,
  IF(COLUMN() - ($E7 + 5) = 0, $F7,
    X7 * (1 - IFERROR(INDEX('Inputs &amp; Assuptions'!$B$13:$B$72, COLUMN() - ($E7 + 5)), 0))
  )
)</f>
        <v>1946.39697431885</v>
      </c>
      <c r="Z7" s="80" t="n">
        <f aca="false" t="array" ref="Z7:Z7">IF(COLUMN() - ($E7 + 5) &lt; 0, 0,
  IF(COLUMN() - ($E7 + 5) = 0, $F7,
    Y7 * (1 - IFERROR(INDEX('Inputs &amp; Assuptions'!$B$13:$B$72, COLUMN() - ($E7 + 5)), 0))
  )
)</f>
        <v>1926.93300457567</v>
      </c>
      <c r="AA7" s="80" t="n">
        <f aca="false" t="array" ref="AA7:AA7">IF(COLUMN() - ($E7 + 5) &lt; 0, 0,
  IF(COLUMN() - ($E7 + 5) = 0, $F7,
    Z7 * (1 - IFERROR(INDEX('Inputs &amp; Assuptions'!$B$13:$B$72, COLUMN() - ($E7 + 5)), 0))
  )
)</f>
        <v>1907.66367452991</v>
      </c>
      <c r="AB7" s="80" t="n">
        <f aca="false" t="array" ref="AB7:AB7">IF(COLUMN() - ($E7 + 5) &lt; 0, 0,
  IF(COLUMN() - ($E7 + 5) = 0, $F7,
    AA7 * (1 - IFERROR(INDEX('Inputs &amp; Assuptions'!$B$13:$B$72, COLUMN() - ($E7 + 5)), 0))
  )
)</f>
        <v>1888.58703778461</v>
      </c>
      <c r="AC7" s="80" t="n">
        <f aca="false" t="array" ref="AC7:AC7">IF(COLUMN() - ($E7 + 5) &lt; 0, 0,
  IF(COLUMN() - ($E7 + 5) = 0, $F7,
    AB7 * (1 - IFERROR(INDEX('Inputs &amp; Assuptions'!$B$13:$B$72, COLUMN() - ($E7 + 5)), 0))
  )
)</f>
        <v>1869.70116740676</v>
      </c>
      <c r="AD7" s="80" t="n">
        <f aca="false" t="array" ref="AD7:AD7">IF(COLUMN() - ($E7 + 5) &lt; 0, 0,
  IF(COLUMN() - ($E7 + 5) = 0, $F7,
    AC7 * (1 - IFERROR(INDEX('Inputs &amp; Assuptions'!$B$13:$B$72, COLUMN() - ($E7 + 5)), 0))
  )
)</f>
        <v>1851.0041557327</v>
      </c>
      <c r="AE7" s="80" t="n">
        <f aca="false" t="array" ref="AE7:AE7">IF(COLUMN() - ($E7 + 5) &lt; 0, 0,
  IF(COLUMN() - ($E7 + 5) = 0, $F7,
    AD7 * (1 - IFERROR(INDEX('Inputs &amp; Assuptions'!$B$13:$B$72, COLUMN() - ($E7 + 5)), 0))
  )
)</f>
        <v>1832.49411417537</v>
      </c>
      <c r="AF7" s="80" t="n">
        <f aca="false" t="array" ref="AF7:AF7">IF(COLUMN() - ($E7 + 5) &lt; 0, 0,
  IF(COLUMN() - ($E7 + 5) = 0, $F7,
    AE7 * (1 - IFERROR(INDEX('Inputs &amp; Assuptions'!$B$13:$B$72, COLUMN() - ($E7 + 5)), 0))
  )
)</f>
        <v>1814.16917303362</v>
      </c>
      <c r="AG7" s="80" t="n">
        <f aca="false" t="array" ref="AG7:AG7">IF(COLUMN() - ($E7 + 5) &lt; 0, 0,
  IF(COLUMN() - ($E7 + 5) = 0, $F7,
    AF7 * (1 - IFERROR(INDEX('Inputs &amp; Assuptions'!$B$13:$B$72, COLUMN() - ($E7 + 5)), 0))
  )
)</f>
        <v>1796.02748130328</v>
      </c>
      <c r="AH7" s="80" t="n">
        <f aca="false" t="array" ref="AH7:AH7">IF(COLUMN() - ($E7 + 5) &lt; 0, 0,
  IF(COLUMN() - ($E7 + 5) = 0, $F7,
    AG7 * (1 - IFERROR(INDEX('Inputs &amp; Assuptions'!$B$13:$B$72, COLUMN() - ($E7 + 5)), 0))
  )
)</f>
        <v>1778.06720649025</v>
      </c>
      <c r="AI7" s="80" t="n">
        <f aca="false" t="array" ref="AI7:AI7">IF(COLUMN() - ($E7 + 5) &lt; 0, 0,
  IF(COLUMN() - ($E7 + 5) = 0, $F7,
    AH7 * (1 - IFERROR(INDEX('Inputs &amp; Assuptions'!$B$13:$B$72, COLUMN() - ($E7 + 5)), 0))
  )
)</f>
        <v>1760.28653442534</v>
      </c>
      <c r="AJ7" s="80" t="n">
        <f aca="false" t="array" ref="AJ7:AJ7">IF(COLUMN() - ($E7 + 5) &lt; 0, 0,
  IF(COLUMN() - ($E7 + 5) = 0, $F7,
    AI7 * (1 - IFERROR(INDEX('Inputs &amp; Assuptions'!$B$13:$B$72, COLUMN() - ($E7 + 5)), 0))
  )
)</f>
        <v>1742.68366908109</v>
      </c>
      <c r="AK7" s="80" t="n">
        <f aca="false" t="array" ref="AK7:AK7">IF(COLUMN() - ($E7 + 5) &lt; 0, 0,
  IF(COLUMN() - ($E7 + 5) = 0, $F7,
    AJ7 * (1 - IFERROR(INDEX('Inputs &amp; Assuptions'!$B$13:$B$72, COLUMN() - ($E7 + 5)), 0))
  )
)</f>
        <v>1725.25683239028</v>
      </c>
      <c r="AL7" s="80" t="n">
        <f aca="false" t="array" ref="AL7:AL7">IF(COLUMN() - ($E7 + 5) &lt; 0, 0,
  IF(COLUMN() - ($E7 + 5) = 0, $F7,
    AK7 * (1 - IFERROR(INDEX('Inputs &amp; Assuptions'!$B$13:$B$72, COLUMN() - ($E7 + 5)), 0))
  )
)</f>
        <v>1708.00426406638</v>
      </c>
      <c r="AM7" s="80" t="n">
        <f aca="false" t="array" ref="AM7:AM7">IF(COLUMN() - ($E7 + 5) &lt; 0, 0,
  IF(COLUMN() - ($E7 + 5) = 0, $F7,
    AL7 * (1 - IFERROR(INDEX('Inputs &amp; Assuptions'!$B$13:$B$72, COLUMN() - ($E7 + 5)), 0))
  )
)</f>
        <v>1690.92422142571</v>
      </c>
      <c r="AN7" s="80" t="n">
        <f aca="false" t="array" ref="AN7:AN7">IF(COLUMN() - ($E7 + 5) &lt; 0, 0,
  IF(COLUMN() - ($E7 + 5) = 0, $F7,
    AM7 * (1 - IFERROR(INDEX('Inputs &amp; Assuptions'!$B$13:$B$72, COLUMN() - ($E7 + 5)), 0))
  )
)</f>
        <v>1674.01497921146</v>
      </c>
      <c r="AO7" s="80" t="n">
        <f aca="false" t="array" ref="AO7:AO7">IF(COLUMN() - ($E7 + 5) &lt; 0, 0,
  IF(COLUMN() - ($E7 + 5) = 0, $F7,
    AN7 * (1 - IFERROR(INDEX('Inputs &amp; Assuptions'!$B$13:$B$72, COLUMN() - ($E7 + 5)), 0))
  )
)</f>
        <v>1657.27482941934</v>
      </c>
      <c r="AP7" s="80" t="n">
        <f aca="false" t="array" ref="AP7:AP7">IF(COLUMN() - ($E7 + 5) &lt; 0, 0,
  IF(COLUMN() - ($E7 + 5) = 0, $F7,
    AO7 * (1 - IFERROR(INDEX('Inputs &amp; Assuptions'!$B$13:$B$72, COLUMN() - ($E7 + 5)), 0))
  )
)</f>
        <v>1640.70208112515</v>
      </c>
      <c r="AQ7" s="80" t="n">
        <f aca="false" t="array" ref="AQ7:AQ7">IF(COLUMN() - ($E7 + 5) &lt; 0, 0,
  IF(COLUMN() - ($E7 + 5) = 0, $F7,
    AP7 * (1 - IFERROR(INDEX('Inputs &amp; Assuptions'!$B$13:$B$72, COLUMN() - ($E7 + 5)), 0))
  )
)</f>
        <v>1624.2950603139</v>
      </c>
      <c r="AR7" s="80" t="n">
        <f aca="false" t="array" ref="AR7:AR7">IF(COLUMN() - ($E7 + 5) &lt; 0, 0,
  IF(COLUMN() - ($E7 + 5) = 0, $F7,
    AQ7 * (1 - IFERROR(INDEX('Inputs &amp; Assuptions'!$B$13:$B$72, COLUMN() - ($E7 + 5)), 0))
  )
)</f>
        <v>1608.05210971076</v>
      </c>
      <c r="AS7" s="80" t="n">
        <f aca="false" t="array" ref="AS7:AS7">IF(COLUMN() - ($E7 + 5) &lt; 0, 0,
  IF(COLUMN() - ($E7 + 5) = 0, $F7,
    AR7 * (1 - IFERROR(INDEX('Inputs &amp; Assuptions'!$B$13:$B$72, COLUMN() - ($E7 + 5)), 0))
  )
)</f>
        <v>1591.97158861365</v>
      </c>
      <c r="AT7" s="80" t="n">
        <f aca="false" t="array" ref="AT7:AT7">IF(COLUMN() - ($E7 + 5) &lt; 0, 0,
  IF(COLUMN() - ($E7 + 5) = 0, $F7,
    AS7 * (1 - IFERROR(INDEX('Inputs &amp; Assuptions'!$B$13:$B$72, COLUMN() - ($E7 + 5)), 0))
  )
)</f>
        <v>1576.05187272751</v>
      </c>
      <c r="AU7" s="80" t="n">
        <f aca="false" t="array" ref="AU7:AU7">IF(COLUMN() - ($E7 + 5) &lt; 0, 0,
  IF(COLUMN() - ($E7 + 5) = 0, $F7,
    AT7 * (1 - IFERROR(INDEX('Inputs &amp; Assuptions'!$B$13:$B$72, COLUMN() - ($E7 + 5)), 0))
  )
)</f>
        <v>1560.29135400024</v>
      </c>
      <c r="AV7" s="80" t="n">
        <f aca="false" t="array" ref="AV7:AV7">IF(COLUMN() - ($E7 + 5) &lt; 0, 0,
  IF(COLUMN() - ($E7 + 5) = 0, $F7,
    AU7 * (1 - IFERROR(INDEX('Inputs &amp; Assuptions'!$B$13:$B$72, COLUMN() - ($E7 + 5)), 0))
  )
)</f>
        <v>1544.68844046024</v>
      </c>
      <c r="AW7" s="80" t="n">
        <f aca="false" t="array" ref="AW7:AW7">IF(COLUMN() - ($E7 + 5) &lt; 0, 0,
  IF(COLUMN() - ($E7 + 5) = 0, $F7,
    AV7 * (1 - IFERROR(INDEX('Inputs &amp; Assuptions'!$B$13:$B$72, COLUMN() - ($E7 + 5)), 0))
  )
)</f>
        <v>1529.24155605563</v>
      </c>
      <c r="AX7" s="80" t="n">
        <f aca="false" t="array" ref="AX7:AX7">IF(COLUMN() - ($E7 + 5) &lt; 0, 0,
  IF(COLUMN() - ($E7 + 5) = 0, $F7,
    AW7 * (1 - IFERROR(INDEX('Inputs &amp; Assuptions'!$B$13:$B$72, COLUMN() - ($E7 + 5)), 0))
  )
)</f>
        <v>1513.94914049508</v>
      </c>
      <c r="AY7" s="80" t="n">
        <f aca="false" t="array" ref="AY7:AY7">IF(COLUMN() - ($E7 + 5) &lt; 0, 0,
  IF(COLUMN() - ($E7 + 5) = 0, $F7,
    AX7 * (1 - IFERROR(INDEX('Inputs &amp; Assuptions'!$B$13:$B$72, COLUMN() - ($E7 + 5)), 0))
  )
)</f>
        <v>1498.80964909013</v>
      </c>
      <c r="AZ7" s="80" t="n">
        <f aca="false" t="array" ref="AZ7:AZ7">IF(COLUMN() - ($E7 + 5) &lt; 0, 0,
  IF(COLUMN() - ($E7 + 5) = 0, $F7,
    AY7 * (1 - IFERROR(INDEX('Inputs &amp; Assuptions'!$B$13:$B$72, COLUMN() - ($E7 + 5)), 0))
  )
)</f>
        <v>1483.82155259923</v>
      </c>
      <c r="BA7" s="80" t="n">
        <f aca="false" t="array" ref="BA7:BA7">IF(COLUMN() - ($E7 + 5) &lt; 0, 0,
  IF(COLUMN() - ($E7 + 5) = 0, $F7,
    AZ7 * (1 - IFERROR(INDEX('Inputs &amp; Assuptions'!$B$13:$B$72, COLUMN() - ($E7 + 5)), 0))
  )
)</f>
        <v>1468.98333707323</v>
      </c>
      <c r="BB7" s="80" t="n">
        <f aca="false" t="array" ref="BB7:BB7">IF(COLUMN() - ($E7 + 5) &lt; 0, 0,
  IF(COLUMN() - ($E7 + 5) = 0, $F7,
    BA7 * (1 - IFERROR(INDEX('Inputs &amp; Assuptions'!$B$13:$B$72, COLUMN() - ($E7 + 5)), 0))
  )
)</f>
        <v>1454.2935037025</v>
      </c>
      <c r="BC7" s="80" t="n">
        <f aca="false" t="array" ref="BC7:BC7">IF(COLUMN() - ($E7 + 5) &lt; 0, 0,
  IF(COLUMN() - ($E7 + 5) = 0, $F7,
    BB7 * (1 - IFERROR(INDEX('Inputs &amp; Assuptions'!$B$13:$B$72, COLUMN() - ($E7 + 5)), 0))
  )
)</f>
        <v>1439.75056866548</v>
      </c>
      <c r="BD7" s="80" t="n">
        <f aca="false" t="array" ref="BD7:BD7">IF(COLUMN() - ($E7 + 5) &lt; 0, 0,
  IF(COLUMN() - ($E7 + 5) = 0, $F7,
    BC7 * (1 - IFERROR(INDEX('Inputs &amp; Assuptions'!$B$13:$B$72, COLUMN() - ($E7 + 5)), 0))
  )
)</f>
        <v>1425.35306297882</v>
      </c>
      <c r="BE7" s="80" t="n">
        <f aca="false" t="array" ref="BE7:BE7">IF(COLUMN() - ($E7 + 5) &lt; 0, 0,
  IF(COLUMN() - ($E7 + 5) = 0, $F7,
    BD7 * (1 - IFERROR(INDEX('Inputs &amp; Assuptions'!$B$13:$B$72, COLUMN() - ($E7 + 5)), 0))
  )
)</f>
        <v>1411.09953234903</v>
      </c>
      <c r="BF7" s="80" t="n">
        <f aca="false" t="array" ref="BF7:BF7">IF(COLUMN() - ($E7 + 5) &lt; 0, 0,
  IF(COLUMN() - ($E7 + 5) = 0, $F7,
    BE7 * (1 - IFERROR(INDEX('Inputs &amp; Assuptions'!$B$13:$B$72, COLUMN() - ($E7 + 5)), 0))
  )
)</f>
        <v>1396.98853702554</v>
      </c>
      <c r="BG7" s="80" t="n">
        <f aca="false" t="array" ref="BG7:BG7">IF(COLUMN() - ($E7 + 5) &lt; 0, 0,
  IF(COLUMN() - ($E7 + 5) = 0, $F7,
    BF7 * (1 - IFERROR(INDEX('Inputs &amp; Assuptions'!$B$13:$B$72, COLUMN() - ($E7 + 5)), 0))
  )
)</f>
        <v>1383.01865165529</v>
      </c>
      <c r="BH7" s="80" t="n">
        <f aca="false" t="array" ref="BH7:BH7">IF(COLUMN() - ($E7 + 5) &lt; 0, 0,
  IF(COLUMN() - ($E7 + 5) = 0, $F7,
    BG7 * (1 - IFERROR(INDEX('Inputs &amp; Assuptions'!$B$13:$B$72, COLUMN() - ($E7 + 5)), 0))
  )
)</f>
        <v>1369.18846513873</v>
      </c>
      <c r="BI7" s="80" t="n">
        <f aca="false" t="array" ref="BI7:BI7">IF(COLUMN() - ($E7 + 5) &lt; 0, 0,
  IF(COLUMN() - ($E7 + 5) = 0, $F7,
    BH7 * (1 - IFERROR(INDEX('Inputs &amp; Assuptions'!$B$13:$B$72, COLUMN() - ($E7 + 5)), 0))
  )
)</f>
        <v>1355.49658048735</v>
      </c>
      <c r="BJ7" s="80" t="n">
        <f aca="false" t="array" ref="BJ7:BJ7">IF(COLUMN() - ($E7 + 5) &lt; 0, 0,
  IF(COLUMN() - ($E7 + 5) = 0, $F7,
    BI7 * (1 - IFERROR(INDEX('Inputs &amp; Assuptions'!$B$13:$B$72, COLUMN() - ($E7 + 5)), 0))
  )
)</f>
        <v>1341.94161468247</v>
      </c>
      <c r="BK7" s="80" t="n">
        <f aca="false" t="array" ref="BK7:BK7">IF(COLUMN() - ($E7 + 5) &lt; 0, 0,
  IF(COLUMN() - ($E7 + 5) = 0, $F7,
    BJ7 * (1 - IFERROR(INDEX('Inputs &amp; Assuptions'!$B$13:$B$72, COLUMN() - ($E7 + 5)), 0))
  )
)</f>
        <v>1328.52219853565</v>
      </c>
      <c r="BL7" s="80" t="n">
        <f aca="false" t="array" ref="BL7:BL7">IF(COLUMN() - ($E7 + 5) &lt; 0, 0,
  IF(COLUMN() - ($E7 + 5) = 0, $F7,
    BK7 * (1 - IFERROR(INDEX('Inputs &amp; Assuptions'!$B$13:$B$72, COLUMN() - ($E7 + 5)), 0))
  )
)</f>
        <v>1315.23697655029</v>
      </c>
      <c r="BM7" s="81" t="n">
        <f aca="false" t="array" ref="BM7:BM7">IF(COLUMN() - ($E7 + 5) &lt; 0, 0,
  IF(COLUMN() - ($E7 + 5) = 0, $F7,
    BL7 * (1 - IFERROR(INDEX('Inputs &amp; Assuptions'!$B$13:$B$72, COLUMN() - ($E7 + 5)), 0))
  )
)</f>
        <v>1302.08460678479</v>
      </c>
      <c r="BN7" s="76"/>
    </row>
    <row r="8" customFormat="false" ht="14.25" hidden="false" customHeight="false" outlineLevel="0" collapsed="false">
      <c r="A8" s="29" t="n">
        <f aca="false">A7+1</f>
        <v>3</v>
      </c>
      <c r="B8" s="77" t="n">
        <f aca="false">IF(MOD($A8-1, 12) = 0, $B7 * 1.05, $B7)</f>
        <v>6000</v>
      </c>
      <c r="C8" s="78" t="n">
        <f aca="false">$B8*(1-'Inputs &amp; Assuptions'!$B$12)</f>
        <v>3480</v>
      </c>
      <c r="E8" s="29" t="n">
        <f aca="false">E7+1</f>
        <v>3</v>
      </c>
      <c r="F8" s="79"/>
      <c r="G8" s="80"/>
      <c r="H8" s="80" t="n">
        <f aca="false">+$C8</f>
        <v>3480</v>
      </c>
      <c r="I8" s="80" t="n">
        <f aca="false" t="array" ref="I8:I8">IF(COLUMN() - ($E8 + 5) &lt; 0, 0,
  IF(COLUMN() - ($E8 + 5) = 0, $F8,
    H8 * (1 - IFERROR(INDEX('Inputs &amp; Assuptions'!$B$13:$B$72, COLUMN() - ($E8 + 5)), 0))
  )
)</f>
        <v>3114.6</v>
      </c>
      <c r="J8" s="80" t="n">
        <f aca="false" t="array" ref="J8:J8">IF(COLUMN() - ($E8 + 5) &lt; 0, 0,
  IF(COLUMN() - ($E8 + 5) = 0, $F8,
    I8 * (1 - IFERROR(INDEX('Inputs &amp; Assuptions'!$B$13:$B$72, COLUMN() - ($E8 + 5)), 0))
  )
)</f>
        <v>2865.432</v>
      </c>
      <c r="K8" s="80" t="n">
        <f aca="false" t="array" ref="K8:K8">IF(COLUMN() - ($E8 + 5) &lt; 0, 0,
  IF(COLUMN() - ($E8 + 5) = 0, $F8,
    J8 * (1 - IFERROR(INDEX('Inputs &amp; Assuptions'!$B$13:$B$72, COLUMN() - ($E8 + 5)), 0))
  )
)</f>
        <v>2707.83324</v>
      </c>
      <c r="L8" s="80" t="n">
        <f aca="false" t="array" ref="L8:L8">IF(COLUMN() - ($E8 + 5) &lt; 0, 0,
  IF(COLUMN() - ($E8 + 5) = 0, $F8,
    K8 * (1 - IFERROR(INDEX('Inputs &amp; Assuptions'!$B$13:$B$72, COLUMN() - ($E8 + 5)), 0))
  )
)</f>
        <v>2572.441578</v>
      </c>
      <c r="M8" s="80" t="n">
        <f aca="false" t="array" ref="M8:M8">IF(COLUMN() - ($E8 + 5) &lt; 0, 0,
  IF(COLUMN() - ($E8 + 5) = 0, $F8,
    L8 * (1 - IFERROR(INDEX('Inputs &amp; Assuptions'!$B$13:$B$72, COLUMN() - ($E8 + 5)), 0))
  )
)</f>
        <v>2456.68170699</v>
      </c>
      <c r="N8" s="80" t="n">
        <f aca="false" t="array" ref="N8:N8">IF(COLUMN() - ($E8 + 5) &lt; 0, 0,
  IF(COLUMN() - ($E8 + 5) = 0, $F8,
    M8 * (1 - IFERROR(INDEX('Inputs &amp; Assuptions'!$B$13:$B$72, COLUMN() - ($E8 + 5)), 0))
  )
)</f>
        <v>2358.4144387104</v>
      </c>
      <c r="O8" s="80" t="n">
        <f aca="false" t="array" ref="O8:O8">IF(COLUMN() - ($E8 + 5) &lt; 0, 0,
  IF(COLUMN() - ($E8 + 5) = 0, $F8,
    N8 * (1 - IFERROR(INDEX('Inputs &amp; Assuptions'!$B$13:$B$72, COLUMN() - ($E8 + 5)), 0))
  )
)</f>
        <v>2275.86993335554</v>
      </c>
      <c r="P8" s="80" t="n">
        <f aca="false" t="array" ref="P8:P8">IF(COLUMN() - ($E8 + 5) &lt; 0, 0,
  IF(COLUMN() - ($E8 + 5) = 0, $F8,
    O8 * (1 - IFERROR(INDEX('Inputs &amp; Assuptions'!$B$13:$B$72, COLUMN() - ($E8 + 5)), 0))
  )
)</f>
        <v>2207.59383535487</v>
      </c>
      <c r="Q8" s="80" t="n">
        <f aca="false" t="array" ref="Q8:Q8">IF(COLUMN() - ($E8 + 5) &lt; 0, 0,
  IF(COLUMN() - ($E8 + 5) = 0, $F8,
    P8 * (1 - IFERROR(INDEX('Inputs &amp; Assuptions'!$B$13:$B$72, COLUMN() - ($E8 + 5)), 0))
  )
)</f>
        <v>2152.403989471</v>
      </c>
      <c r="R8" s="80" t="n">
        <f aca="false" t="array" ref="R8:R8">IF(COLUMN() - ($E8 + 5) &lt; 0, 0,
  IF(COLUMN() - ($E8 + 5) = 0, $F8,
    Q8 * (1 - IFERROR(INDEX('Inputs &amp; Assuptions'!$B$13:$B$72, COLUMN() - ($E8 + 5)), 0))
  )
)</f>
        <v>2109.35590968158</v>
      </c>
      <c r="S8" s="80" t="n">
        <f aca="false" t="array" ref="S8:S8">IF(COLUMN() - ($E8 + 5) &lt; 0, 0,
  IF(COLUMN() - ($E8 + 5) = 0, $F8,
    R8 * (1 - IFERROR(INDEX('Inputs &amp; Assuptions'!$B$13:$B$72, COLUMN() - ($E8 + 5)), 0))
  )
)</f>
        <v>2088.26235058476</v>
      </c>
      <c r="T8" s="80" t="n">
        <f aca="false" t="array" ref="T8:T8">IF(COLUMN() - ($E8 + 5) &lt; 0, 0,
  IF(COLUMN() - ($E8 + 5) = 0, $F8,
    S8 * (1 - IFERROR(INDEX('Inputs &amp; Assuptions'!$B$13:$B$72, COLUMN() - ($E8 + 5)), 0))
  )
)</f>
        <v>2067.37972707891</v>
      </c>
      <c r="U8" s="80" t="n">
        <f aca="false" t="array" ref="U8:U8">IF(COLUMN() - ($E8 + 5) &lt; 0, 0,
  IF(COLUMN() - ($E8 + 5) = 0, $F8,
    T8 * (1 - IFERROR(INDEX('Inputs &amp; Assuptions'!$B$13:$B$72, COLUMN() - ($E8 + 5)), 0))
  )
)</f>
        <v>2046.70592980813</v>
      </c>
      <c r="V8" s="80" t="n">
        <f aca="false" t="array" ref="V8:V8">IF(COLUMN() - ($E8 + 5) &lt; 0, 0,
  IF(COLUMN() - ($E8 + 5) = 0, $F8,
    U8 * (1 - IFERROR(INDEX('Inputs &amp; Assuptions'!$B$13:$B$72, COLUMN() - ($E8 + 5)), 0))
  )
)</f>
        <v>2026.23887051004</v>
      </c>
      <c r="W8" s="80" t="n">
        <f aca="false" t="array" ref="W8:W8">IF(COLUMN() - ($E8 + 5) &lt; 0, 0,
  IF(COLUMN() - ($E8 + 5) = 0, $F8,
    V8 * (1 - IFERROR(INDEX('Inputs &amp; Assuptions'!$B$13:$B$72, COLUMN() - ($E8 + 5)), 0))
  )
)</f>
        <v>2005.97648180494</v>
      </c>
      <c r="X8" s="80" t="n">
        <f aca="false" t="array" ref="X8:X8">IF(COLUMN() - ($E8 + 5) &lt; 0, 0,
  IF(COLUMN() - ($E8 + 5) = 0, $F8,
    W8 * (1 - IFERROR(INDEX('Inputs &amp; Assuptions'!$B$13:$B$72, COLUMN() - ($E8 + 5)), 0))
  )
)</f>
        <v>1985.91671698689</v>
      </c>
      <c r="Y8" s="80" t="n">
        <f aca="false" t="array" ref="Y8:Y8">IF(COLUMN() - ($E8 + 5) &lt; 0, 0,
  IF(COLUMN() - ($E8 + 5) = 0, $F8,
    X8 * (1 - IFERROR(INDEX('Inputs &amp; Assuptions'!$B$13:$B$72, COLUMN() - ($E8 + 5)), 0))
  )
)</f>
        <v>1966.05754981703</v>
      </c>
      <c r="Z8" s="80" t="n">
        <f aca="false" t="array" ref="Z8:Z8">IF(COLUMN() - ($E8 + 5) &lt; 0, 0,
  IF(COLUMN() - ($E8 + 5) = 0, $F8,
    Y8 * (1 - IFERROR(INDEX('Inputs &amp; Assuptions'!$B$13:$B$72, COLUMN() - ($E8 + 5)), 0))
  )
)</f>
        <v>1946.39697431885</v>
      </c>
      <c r="AA8" s="80" t="n">
        <f aca="false" t="array" ref="AA8:AA8">IF(COLUMN() - ($E8 + 5) &lt; 0, 0,
  IF(COLUMN() - ($E8 + 5) = 0, $F8,
    Z8 * (1 - IFERROR(INDEX('Inputs &amp; Assuptions'!$B$13:$B$72, COLUMN() - ($E8 + 5)), 0))
  )
)</f>
        <v>1926.93300457567</v>
      </c>
      <c r="AB8" s="80" t="n">
        <f aca="false" t="array" ref="AB8:AB8">IF(COLUMN() - ($E8 + 5) &lt; 0, 0,
  IF(COLUMN() - ($E8 + 5) = 0, $F8,
    AA8 * (1 - IFERROR(INDEX('Inputs &amp; Assuptions'!$B$13:$B$72, COLUMN() - ($E8 + 5)), 0))
  )
)</f>
        <v>1907.66367452991</v>
      </c>
      <c r="AC8" s="80" t="n">
        <f aca="false" t="array" ref="AC8:AC8">IF(COLUMN() - ($E8 + 5) &lt; 0, 0,
  IF(COLUMN() - ($E8 + 5) = 0, $F8,
    AB8 * (1 - IFERROR(INDEX('Inputs &amp; Assuptions'!$B$13:$B$72, COLUMN() - ($E8 + 5)), 0))
  )
)</f>
        <v>1888.58703778461</v>
      </c>
      <c r="AD8" s="80" t="n">
        <f aca="false" t="array" ref="AD8:AD8">IF(COLUMN() - ($E8 + 5) &lt; 0, 0,
  IF(COLUMN() - ($E8 + 5) = 0, $F8,
    AC8 * (1 - IFERROR(INDEX('Inputs &amp; Assuptions'!$B$13:$B$72, COLUMN() - ($E8 + 5)), 0))
  )
)</f>
        <v>1869.70116740676</v>
      </c>
      <c r="AE8" s="80" t="n">
        <f aca="false" t="array" ref="AE8:AE8">IF(COLUMN() - ($E8 + 5) &lt; 0, 0,
  IF(COLUMN() - ($E8 + 5) = 0, $F8,
    AD8 * (1 - IFERROR(INDEX('Inputs &amp; Assuptions'!$B$13:$B$72, COLUMN() - ($E8 + 5)), 0))
  )
)</f>
        <v>1851.0041557327</v>
      </c>
      <c r="AF8" s="80" t="n">
        <f aca="false" t="array" ref="AF8:AF8">IF(COLUMN() - ($E8 + 5) &lt; 0, 0,
  IF(COLUMN() - ($E8 + 5) = 0, $F8,
    AE8 * (1 - IFERROR(INDEX('Inputs &amp; Assuptions'!$B$13:$B$72, COLUMN() - ($E8 + 5)), 0))
  )
)</f>
        <v>1832.49411417537</v>
      </c>
      <c r="AG8" s="80" t="n">
        <f aca="false" t="array" ref="AG8:AG8">IF(COLUMN() - ($E8 + 5) &lt; 0, 0,
  IF(COLUMN() - ($E8 + 5) = 0, $F8,
    AF8 * (1 - IFERROR(INDEX('Inputs &amp; Assuptions'!$B$13:$B$72, COLUMN() - ($E8 + 5)), 0))
  )
)</f>
        <v>1814.16917303362</v>
      </c>
      <c r="AH8" s="80" t="n">
        <f aca="false" t="array" ref="AH8:AH8">IF(COLUMN() - ($E8 + 5) &lt; 0, 0,
  IF(COLUMN() - ($E8 + 5) = 0, $F8,
    AG8 * (1 - IFERROR(INDEX('Inputs &amp; Assuptions'!$B$13:$B$72, COLUMN() - ($E8 + 5)), 0))
  )
)</f>
        <v>1796.02748130328</v>
      </c>
      <c r="AI8" s="80" t="n">
        <f aca="false" t="array" ref="AI8:AI8">IF(COLUMN() - ($E8 + 5) &lt; 0, 0,
  IF(COLUMN() - ($E8 + 5) = 0, $F8,
    AH8 * (1 - IFERROR(INDEX('Inputs &amp; Assuptions'!$B$13:$B$72, COLUMN() - ($E8 + 5)), 0))
  )
)</f>
        <v>1778.06720649025</v>
      </c>
      <c r="AJ8" s="80" t="n">
        <f aca="false" t="array" ref="AJ8:AJ8">IF(COLUMN() - ($E8 + 5) &lt; 0, 0,
  IF(COLUMN() - ($E8 + 5) = 0, $F8,
    AI8 * (1 - IFERROR(INDEX('Inputs &amp; Assuptions'!$B$13:$B$72, COLUMN() - ($E8 + 5)), 0))
  )
)</f>
        <v>1760.28653442534</v>
      </c>
      <c r="AK8" s="80" t="n">
        <f aca="false" t="array" ref="AK8:AK8">IF(COLUMN() - ($E8 + 5) &lt; 0, 0,
  IF(COLUMN() - ($E8 + 5) = 0, $F8,
    AJ8 * (1 - IFERROR(INDEX('Inputs &amp; Assuptions'!$B$13:$B$72, COLUMN() - ($E8 + 5)), 0))
  )
)</f>
        <v>1742.68366908109</v>
      </c>
      <c r="AL8" s="80" t="n">
        <f aca="false" t="array" ref="AL8:AL8">IF(COLUMN() - ($E8 + 5) &lt; 0, 0,
  IF(COLUMN() - ($E8 + 5) = 0, $F8,
    AK8 * (1 - IFERROR(INDEX('Inputs &amp; Assuptions'!$B$13:$B$72, COLUMN() - ($E8 + 5)), 0))
  )
)</f>
        <v>1725.25683239028</v>
      </c>
      <c r="AM8" s="80" t="n">
        <f aca="false" t="array" ref="AM8:AM8">IF(COLUMN() - ($E8 + 5) &lt; 0, 0,
  IF(COLUMN() - ($E8 + 5) = 0, $F8,
    AL8 * (1 - IFERROR(INDEX('Inputs &amp; Assuptions'!$B$13:$B$72, COLUMN() - ($E8 + 5)), 0))
  )
)</f>
        <v>1708.00426406638</v>
      </c>
      <c r="AN8" s="80" t="n">
        <f aca="false" t="array" ref="AN8:AN8">IF(COLUMN() - ($E8 + 5) &lt; 0, 0,
  IF(COLUMN() - ($E8 + 5) = 0, $F8,
    AM8 * (1 - IFERROR(INDEX('Inputs &amp; Assuptions'!$B$13:$B$72, COLUMN() - ($E8 + 5)), 0))
  )
)</f>
        <v>1690.92422142571</v>
      </c>
      <c r="AO8" s="80" t="n">
        <f aca="false" t="array" ref="AO8:AO8">IF(COLUMN() - ($E8 + 5) &lt; 0, 0,
  IF(COLUMN() - ($E8 + 5) = 0, $F8,
    AN8 * (1 - IFERROR(INDEX('Inputs &amp; Assuptions'!$B$13:$B$72, COLUMN() - ($E8 + 5)), 0))
  )
)</f>
        <v>1674.01497921146</v>
      </c>
      <c r="AP8" s="80" t="n">
        <f aca="false" t="array" ref="AP8:AP8">IF(COLUMN() - ($E8 + 5) &lt; 0, 0,
  IF(COLUMN() - ($E8 + 5) = 0, $F8,
    AO8 * (1 - IFERROR(INDEX('Inputs &amp; Assuptions'!$B$13:$B$72, COLUMN() - ($E8 + 5)), 0))
  )
)</f>
        <v>1657.27482941934</v>
      </c>
      <c r="AQ8" s="80" t="n">
        <f aca="false" t="array" ref="AQ8:AQ8">IF(COLUMN() - ($E8 + 5) &lt; 0, 0,
  IF(COLUMN() - ($E8 + 5) = 0, $F8,
    AP8 * (1 - IFERROR(INDEX('Inputs &amp; Assuptions'!$B$13:$B$72, COLUMN() - ($E8 + 5)), 0))
  )
)</f>
        <v>1640.70208112515</v>
      </c>
      <c r="AR8" s="80" t="n">
        <f aca="false" t="array" ref="AR8:AR8">IF(COLUMN() - ($E8 + 5) &lt; 0, 0,
  IF(COLUMN() - ($E8 + 5) = 0, $F8,
    AQ8 * (1 - IFERROR(INDEX('Inputs &amp; Assuptions'!$B$13:$B$72, COLUMN() - ($E8 + 5)), 0))
  )
)</f>
        <v>1624.2950603139</v>
      </c>
      <c r="AS8" s="80" t="n">
        <f aca="false" t="array" ref="AS8:AS8">IF(COLUMN() - ($E8 + 5) &lt; 0, 0,
  IF(COLUMN() - ($E8 + 5) = 0, $F8,
    AR8 * (1 - IFERROR(INDEX('Inputs &amp; Assuptions'!$B$13:$B$72, COLUMN() - ($E8 + 5)), 0))
  )
)</f>
        <v>1608.05210971076</v>
      </c>
      <c r="AT8" s="80" t="n">
        <f aca="false" t="array" ref="AT8:AT8">IF(COLUMN() - ($E8 + 5) &lt; 0, 0,
  IF(COLUMN() - ($E8 + 5) = 0, $F8,
    AS8 * (1 - IFERROR(INDEX('Inputs &amp; Assuptions'!$B$13:$B$72, COLUMN() - ($E8 + 5)), 0))
  )
)</f>
        <v>1591.97158861365</v>
      </c>
      <c r="AU8" s="80" t="n">
        <f aca="false" t="array" ref="AU8:AU8">IF(COLUMN() - ($E8 + 5) &lt; 0, 0,
  IF(COLUMN() - ($E8 + 5) = 0, $F8,
    AT8 * (1 - IFERROR(INDEX('Inputs &amp; Assuptions'!$B$13:$B$72, COLUMN() - ($E8 + 5)), 0))
  )
)</f>
        <v>1576.05187272751</v>
      </c>
      <c r="AV8" s="80" t="n">
        <f aca="false" t="array" ref="AV8:AV8">IF(COLUMN() - ($E8 + 5) &lt; 0, 0,
  IF(COLUMN() - ($E8 + 5) = 0, $F8,
    AU8 * (1 - IFERROR(INDEX('Inputs &amp; Assuptions'!$B$13:$B$72, COLUMN() - ($E8 + 5)), 0))
  )
)</f>
        <v>1560.29135400024</v>
      </c>
      <c r="AW8" s="80" t="n">
        <f aca="false" t="array" ref="AW8:AW8">IF(COLUMN() - ($E8 + 5) &lt; 0, 0,
  IF(COLUMN() - ($E8 + 5) = 0, $F8,
    AV8 * (1 - IFERROR(INDEX('Inputs &amp; Assuptions'!$B$13:$B$72, COLUMN() - ($E8 + 5)), 0))
  )
)</f>
        <v>1544.68844046024</v>
      </c>
      <c r="AX8" s="80" t="n">
        <f aca="false" t="array" ref="AX8:AX8">IF(COLUMN() - ($E8 + 5) &lt; 0, 0,
  IF(COLUMN() - ($E8 + 5) = 0, $F8,
    AW8 * (1 - IFERROR(INDEX('Inputs &amp; Assuptions'!$B$13:$B$72, COLUMN() - ($E8 + 5)), 0))
  )
)</f>
        <v>1529.24155605563</v>
      </c>
      <c r="AY8" s="80" t="n">
        <f aca="false" t="array" ref="AY8:AY8">IF(COLUMN() - ($E8 + 5) &lt; 0, 0,
  IF(COLUMN() - ($E8 + 5) = 0, $F8,
    AX8 * (1 - IFERROR(INDEX('Inputs &amp; Assuptions'!$B$13:$B$72, COLUMN() - ($E8 + 5)), 0))
  )
)</f>
        <v>1513.94914049508</v>
      </c>
      <c r="AZ8" s="80" t="n">
        <f aca="false" t="array" ref="AZ8:AZ8">IF(COLUMN() - ($E8 + 5) &lt; 0, 0,
  IF(COLUMN() - ($E8 + 5) = 0, $F8,
    AY8 * (1 - IFERROR(INDEX('Inputs &amp; Assuptions'!$B$13:$B$72, COLUMN() - ($E8 + 5)), 0))
  )
)</f>
        <v>1498.80964909013</v>
      </c>
      <c r="BA8" s="80" t="n">
        <f aca="false" t="array" ref="BA8:BA8">IF(COLUMN() - ($E8 + 5) &lt; 0, 0,
  IF(COLUMN() - ($E8 + 5) = 0, $F8,
    AZ8 * (1 - IFERROR(INDEX('Inputs &amp; Assuptions'!$B$13:$B$72, COLUMN() - ($E8 + 5)), 0))
  )
)</f>
        <v>1483.82155259923</v>
      </c>
      <c r="BB8" s="80" t="n">
        <f aca="false" t="array" ref="BB8:BB8">IF(COLUMN() - ($E8 + 5) &lt; 0, 0,
  IF(COLUMN() - ($E8 + 5) = 0, $F8,
    BA8 * (1 - IFERROR(INDEX('Inputs &amp; Assuptions'!$B$13:$B$72, COLUMN() - ($E8 + 5)), 0))
  )
)</f>
        <v>1468.98333707323</v>
      </c>
      <c r="BC8" s="80" t="n">
        <f aca="false" t="array" ref="BC8:BC8">IF(COLUMN() - ($E8 + 5) &lt; 0, 0,
  IF(COLUMN() - ($E8 + 5) = 0, $F8,
    BB8 * (1 - IFERROR(INDEX('Inputs &amp; Assuptions'!$B$13:$B$72, COLUMN() - ($E8 + 5)), 0))
  )
)</f>
        <v>1454.2935037025</v>
      </c>
      <c r="BD8" s="80" t="n">
        <f aca="false" t="array" ref="BD8:BD8">IF(COLUMN() - ($E8 + 5) &lt; 0, 0,
  IF(COLUMN() - ($E8 + 5) = 0, $F8,
    BC8 * (1 - IFERROR(INDEX('Inputs &amp; Assuptions'!$B$13:$B$72, COLUMN() - ($E8 + 5)), 0))
  )
)</f>
        <v>1439.75056866548</v>
      </c>
      <c r="BE8" s="80" t="n">
        <f aca="false" t="array" ref="BE8:BE8">IF(COLUMN() - ($E8 + 5) &lt; 0, 0,
  IF(COLUMN() - ($E8 + 5) = 0, $F8,
    BD8 * (1 - IFERROR(INDEX('Inputs &amp; Assuptions'!$B$13:$B$72, COLUMN() - ($E8 + 5)), 0))
  )
)</f>
        <v>1425.35306297882</v>
      </c>
      <c r="BF8" s="80" t="n">
        <f aca="false" t="array" ref="BF8:BF8">IF(COLUMN() - ($E8 + 5) &lt; 0, 0,
  IF(COLUMN() - ($E8 + 5) = 0, $F8,
    BE8 * (1 - IFERROR(INDEX('Inputs &amp; Assuptions'!$B$13:$B$72, COLUMN() - ($E8 + 5)), 0))
  )
)</f>
        <v>1411.09953234903</v>
      </c>
      <c r="BG8" s="80" t="n">
        <f aca="false" t="array" ref="BG8:BG8">IF(COLUMN() - ($E8 + 5) &lt; 0, 0,
  IF(COLUMN() - ($E8 + 5) = 0, $F8,
    BF8 * (1 - IFERROR(INDEX('Inputs &amp; Assuptions'!$B$13:$B$72, COLUMN() - ($E8 + 5)), 0))
  )
)</f>
        <v>1396.98853702554</v>
      </c>
      <c r="BH8" s="80" t="n">
        <f aca="false" t="array" ref="BH8:BH8">IF(COLUMN() - ($E8 + 5) &lt; 0, 0,
  IF(COLUMN() - ($E8 + 5) = 0, $F8,
    BG8 * (1 - IFERROR(INDEX('Inputs &amp; Assuptions'!$B$13:$B$72, COLUMN() - ($E8 + 5)), 0))
  )
)</f>
        <v>1383.01865165529</v>
      </c>
      <c r="BI8" s="80" t="n">
        <f aca="false" t="array" ref="BI8:BI8">IF(COLUMN() - ($E8 + 5) &lt; 0, 0,
  IF(COLUMN() - ($E8 + 5) = 0, $F8,
    BH8 * (1 - IFERROR(INDEX('Inputs &amp; Assuptions'!$B$13:$B$72, COLUMN() - ($E8 + 5)), 0))
  )
)</f>
        <v>1369.18846513873</v>
      </c>
      <c r="BJ8" s="80" t="n">
        <f aca="false" t="array" ref="BJ8:BJ8">IF(COLUMN() - ($E8 + 5) &lt; 0, 0,
  IF(COLUMN() - ($E8 + 5) = 0, $F8,
    BI8 * (1 - IFERROR(INDEX('Inputs &amp; Assuptions'!$B$13:$B$72, COLUMN() - ($E8 + 5)), 0))
  )
)</f>
        <v>1355.49658048735</v>
      </c>
      <c r="BK8" s="80" t="n">
        <f aca="false" t="array" ref="BK8:BK8">IF(COLUMN() - ($E8 + 5) &lt; 0, 0,
  IF(COLUMN() - ($E8 + 5) = 0, $F8,
    BJ8 * (1 - IFERROR(INDEX('Inputs &amp; Assuptions'!$B$13:$B$72, COLUMN() - ($E8 + 5)), 0))
  )
)</f>
        <v>1341.94161468247</v>
      </c>
      <c r="BL8" s="80" t="n">
        <f aca="false" t="array" ref="BL8:BL8">IF(COLUMN() - ($E8 + 5) &lt; 0, 0,
  IF(COLUMN() - ($E8 + 5) = 0, $F8,
    BK8 * (1 - IFERROR(INDEX('Inputs &amp; Assuptions'!$B$13:$B$72, COLUMN() - ($E8 + 5)), 0))
  )
)</f>
        <v>1328.52219853565</v>
      </c>
      <c r="BM8" s="81" t="n">
        <f aca="false" t="array" ref="BM8:BM8">IF(COLUMN() - ($E8 + 5) &lt; 0, 0,
  IF(COLUMN() - ($E8 + 5) = 0, $F8,
    BL8 * (1 - IFERROR(INDEX('Inputs &amp; Assuptions'!$B$13:$B$72, COLUMN() - ($E8 + 5)), 0))
  )
)</f>
        <v>1315.23697655029</v>
      </c>
      <c r="BN8" s="76"/>
    </row>
    <row r="9" customFormat="false" ht="14.25" hidden="false" customHeight="false" outlineLevel="0" collapsed="false">
      <c r="A9" s="29" t="n">
        <f aca="false">A8+1</f>
        <v>4</v>
      </c>
      <c r="B9" s="77" t="n">
        <f aca="false">IF(MOD($A9-1, 12) = 0, $B8 * 1.05, $B8)</f>
        <v>6000</v>
      </c>
      <c r="C9" s="78" t="n">
        <f aca="false">$B9*(1-'Inputs &amp; Assuptions'!$B$12)</f>
        <v>3480</v>
      </c>
      <c r="E9" s="29" t="n">
        <f aca="false">E8+1</f>
        <v>4</v>
      </c>
      <c r="F9" s="79"/>
      <c r="G9" s="80"/>
      <c r="H9" s="80"/>
      <c r="I9" s="80" t="n">
        <f aca="false">+$C9</f>
        <v>3480</v>
      </c>
      <c r="J9" s="80" t="n">
        <f aca="false" t="array" ref="J9:J9">IF(COLUMN() - ($E9 + 5) &lt; 0, 0,
  IF(COLUMN() - ($E9 + 5) = 0, $F9,
    I9 * (1 - IFERROR(INDEX('Inputs &amp; Assuptions'!$B$13:$B$72, COLUMN() - ($E9 + 5)), 0))
  )
)</f>
        <v>3114.6</v>
      </c>
      <c r="K9" s="80" t="n">
        <f aca="false" t="array" ref="K9:K9">IF(COLUMN() - ($E9 + 5) &lt; 0, 0,
  IF(COLUMN() - ($E9 + 5) = 0, $F9,
    J9 * (1 - IFERROR(INDEX('Inputs &amp; Assuptions'!$B$13:$B$72, COLUMN() - ($E9 + 5)), 0))
  )
)</f>
        <v>2865.432</v>
      </c>
      <c r="L9" s="80" t="n">
        <f aca="false" t="array" ref="L9:L9">IF(COLUMN() - ($E9 + 5) &lt; 0, 0,
  IF(COLUMN() - ($E9 + 5) = 0, $F9,
    K9 * (1 - IFERROR(INDEX('Inputs &amp; Assuptions'!$B$13:$B$72, COLUMN() - ($E9 + 5)), 0))
  )
)</f>
        <v>2707.83324</v>
      </c>
      <c r="M9" s="80" t="n">
        <f aca="false" t="array" ref="M9:M9">IF(COLUMN() - ($E9 + 5) &lt; 0, 0,
  IF(COLUMN() - ($E9 + 5) = 0, $F9,
    L9 * (1 - IFERROR(INDEX('Inputs &amp; Assuptions'!$B$13:$B$72, COLUMN() - ($E9 + 5)), 0))
  )
)</f>
        <v>2572.441578</v>
      </c>
      <c r="N9" s="80" t="n">
        <f aca="false" t="array" ref="N9:N9">IF(COLUMN() - ($E9 + 5) &lt; 0, 0,
  IF(COLUMN() - ($E9 + 5) = 0, $F9,
    M9 * (1 - IFERROR(INDEX('Inputs &amp; Assuptions'!$B$13:$B$72, COLUMN() - ($E9 + 5)), 0))
  )
)</f>
        <v>2456.68170699</v>
      </c>
      <c r="O9" s="80" t="n">
        <f aca="false" t="array" ref="O9:O9">IF(COLUMN() - ($E9 + 5) &lt; 0, 0,
  IF(COLUMN() - ($E9 + 5) = 0, $F9,
    N9 * (1 - IFERROR(INDEX('Inputs &amp; Assuptions'!$B$13:$B$72, COLUMN() - ($E9 + 5)), 0))
  )
)</f>
        <v>2358.4144387104</v>
      </c>
      <c r="P9" s="80" t="n">
        <f aca="false" t="array" ref="P9:P9">IF(COLUMN() - ($E9 + 5) &lt; 0, 0,
  IF(COLUMN() - ($E9 + 5) = 0, $F9,
    O9 * (1 - IFERROR(INDEX('Inputs &amp; Assuptions'!$B$13:$B$72, COLUMN() - ($E9 + 5)), 0))
  )
)</f>
        <v>2275.86993335554</v>
      </c>
      <c r="Q9" s="80" t="n">
        <f aca="false" t="array" ref="Q9:Q9">IF(COLUMN() - ($E9 + 5) &lt; 0, 0,
  IF(COLUMN() - ($E9 + 5) = 0, $F9,
    P9 * (1 - IFERROR(INDEX('Inputs &amp; Assuptions'!$B$13:$B$72, COLUMN() - ($E9 + 5)), 0))
  )
)</f>
        <v>2207.59383535487</v>
      </c>
      <c r="R9" s="80" t="n">
        <f aca="false" t="array" ref="R9:R9">IF(COLUMN() - ($E9 + 5) &lt; 0, 0,
  IF(COLUMN() - ($E9 + 5) = 0, $F9,
    Q9 * (1 - IFERROR(INDEX('Inputs &amp; Assuptions'!$B$13:$B$72, COLUMN() - ($E9 + 5)), 0))
  )
)</f>
        <v>2152.403989471</v>
      </c>
      <c r="S9" s="80" t="n">
        <f aca="false" t="array" ref="S9:S9">IF(COLUMN() - ($E9 + 5) &lt; 0, 0,
  IF(COLUMN() - ($E9 + 5) = 0, $F9,
    R9 * (1 - IFERROR(INDEX('Inputs &amp; Assuptions'!$B$13:$B$72, COLUMN() - ($E9 + 5)), 0))
  )
)</f>
        <v>2109.35590968158</v>
      </c>
      <c r="T9" s="80" t="n">
        <f aca="false" t="array" ref="T9:T9">IF(COLUMN() - ($E9 + 5) &lt; 0, 0,
  IF(COLUMN() - ($E9 + 5) = 0, $F9,
    S9 * (1 - IFERROR(INDEX('Inputs &amp; Assuptions'!$B$13:$B$72, COLUMN() - ($E9 + 5)), 0))
  )
)</f>
        <v>2088.26235058476</v>
      </c>
      <c r="U9" s="80" t="n">
        <f aca="false" t="array" ref="U9:U9">IF(COLUMN() - ($E9 + 5) &lt; 0, 0,
  IF(COLUMN() - ($E9 + 5) = 0, $F9,
    T9 * (1 - IFERROR(INDEX('Inputs &amp; Assuptions'!$B$13:$B$72, COLUMN() - ($E9 + 5)), 0))
  )
)</f>
        <v>2067.37972707891</v>
      </c>
      <c r="V9" s="80" t="n">
        <f aca="false" t="array" ref="V9:V9">IF(COLUMN() - ($E9 + 5) &lt; 0, 0,
  IF(COLUMN() - ($E9 + 5) = 0, $F9,
    U9 * (1 - IFERROR(INDEX('Inputs &amp; Assuptions'!$B$13:$B$72, COLUMN() - ($E9 + 5)), 0))
  )
)</f>
        <v>2046.70592980813</v>
      </c>
      <c r="W9" s="80" t="n">
        <f aca="false" t="array" ref="W9:W9">IF(COLUMN() - ($E9 + 5) &lt; 0, 0,
  IF(COLUMN() - ($E9 + 5) = 0, $F9,
    V9 * (1 - IFERROR(INDEX('Inputs &amp; Assuptions'!$B$13:$B$72, COLUMN() - ($E9 + 5)), 0))
  )
)</f>
        <v>2026.23887051004</v>
      </c>
      <c r="X9" s="80" t="n">
        <f aca="false" t="array" ref="X9:X9">IF(COLUMN() - ($E9 + 5) &lt; 0, 0,
  IF(COLUMN() - ($E9 + 5) = 0, $F9,
    W9 * (1 - IFERROR(INDEX('Inputs &amp; Assuptions'!$B$13:$B$72, COLUMN() - ($E9 + 5)), 0))
  )
)</f>
        <v>2005.97648180494</v>
      </c>
      <c r="Y9" s="80" t="n">
        <f aca="false" t="array" ref="Y9:Y9">IF(COLUMN() - ($E9 + 5) &lt; 0, 0,
  IF(COLUMN() - ($E9 + 5) = 0, $F9,
    X9 * (1 - IFERROR(INDEX('Inputs &amp; Assuptions'!$B$13:$B$72, COLUMN() - ($E9 + 5)), 0))
  )
)</f>
        <v>1985.91671698689</v>
      </c>
      <c r="Z9" s="80" t="n">
        <f aca="false" t="array" ref="Z9:Z9">IF(COLUMN() - ($E9 + 5) &lt; 0, 0,
  IF(COLUMN() - ($E9 + 5) = 0, $F9,
    Y9 * (1 - IFERROR(INDEX('Inputs &amp; Assuptions'!$B$13:$B$72, COLUMN() - ($E9 + 5)), 0))
  )
)</f>
        <v>1966.05754981703</v>
      </c>
      <c r="AA9" s="80" t="n">
        <f aca="false" t="array" ref="AA9:AA9">IF(COLUMN() - ($E9 + 5) &lt; 0, 0,
  IF(COLUMN() - ($E9 + 5) = 0, $F9,
    Z9 * (1 - IFERROR(INDEX('Inputs &amp; Assuptions'!$B$13:$B$72, COLUMN() - ($E9 + 5)), 0))
  )
)</f>
        <v>1946.39697431885</v>
      </c>
      <c r="AB9" s="80" t="n">
        <f aca="false" t="array" ref="AB9:AB9">IF(COLUMN() - ($E9 + 5) &lt; 0, 0,
  IF(COLUMN() - ($E9 + 5) = 0, $F9,
    AA9 * (1 - IFERROR(INDEX('Inputs &amp; Assuptions'!$B$13:$B$72, COLUMN() - ($E9 + 5)), 0))
  )
)</f>
        <v>1926.93300457567</v>
      </c>
      <c r="AC9" s="80" t="n">
        <f aca="false" t="array" ref="AC9:AC9">IF(COLUMN() - ($E9 + 5) &lt; 0, 0,
  IF(COLUMN() - ($E9 + 5) = 0, $F9,
    AB9 * (1 - IFERROR(INDEX('Inputs &amp; Assuptions'!$B$13:$B$72, COLUMN() - ($E9 + 5)), 0))
  )
)</f>
        <v>1907.66367452991</v>
      </c>
      <c r="AD9" s="80" t="n">
        <f aca="false" t="array" ref="AD9:AD9">IF(COLUMN() - ($E9 + 5) &lt; 0, 0,
  IF(COLUMN() - ($E9 + 5) = 0, $F9,
    AC9 * (1 - IFERROR(INDEX('Inputs &amp; Assuptions'!$B$13:$B$72, COLUMN() - ($E9 + 5)), 0))
  )
)</f>
        <v>1888.58703778461</v>
      </c>
      <c r="AE9" s="80" t="n">
        <f aca="false" t="array" ref="AE9:AE9">IF(COLUMN() - ($E9 + 5) &lt; 0, 0,
  IF(COLUMN() - ($E9 + 5) = 0, $F9,
    AD9 * (1 - IFERROR(INDEX('Inputs &amp; Assuptions'!$B$13:$B$72, COLUMN() - ($E9 + 5)), 0))
  )
)</f>
        <v>1869.70116740676</v>
      </c>
      <c r="AF9" s="80" t="n">
        <f aca="false" t="array" ref="AF9:AF9">IF(COLUMN() - ($E9 + 5) &lt; 0, 0,
  IF(COLUMN() - ($E9 + 5) = 0, $F9,
    AE9 * (1 - IFERROR(INDEX('Inputs &amp; Assuptions'!$B$13:$B$72, COLUMN() - ($E9 + 5)), 0))
  )
)</f>
        <v>1851.0041557327</v>
      </c>
      <c r="AG9" s="80" t="n">
        <f aca="false" t="array" ref="AG9:AG9">IF(COLUMN() - ($E9 + 5) &lt; 0, 0,
  IF(COLUMN() - ($E9 + 5) = 0, $F9,
    AF9 * (1 - IFERROR(INDEX('Inputs &amp; Assuptions'!$B$13:$B$72, COLUMN() - ($E9 + 5)), 0))
  )
)</f>
        <v>1832.49411417537</v>
      </c>
      <c r="AH9" s="80" t="n">
        <f aca="false" t="array" ref="AH9:AH9">IF(COLUMN() - ($E9 + 5) &lt; 0, 0,
  IF(COLUMN() - ($E9 + 5) = 0, $F9,
    AG9 * (1 - IFERROR(INDEX('Inputs &amp; Assuptions'!$B$13:$B$72, COLUMN() - ($E9 + 5)), 0))
  )
)</f>
        <v>1814.16917303362</v>
      </c>
      <c r="AI9" s="80" t="n">
        <f aca="false" t="array" ref="AI9:AI9">IF(COLUMN() - ($E9 + 5) &lt; 0, 0,
  IF(COLUMN() - ($E9 + 5) = 0, $F9,
    AH9 * (1 - IFERROR(INDEX('Inputs &amp; Assuptions'!$B$13:$B$72, COLUMN() - ($E9 + 5)), 0))
  )
)</f>
        <v>1796.02748130328</v>
      </c>
      <c r="AJ9" s="80" t="n">
        <f aca="false" t="array" ref="AJ9:AJ9">IF(COLUMN() - ($E9 + 5) &lt; 0, 0,
  IF(COLUMN() - ($E9 + 5) = 0, $F9,
    AI9 * (1 - IFERROR(INDEX('Inputs &amp; Assuptions'!$B$13:$B$72, COLUMN() - ($E9 + 5)), 0))
  )
)</f>
        <v>1778.06720649025</v>
      </c>
      <c r="AK9" s="80" t="n">
        <f aca="false" t="array" ref="AK9:AK9">IF(COLUMN() - ($E9 + 5) &lt; 0, 0,
  IF(COLUMN() - ($E9 + 5) = 0, $F9,
    AJ9 * (1 - IFERROR(INDEX('Inputs &amp; Assuptions'!$B$13:$B$72, COLUMN() - ($E9 + 5)), 0))
  )
)</f>
        <v>1760.28653442534</v>
      </c>
      <c r="AL9" s="80" t="n">
        <f aca="false" t="array" ref="AL9:AL9">IF(COLUMN() - ($E9 + 5) &lt; 0, 0,
  IF(COLUMN() - ($E9 + 5) = 0, $F9,
    AK9 * (1 - IFERROR(INDEX('Inputs &amp; Assuptions'!$B$13:$B$72, COLUMN() - ($E9 + 5)), 0))
  )
)</f>
        <v>1742.68366908109</v>
      </c>
      <c r="AM9" s="80" t="n">
        <f aca="false" t="array" ref="AM9:AM9">IF(COLUMN() - ($E9 + 5) &lt; 0, 0,
  IF(COLUMN() - ($E9 + 5) = 0, $F9,
    AL9 * (1 - IFERROR(INDEX('Inputs &amp; Assuptions'!$B$13:$B$72, COLUMN() - ($E9 + 5)), 0))
  )
)</f>
        <v>1725.25683239028</v>
      </c>
      <c r="AN9" s="80" t="n">
        <f aca="false" t="array" ref="AN9:AN9">IF(COLUMN() - ($E9 + 5) &lt; 0, 0,
  IF(COLUMN() - ($E9 + 5) = 0, $F9,
    AM9 * (1 - IFERROR(INDEX('Inputs &amp; Assuptions'!$B$13:$B$72, COLUMN() - ($E9 + 5)), 0))
  )
)</f>
        <v>1708.00426406638</v>
      </c>
      <c r="AO9" s="80" t="n">
        <f aca="false" t="array" ref="AO9:AO9">IF(COLUMN() - ($E9 + 5) &lt; 0, 0,
  IF(COLUMN() - ($E9 + 5) = 0, $F9,
    AN9 * (1 - IFERROR(INDEX('Inputs &amp; Assuptions'!$B$13:$B$72, COLUMN() - ($E9 + 5)), 0))
  )
)</f>
        <v>1690.92422142571</v>
      </c>
      <c r="AP9" s="80" t="n">
        <f aca="false" t="array" ref="AP9:AP9">IF(COLUMN() - ($E9 + 5) &lt; 0, 0,
  IF(COLUMN() - ($E9 + 5) = 0, $F9,
    AO9 * (1 - IFERROR(INDEX('Inputs &amp; Assuptions'!$B$13:$B$72, COLUMN() - ($E9 + 5)), 0))
  )
)</f>
        <v>1674.01497921146</v>
      </c>
      <c r="AQ9" s="80" t="n">
        <f aca="false" t="array" ref="AQ9:AQ9">IF(COLUMN() - ($E9 + 5) &lt; 0, 0,
  IF(COLUMN() - ($E9 + 5) = 0, $F9,
    AP9 * (1 - IFERROR(INDEX('Inputs &amp; Assuptions'!$B$13:$B$72, COLUMN() - ($E9 + 5)), 0))
  )
)</f>
        <v>1657.27482941934</v>
      </c>
      <c r="AR9" s="80" t="n">
        <f aca="false" t="array" ref="AR9:AR9">IF(COLUMN() - ($E9 + 5) &lt; 0, 0,
  IF(COLUMN() - ($E9 + 5) = 0, $F9,
    AQ9 * (1 - IFERROR(INDEX('Inputs &amp; Assuptions'!$B$13:$B$72, COLUMN() - ($E9 + 5)), 0))
  )
)</f>
        <v>1640.70208112515</v>
      </c>
      <c r="AS9" s="80" t="n">
        <f aca="false" t="array" ref="AS9:AS9">IF(COLUMN() - ($E9 + 5) &lt; 0, 0,
  IF(COLUMN() - ($E9 + 5) = 0, $F9,
    AR9 * (1 - IFERROR(INDEX('Inputs &amp; Assuptions'!$B$13:$B$72, COLUMN() - ($E9 + 5)), 0))
  )
)</f>
        <v>1624.2950603139</v>
      </c>
      <c r="AT9" s="80" t="n">
        <f aca="false" t="array" ref="AT9:AT9">IF(COLUMN() - ($E9 + 5) &lt; 0, 0,
  IF(COLUMN() - ($E9 + 5) = 0, $F9,
    AS9 * (1 - IFERROR(INDEX('Inputs &amp; Assuptions'!$B$13:$B$72, COLUMN() - ($E9 + 5)), 0))
  )
)</f>
        <v>1608.05210971076</v>
      </c>
      <c r="AU9" s="80" t="n">
        <f aca="false" t="array" ref="AU9:AU9">IF(COLUMN() - ($E9 + 5) &lt; 0, 0,
  IF(COLUMN() - ($E9 + 5) = 0, $F9,
    AT9 * (1 - IFERROR(INDEX('Inputs &amp; Assuptions'!$B$13:$B$72, COLUMN() - ($E9 + 5)), 0))
  )
)</f>
        <v>1591.97158861365</v>
      </c>
      <c r="AV9" s="80" t="n">
        <f aca="false" t="array" ref="AV9:AV9">IF(COLUMN() - ($E9 + 5) &lt; 0, 0,
  IF(COLUMN() - ($E9 + 5) = 0, $F9,
    AU9 * (1 - IFERROR(INDEX('Inputs &amp; Assuptions'!$B$13:$B$72, COLUMN() - ($E9 + 5)), 0))
  )
)</f>
        <v>1576.05187272751</v>
      </c>
      <c r="AW9" s="80" t="n">
        <f aca="false" t="array" ref="AW9:AW9">IF(COLUMN() - ($E9 + 5) &lt; 0, 0,
  IF(COLUMN() - ($E9 + 5) = 0, $F9,
    AV9 * (1 - IFERROR(INDEX('Inputs &amp; Assuptions'!$B$13:$B$72, COLUMN() - ($E9 + 5)), 0))
  )
)</f>
        <v>1560.29135400024</v>
      </c>
      <c r="AX9" s="80" t="n">
        <f aca="false" t="array" ref="AX9:AX9">IF(COLUMN() - ($E9 + 5) &lt; 0, 0,
  IF(COLUMN() - ($E9 + 5) = 0, $F9,
    AW9 * (1 - IFERROR(INDEX('Inputs &amp; Assuptions'!$B$13:$B$72, COLUMN() - ($E9 + 5)), 0))
  )
)</f>
        <v>1544.68844046024</v>
      </c>
      <c r="AY9" s="80" t="n">
        <f aca="false" t="array" ref="AY9:AY9">IF(COLUMN() - ($E9 + 5) &lt; 0, 0,
  IF(COLUMN() - ($E9 + 5) = 0, $F9,
    AX9 * (1 - IFERROR(INDEX('Inputs &amp; Assuptions'!$B$13:$B$72, COLUMN() - ($E9 + 5)), 0))
  )
)</f>
        <v>1529.24155605563</v>
      </c>
      <c r="AZ9" s="80" t="n">
        <f aca="false" t="array" ref="AZ9:AZ9">IF(COLUMN() - ($E9 + 5) &lt; 0, 0,
  IF(COLUMN() - ($E9 + 5) = 0, $F9,
    AY9 * (1 - IFERROR(INDEX('Inputs &amp; Assuptions'!$B$13:$B$72, COLUMN() - ($E9 + 5)), 0))
  )
)</f>
        <v>1513.94914049508</v>
      </c>
      <c r="BA9" s="80" t="n">
        <f aca="false" t="array" ref="BA9:BA9">IF(COLUMN() - ($E9 + 5) &lt; 0, 0,
  IF(COLUMN() - ($E9 + 5) = 0, $F9,
    AZ9 * (1 - IFERROR(INDEX('Inputs &amp; Assuptions'!$B$13:$B$72, COLUMN() - ($E9 + 5)), 0))
  )
)</f>
        <v>1498.80964909013</v>
      </c>
      <c r="BB9" s="80" t="n">
        <f aca="false" t="array" ref="BB9:BB9">IF(COLUMN() - ($E9 + 5) &lt; 0, 0,
  IF(COLUMN() - ($E9 + 5) = 0, $F9,
    BA9 * (1 - IFERROR(INDEX('Inputs &amp; Assuptions'!$B$13:$B$72, COLUMN() - ($E9 + 5)), 0))
  )
)</f>
        <v>1483.82155259923</v>
      </c>
      <c r="BC9" s="80" t="n">
        <f aca="false" t="array" ref="BC9:BC9">IF(COLUMN() - ($E9 + 5) &lt; 0, 0,
  IF(COLUMN() - ($E9 + 5) = 0, $F9,
    BB9 * (1 - IFERROR(INDEX('Inputs &amp; Assuptions'!$B$13:$B$72, COLUMN() - ($E9 + 5)), 0))
  )
)</f>
        <v>1468.98333707323</v>
      </c>
      <c r="BD9" s="80" t="n">
        <f aca="false" t="array" ref="BD9:BD9">IF(COLUMN() - ($E9 + 5) &lt; 0, 0,
  IF(COLUMN() - ($E9 + 5) = 0, $F9,
    BC9 * (1 - IFERROR(INDEX('Inputs &amp; Assuptions'!$B$13:$B$72, COLUMN() - ($E9 + 5)), 0))
  )
)</f>
        <v>1454.2935037025</v>
      </c>
      <c r="BE9" s="80" t="n">
        <f aca="false" t="array" ref="BE9:BE9">IF(COLUMN() - ($E9 + 5) &lt; 0, 0,
  IF(COLUMN() - ($E9 + 5) = 0, $F9,
    BD9 * (1 - IFERROR(INDEX('Inputs &amp; Assuptions'!$B$13:$B$72, COLUMN() - ($E9 + 5)), 0))
  )
)</f>
        <v>1439.75056866548</v>
      </c>
      <c r="BF9" s="80" t="n">
        <f aca="false" t="array" ref="BF9:BF9">IF(COLUMN() - ($E9 + 5) &lt; 0, 0,
  IF(COLUMN() - ($E9 + 5) = 0, $F9,
    BE9 * (1 - IFERROR(INDEX('Inputs &amp; Assuptions'!$B$13:$B$72, COLUMN() - ($E9 + 5)), 0))
  )
)</f>
        <v>1425.35306297882</v>
      </c>
      <c r="BG9" s="80" t="n">
        <f aca="false" t="array" ref="BG9:BG9">IF(COLUMN() - ($E9 + 5) &lt; 0, 0,
  IF(COLUMN() - ($E9 + 5) = 0, $F9,
    BF9 * (1 - IFERROR(INDEX('Inputs &amp; Assuptions'!$B$13:$B$72, COLUMN() - ($E9 + 5)), 0))
  )
)</f>
        <v>1411.09953234903</v>
      </c>
      <c r="BH9" s="80" t="n">
        <f aca="false" t="array" ref="BH9:BH9">IF(COLUMN() - ($E9 + 5) &lt; 0, 0,
  IF(COLUMN() - ($E9 + 5) = 0, $F9,
    BG9 * (1 - IFERROR(INDEX('Inputs &amp; Assuptions'!$B$13:$B$72, COLUMN() - ($E9 + 5)), 0))
  )
)</f>
        <v>1396.98853702554</v>
      </c>
      <c r="BI9" s="80" t="n">
        <f aca="false" t="array" ref="BI9:BI9">IF(COLUMN() - ($E9 + 5) &lt; 0, 0,
  IF(COLUMN() - ($E9 + 5) = 0, $F9,
    BH9 * (1 - IFERROR(INDEX('Inputs &amp; Assuptions'!$B$13:$B$72, COLUMN() - ($E9 + 5)), 0))
  )
)</f>
        <v>1383.01865165529</v>
      </c>
      <c r="BJ9" s="80" t="n">
        <f aca="false" t="array" ref="BJ9:BJ9">IF(COLUMN() - ($E9 + 5) &lt; 0, 0,
  IF(COLUMN() - ($E9 + 5) = 0, $F9,
    BI9 * (1 - IFERROR(INDEX('Inputs &amp; Assuptions'!$B$13:$B$72, COLUMN() - ($E9 + 5)), 0))
  )
)</f>
        <v>1369.18846513873</v>
      </c>
      <c r="BK9" s="80" t="n">
        <f aca="false" t="array" ref="BK9:BK9">IF(COLUMN() - ($E9 + 5) &lt; 0, 0,
  IF(COLUMN() - ($E9 + 5) = 0, $F9,
    BJ9 * (1 - IFERROR(INDEX('Inputs &amp; Assuptions'!$B$13:$B$72, COLUMN() - ($E9 + 5)), 0))
  )
)</f>
        <v>1355.49658048735</v>
      </c>
      <c r="BL9" s="80" t="n">
        <f aca="false" t="array" ref="BL9:BL9">IF(COLUMN() - ($E9 + 5) &lt; 0, 0,
  IF(COLUMN() - ($E9 + 5) = 0, $F9,
    BK9 * (1 - IFERROR(INDEX('Inputs &amp; Assuptions'!$B$13:$B$72, COLUMN() - ($E9 + 5)), 0))
  )
)</f>
        <v>1341.94161468247</v>
      </c>
      <c r="BM9" s="81" t="n">
        <f aca="false" t="array" ref="BM9:BM9">IF(COLUMN() - ($E9 + 5) &lt; 0, 0,
  IF(COLUMN() - ($E9 + 5) = 0, $F9,
    BL9 * (1 - IFERROR(INDEX('Inputs &amp; Assuptions'!$B$13:$B$72, COLUMN() - ($E9 + 5)), 0))
  )
)</f>
        <v>1328.52219853565</v>
      </c>
      <c r="BN9" s="76"/>
    </row>
    <row r="10" customFormat="false" ht="14.25" hidden="false" customHeight="false" outlineLevel="0" collapsed="false">
      <c r="A10" s="29" t="n">
        <f aca="false">A9+1</f>
        <v>5</v>
      </c>
      <c r="B10" s="77" t="n">
        <f aca="false">IF(MOD($A10-1, 12) = 0, $B9 * 1.05, $B9)</f>
        <v>6000</v>
      </c>
      <c r="C10" s="78" t="n">
        <f aca="false">$B10*(1-'Inputs &amp; Assuptions'!$B$12)</f>
        <v>3480</v>
      </c>
      <c r="E10" s="29" t="n">
        <f aca="false">E9+1</f>
        <v>5</v>
      </c>
      <c r="F10" s="79"/>
      <c r="G10" s="80"/>
      <c r="H10" s="80"/>
      <c r="I10" s="80"/>
      <c r="J10" s="80" t="n">
        <f aca="false">+$C10</f>
        <v>3480</v>
      </c>
      <c r="K10" s="80" t="n">
        <f aca="false" t="array" ref="K10:K10">IF(COLUMN() - ($E10 + 5) &lt; 0, 0,
  IF(COLUMN() - ($E10 + 5) = 0, $F10,
    J10 * (1 - IFERROR(INDEX('Inputs &amp; Assuptions'!$B$13:$B$72, COLUMN() - ($E10 + 5)), 0))
  )
)</f>
        <v>3114.6</v>
      </c>
      <c r="L10" s="80" t="n">
        <f aca="false" t="array" ref="L10:L10">IF(COLUMN() - ($E10 + 5) &lt; 0, 0,
  IF(COLUMN() - ($E10 + 5) = 0, $F10,
    K10 * (1 - IFERROR(INDEX('Inputs &amp; Assuptions'!$B$13:$B$72, COLUMN() - ($E10 + 5)), 0))
  )
)</f>
        <v>2865.432</v>
      </c>
      <c r="M10" s="80" t="n">
        <f aca="false" t="array" ref="M10:M10">IF(COLUMN() - ($E10 + 5) &lt; 0, 0,
  IF(COLUMN() - ($E10 + 5) = 0, $F10,
    L10 * (1 - IFERROR(INDEX('Inputs &amp; Assuptions'!$B$13:$B$72, COLUMN() - ($E10 + 5)), 0))
  )
)</f>
        <v>2707.83324</v>
      </c>
      <c r="N10" s="80" t="n">
        <f aca="false" t="array" ref="N10:N10">IF(COLUMN() - ($E10 + 5) &lt; 0, 0,
  IF(COLUMN() - ($E10 + 5) = 0, $F10,
    M10 * (1 - IFERROR(INDEX('Inputs &amp; Assuptions'!$B$13:$B$72, COLUMN() - ($E10 + 5)), 0))
  )
)</f>
        <v>2572.441578</v>
      </c>
      <c r="O10" s="80" t="n">
        <f aca="false" t="array" ref="O10:O10">IF(COLUMN() - ($E10 + 5) &lt; 0, 0,
  IF(COLUMN() - ($E10 + 5) = 0, $F10,
    N10 * (1 - IFERROR(INDEX('Inputs &amp; Assuptions'!$B$13:$B$72, COLUMN() - ($E10 + 5)), 0))
  )
)</f>
        <v>2456.68170699</v>
      </c>
      <c r="P10" s="80" t="n">
        <f aca="false" t="array" ref="P10:P10">IF(COLUMN() - ($E10 + 5) &lt; 0, 0,
  IF(COLUMN() - ($E10 + 5) = 0, $F10,
    O10 * (1 - IFERROR(INDEX('Inputs &amp; Assuptions'!$B$13:$B$72, COLUMN() - ($E10 + 5)), 0))
  )
)</f>
        <v>2358.4144387104</v>
      </c>
      <c r="Q10" s="80" t="n">
        <f aca="false" t="array" ref="Q10:Q10">IF(COLUMN() - ($E10 + 5) &lt; 0, 0,
  IF(COLUMN() - ($E10 + 5) = 0, $F10,
    P10 * (1 - IFERROR(INDEX('Inputs &amp; Assuptions'!$B$13:$B$72, COLUMN() - ($E10 + 5)), 0))
  )
)</f>
        <v>2275.86993335554</v>
      </c>
      <c r="R10" s="80" t="n">
        <f aca="false" t="array" ref="R10:R10">IF(COLUMN() - ($E10 + 5) &lt; 0, 0,
  IF(COLUMN() - ($E10 + 5) = 0, $F10,
    Q10 * (1 - IFERROR(INDEX('Inputs &amp; Assuptions'!$B$13:$B$72, COLUMN() - ($E10 + 5)), 0))
  )
)</f>
        <v>2207.59383535487</v>
      </c>
      <c r="S10" s="80" t="n">
        <f aca="false" t="array" ref="S10:S10">IF(COLUMN() - ($E10 + 5) &lt; 0, 0,
  IF(COLUMN() - ($E10 + 5) = 0, $F10,
    R10 * (1 - IFERROR(INDEX('Inputs &amp; Assuptions'!$B$13:$B$72, COLUMN() - ($E10 + 5)), 0))
  )
)</f>
        <v>2152.403989471</v>
      </c>
      <c r="T10" s="80" t="n">
        <f aca="false" t="array" ref="T10:T10">IF(COLUMN() - ($E10 + 5) &lt; 0, 0,
  IF(COLUMN() - ($E10 + 5) = 0, $F10,
    S10 * (1 - IFERROR(INDEX('Inputs &amp; Assuptions'!$B$13:$B$72, COLUMN() - ($E10 + 5)), 0))
  )
)</f>
        <v>2109.35590968158</v>
      </c>
      <c r="U10" s="80" t="n">
        <f aca="false" t="array" ref="U10:U10">IF(COLUMN() - ($E10 + 5) &lt; 0, 0,
  IF(COLUMN() - ($E10 + 5) = 0, $F10,
    T10 * (1 - IFERROR(INDEX('Inputs &amp; Assuptions'!$B$13:$B$72, COLUMN() - ($E10 + 5)), 0))
  )
)</f>
        <v>2088.26235058476</v>
      </c>
      <c r="V10" s="80" t="n">
        <f aca="false" t="array" ref="V10:V10">IF(COLUMN() - ($E10 + 5) &lt; 0, 0,
  IF(COLUMN() - ($E10 + 5) = 0, $F10,
    U10 * (1 - IFERROR(INDEX('Inputs &amp; Assuptions'!$B$13:$B$72, COLUMN() - ($E10 + 5)), 0))
  )
)</f>
        <v>2067.37972707891</v>
      </c>
      <c r="W10" s="80" t="n">
        <f aca="false" t="array" ref="W10:W10">IF(COLUMN() - ($E10 + 5) &lt; 0, 0,
  IF(COLUMN() - ($E10 + 5) = 0, $F10,
    V10 * (1 - IFERROR(INDEX('Inputs &amp; Assuptions'!$B$13:$B$72, COLUMN() - ($E10 + 5)), 0))
  )
)</f>
        <v>2046.70592980813</v>
      </c>
      <c r="X10" s="80" t="n">
        <f aca="false" t="array" ref="X10:X10">IF(COLUMN() - ($E10 + 5) &lt; 0, 0,
  IF(COLUMN() - ($E10 + 5) = 0, $F10,
    W10 * (1 - IFERROR(INDEX('Inputs &amp; Assuptions'!$B$13:$B$72, COLUMN() - ($E10 + 5)), 0))
  )
)</f>
        <v>2026.23887051004</v>
      </c>
      <c r="Y10" s="80" t="n">
        <f aca="false" t="array" ref="Y10:Y10">IF(COLUMN() - ($E10 + 5) &lt; 0, 0,
  IF(COLUMN() - ($E10 + 5) = 0, $F10,
    X10 * (1 - IFERROR(INDEX('Inputs &amp; Assuptions'!$B$13:$B$72, COLUMN() - ($E10 + 5)), 0))
  )
)</f>
        <v>2005.97648180494</v>
      </c>
      <c r="Z10" s="80" t="n">
        <f aca="false" t="array" ref="Z10:Z10">IF(COLUMN() - ($E10 + 5) &lt; 0, 0,
  IF(COLUMN() - ($E10 + 5) = 0, $F10,
    Y10 * (1 - IFERROR(INDEX('Inputs &amp; Assuptions'!$B$13:$B$72, COLUMN() - ($E10 + 5)), 0))
  )
)</f>
        <v>1985.91671698689</v>
      </c>
      <c r="AA10" s="80" t="n">
        <f aca="false" t="array" ref="AA10:AA10">IF(COLUMN() - ($E10 + 5) &lt; 0, 0,
  IF(COLUMN() - ($E10 + 5) = 0, $F10,
    Z10 * (1 - IFERROR(INDEX('Inputs &amp; Assuptions'!$B$13:$B$72, COLUMN() - ($E10 + 5)), 0))
  )
)</f>
        <v>1966.05754981703</v>
      </c>
      <c r="AB10" s="80" t="n">
        <f aca="false" t="array" ref="AB10:AB10">IF(COLUMN() - ($E10 + 5) &lt; 0, 0,
  IF(COLUMN() - ($E10 + 5) = 0, $F10,
    AA10 * (1 - IFERROR(INDEX('Inputs &amp; Assuptions'!$B$13:$B$72, COLUMN() - ($E10 + 5)), 0))
  )
)</f>
        <v>1946.39697431885</v>
      </c>
      <c r="AC10" s="80" t="n">
        <f aca="false" t="array" ref="AC10:AC10">IF(COLUMN() - ($E10 + 5) &lt; 0, 0,
  IF(COLUMN() - ($E10 + 5) = 0, $F10,
    AB10 * (1 - IFERROR(INDEX('Inputs &amp; Assuptions'!$B$13:$B$72, COLUMN() - ($E10 + 5)), 0))
  )
)</f>
        <v>1926.93300457567</v>
      </c>
      <c r="AD10" s="80" t="n">
        <f aca="false" t="array" ref="AD10:AD10">IF(COLUMN() - ($E10 + 5) &lt; 0, 0,
  IF(COLUMN() - ($E10 + 5) = 0, $F10,
    AC10 * (1 - IFERROR(INDEX('Inputs &amp; Assuptions'!$B$13:$B$72, COLUMN() - ($E10 + 5)), 0))
  )
)</f>
        <v>1907.66367452991</v>
      </c>
      <c r="AE10" s="80" t="n">
        <f aca="false" t="array" ref="AE10:AE10">IF(COLUMN() - ($E10 + 5) &lt; 0, 0,
  IF(COLUMN() - ($E10 + 5) = 0, $F10,
    AD10 * (1 - IFERROR(INDEX('Inputs &amp; Assuptions'!$B$13:$B$72, COLUMN() - ($E10 + 5)), 0))
  )
)</f>
        <v>1888.58703778461</v>
      </c>
      <c r="AF10" s="80" t="n">
        <f aca="false" t="array" ref="AF10:AF10">IF(COLUMN() - ($E10 + 5) &lt; 0, 0,
  IF(COLUMN() - ($E10 + 5) = 0, $F10,
    AE10 * (1 - IFERROR(INDEX('Inputs &amp; Assuptions'!$B$13:$B$72, COLUMN() - ($E10 + 5)), 0))
  )
)</f>
        <v>1869.70116740676</v>
      </c>
      <c r="AG10" s="80" t="n">
        <f aca="false" t="array" ref="AG10:AG10">IF(COLUMN() - ($E10 + 5) &lt; 0, 0,
  IF(COLUMN() - ($E10 + 5) = 0, $F10,
    AF10 * (1 - IFERROR(INDEX('Inputs &amp; Assuptions'!$B$13:$B$72, COLUMN() - ($E10 + 5)), 0))
  )
)</f>
        <v>1851.0041557327</v>
      </c>
      <c r="AH10" s="80" t="n">
        <f aca="false" t="array" ref="AH10:AH10">IF(COLUMN() - ($E10 + 5) &lt; 0, 0,
  IF(COLUMN() - ($E10 + 5) = 0, $F10,
    AG10 * (1 - IFERROR(INDEX('Inputs &amp; Assuptions'!$B$13:$B$72, COLUMN() - ($E10 + 5)), 0))
  )
)</f>
        <v>1832.49411417537</v>
      </c>
      <c r="AI10" s="80" t="n">
        <f aca="false" t="array" ref="AI10:AI10">IF(COLUMN() - ($E10 + 5) &lt; 0, 0,
  IF(COLUMN() - ($E10 + 5) = 0, $F10,
    AH10 * (1 - IFERROR(INDEX('Inputs &amp; Assuptions'!$B$13:$B$72, COLUMN() - ($E10 + 5)), 0))
  )
)</f>
        <v>1814.16917303362</v>
      </c>
      <c r="AJ10" s="80" t="n">
        <f aca="false" t="array" ref="AJ10:AJ10">IF(COLUMN() - ($E10 + 5) &lt; 0, 0,
  IF(COLUMN() - ($E10 + 5) = 0, $F10,
    AI10 * (1 - IFERROR(INDEX('Inputs &amp; Assuptions'!$B$13:$B$72, COLUMN() - ($E10 + 5)), 0))
  )
)</f>
        <v>1796.02748130328</v>
      </c>
      <c r="AK10" s="80" t="n">
        <f aca="false" t="array" ref="AK10:AK10">IF(COLUMN() - ($E10 + 5) &lt; 0, 0,
  IF(COLUMN() - ($E10 + 5) = 0, $F10,
    AJ10 * (1 - IFERROR(INDEX('Inputs &amp; Assuptions'!$B$13:$B$72, COLUMN() - ($E10 + 5)), 0))
  )
)</f>
        <v>1778.06720649025</v>
      </c>
      <c r="AL10" s="80" t="n">
        <f aca="false" t="array" ref="AL10:AL10">IF(COLUMN() - ($E10 + 5) &lt; 0, 0,
  IF(COLUMN() - ($E10 + 5) = 0, $F10,
    AK10 * (1 - IFERROR(INDEX('Inputs &amp; Assuptions'!$B$13:$B$72, COLUMN() - ($E10 + 5)), 0))
  )
)</f>
        <v>1760.28653442534</v>
      </c>
      <c r="AM10" s="80" t="n">
        <f aca="false" t="array" ref="AM10:AM10">IF(COLUMN() - ($E10 + 5) &lt; 0, 0,
  IF(COLUMN() - ($E10 + 5) = 0, $F10,
    AL10 * (1 - IFERROR(INDEX('Inputs &amp; Assuptions'!$B$13:$B$72, COLUMN() - ($E10 + 5)), 0))
  )
)</f>
        <v>1742.68366908109</v>
      </c>
      <c r="AN10" s="80" t="n">
        <f aca="false" t="array" ref="AN10:AN10">IF(COLUMN() - ($E10 + 5) &lt; 0, 0,
  IF(COLUMN() - ($E10 + 5) = 0, $F10,
    AM10 * (1 - IFERROR(INDEX('Inputs &amp; Assuptions'!$B$13:$B$72, COLUMN() - ($E10 + 5)), 0))
  )
)</f>
        <v>1725.25683239028</v>
      </c>
      <c r="AO10" s="80" t="n">
        <f aca="false" t="array" ref="AO10:AO10">IF(COLUMN() - ($E10 + 5) &lt; 0, 0,
  IF(COLUMN() - ($E10 + 5) = 0, $F10,
    AN10 * (1 - IFERROR(INDEX('Inputs &amp; Assuptions'!$B$13:$B$72, COLUMN() - ($E10 + 5)), 0))
  )
)</f>
        <v>1708.00426406638</v>
      </c>
      <c r="AP10" s="80" t="n">
        <f aca="false" t="array" ref="AP10:AP10">IF(COLUMN() - ($E10 + 5) &lt; 0, 0,
  IF(COLUMN() - ($E10 + 5) = 0, $F10,
    AO10 * (1 - IFERROR(INDEX('Inputs &amp; Assuptions'!$B$13:$B$72, COLUMN() - ($E10 + 5)), 0))
  )
)</f>
        <v>1690.92422142571</v>
      </c>
      <c r="AQ10" s="80" t="n">
        <f aca="false" t="array" ref="AQ10:AQ10">IF(COLUMN() - ($E10 + 5) &lt; 0, 0,
  IF(COLUMN() - ($E10 + 5) = 0, $F10,
    AP10 * (1 - IFERROR(INDEX('Inputs &amp; Assuptions'!$B$13:$B$72, COLUMN() - ($E10 + 5)), 0))
  )
)</f>
        <v>1674.01497921146</v>
      </c>
      <c r="AR10" s="80" t="n">
        <f aca="false" t="array" ref="AR10:AR10">IF(COLUMN() - ($E10 + 5) &lt; 0, 0,
  IF(COLUMN() - ($E10 + 5) = 0, $F10,
    AQ10 * (1 - IFERROR(INDEX('Inputs &amp; Assuptions'!$B$13:$B$72, COLUMN() - ($E10 + 5)), 0))
  )
)</f>
        <v>1657.27482941934</v>
      </c>
      <c r="AS10" s="80" t="n">
        <f aca="false" t="array" ref="AS10:AS10">IF(COLUMN() - ($E10 + 5) &lt; 0, 0,
  IF(COLUMN() - ($E10 + 5) = 0, $F10,
    AR10 * (1 - IFERROR(INDEX('Inputs &amp; Assuptions'!$B$13:$B$72, COLUMN() - ($E10 + 5)), 0))
  )
)</f>
        <v>1640.70208112515</v>
      </c>
      <c r="AT10" s="80" t="n">
        <f aca="false" t="array" ref="AT10:AT10">IF(COLUMN() - ($E10 + 5) &lt; 0, 0,
  IF(COLUMN() - ($E10 + 5) = 0, $F10,
    AS10 * (1 - IFERROR(INDEX('Inputs &amp; Assuptions'!$B$13:$B$72, COLUMN() - ($E10 + 5)), 0))
  )
)</f>
        <v>1624.2950603139</v>
      </c>
      <c r="AU10" s="80" t="n">
        <f aca="false" t="array" ref="AU10:AU10">IF(COLUMN() - ($E10 + 5) &lt; 0, 0,
  IF(COLUMN() - ($E10 + 5) = 0, $F10,
    AT10 * (1 - IFERROR(INDEX('Inputs &amp; Assuptions'!$B$13:$B$72, COLUMN() - ($E10 + 5)), 0))
  )
)</f>
        <v>1608.05210971076</v>
      </c>
      <c r="AV10" s="80" t="n">
        <f aca="false" t="array" ref="AV10:AV10">IF(COLUMN() - ($E10 + 5) &lt; 0, 0,
  IF(COLUMN() - ($E10 + 5) = 0, $F10,
    AU10 * (1 - IFERROR(INDEX('Inputs &amp; Assuptions'!$B$13:$B$72, COLUMN() - ($E10 + 5)), 0))
  )
)</f>
        <v>1591.97158861365</v>
      </c>
      <c r="AW10" s="80" t="n">
        <f aca="false" t="array" ref="AW10:AW10">IF(COLUMN() - ($E10 + 5) &lt; 0, 0,
  IF(COLUMN() - ($E10 + 5) = 0, $F10,
    AV10 * (1 - IFERROR(INDEX('Inputs &amp; Assuptions'!$B$13:$B$72, COLUMN() - ($E10 + 5)), 0))
  )
)</f>
        <v>1576.05187272751</v>
      </c>
      <c r="AX10" s="80" t="n">
        <f aca="false" t="array" ref="AX10:AX10">IF(COLUMN() - ($E10 + 5) &lt; 0, 0,
  IF(COLUMN() - ($E10 + 5) = 0, $F10,
    AW10 * (1 - IFERROR(INDEX('Inputs &amp; Assuptions'!$B$13:$B$72, COLUMN() - ($E10 + 5)), 0))
  )
)</f>
        <v>1560.29135400024</v>
      </c>
      <c r="AY10" s="80" t="n">
        <f aca="false" t="array" ref="AY10:AY10">IF(COLUMN() - ($E10 + 5) &lt; 0, 0,
  IF(COLUMN() - ($E10 + 5) = 0, $F10,
    AX10 * (1 - IFERROR(INDEX('Inputs &amp; Assuptions'!$B$13:$B$72, COLUMN() - ($E10 + 5)), 0))
  )
)</f>
        <v>1544.68844046024</v>
      </c>
      <c r="AZ10" s="80" t="n">
        <f aca="false" t="array" ref="AZ10:AZ10">IF(COLUMN() - ($E10 + 5) &lt; 0, 0,
  IF(COLUMN() - ($E10 + 5) = 0, $F10,
    AY10 * (1 - IFERROR(INDEX('Inputs &amp; Assuptions'!$B$13:$B$72, COLUMN() - ($E10 + 5)), 0))
  )
)</f>
        <v>1529.24155605563</v>
      </c>
      <c r="BA10" s="80" t="n">
        <f aca="false" t="array" ref="BA10:BA10">IF(COLUMN() - ($E10 + 5) &lt; 0, 0,
  IF(COLUMN() - ($E10 + 5) = 0, $F10,
    AZ10 * (1 - IFERROR(INDEX('Inputs &amp; Assuptions'!$B$13:$B$72, COLUMN() - ($E10 + 5)), 0))
  )
)</f>
        <v>1513.94914049508</v>
      </c>
      <c r="BB10" s="80" t="n">
        <f aca="false" t="array" ref="BB10:BB10">IF(COLUMN() - ($E10 + 5) &lt; 0, 0,
  IF(COLUMN() - ($E10 + 5) = 0, $F10,
    BA10 * (1 - IFERROR(INDEX('Inputs &amp; Assuptions'!$B$13:$B$72, COLUMN() - ($E10 + 5)), 0))
  )
)</f>
        <v>1498.80964909013</v>
      </c>
      <c r="BC10" s="80" t="n">
        <f aca="false" t="array" ref="BC10:BC10">IF(COLUMN() - ($E10 + 5) &lt; 0, 0,
  IF(COLUMN() - ($E10 + 5) = 0, $F10,
    BB10 * (1 - IFERROR(INDEX('Inputs &amp; Assuptions'!$B$13:$B$72, COLUMN() - ($E10 + 5)), 0))
  )
)</f>
        <v>1483.82155259923</v>
      </c>
      <c r="BD10" s="80" t="n">
        <f aca="false" t="array" ref="BD10:BD10">IF(COLUMN() - ($E10 + 5) &lt; 0, 0,
  IF(COLUMN() - ($E10 + 5) = 0, $F10,
    BC10 * (1 - IFERROR(INDEX('Inputs &amp; Assuptions'!$B$13:$B$72, COLUMN() - ($E10 + 5)), 0))
  )
)</f>
        <v>1468.98333707323</v>
      </c>
      <c r="BE10" s="80" t="n">
        <f aca="false" t="array" ref="BE10:BE10">IF(COLUMN() - ($E10 + 5) &lt; 0, 0,
  IF(COLUMN() - ($E10 + 5) = 0, $F10,
    BD10 * (1 - IFERROR(INDEX('Inputs &amp; Assuptions'!$B$13:$B$72, COLUMN() - ($E10 + 5)), 0))
  )
)</f>
        <v>1454.2935037025</v>
      </c>
      <c r="BF10" s="80" t="n">
        <f aca="false" t="array" ref="BF10:BF10">IF(COLUMN() - ($E10 + 5) &lt; 0, 0,
  IF(COLUMN() - ($E10 + 5) = 0, $F10,
    BE10 * (1 - IFERROR(INDEX('Inputs &amp; Assuptions'!$B$13:$B$72, COLUMN() - ($E10 + 5)), 0))
  )
)</f>
        <v>1439.75056866548</v>
      </c>
      <c r="BG10" s="80" t="n">
        <f aca="false" t="array" ref="BG10:BG10">IF(COLUMN() - ($E10 + 5) &lt; 0, 0,
  IF(COLUMN() - ($E10 + 5) = 0, $F10,
    BF10 * (1 - IFERROR(INDEX('Inputs &amp; Assuptions'!$B$13:$B$72, COLUMN() - ($E10 + 5)), 0))
  )
)</f>
        <v>1425.35306297882</v>
      </c>
      <c r="BH10" s="80" t="n">
        <f aca="false" t="array" ref="BH10:BH10">IF(COLUMN() - ($E10 + 5) &lt; 0, 0,
  IF(COLUMN() - ($E10 + 5) = 0, $F10,
    BG10 * (1 - IFERROR(INDEX('Inputs &amp; Assuptions'!$B$13:$B$72, COLUMN() - ($E10 + 5)), 0))
  )
)</f>
        <v>1411.09953234903</v>
      </c>
      <c r="BI10" s="80" t="n">
        <f aca="false" t="array" ref="BI10:BI10">IF(COLUMN() - ($E10 + 5) &lt; 0, 0,
  IF(COLUMN() - ($E10 + 5) = 0, $F10,
    BH10 * (1 - IFERROR(INDEX('Inputs &amp; Assuptions'!$B$13:$B$72, COLUMN() - ($E10 + 5)), 0))
  )
)</f>
        <v>1396.98853702554</v>
      </c>
      <c r="BJ10" s="80" t="n">
        <f aca="false" t="array" ref="BJ10:BJ10">IF(COLUMN() - ($E10 + 5) &lt; 0, 0,
  IF(COLUMN() - ($E10 + 5) = 0, $F10,
    BI10 * (1 - IFERROR(INDEX('Inputs &amp; Assuptions'!$B$13:$B$72, COLUMN() - ($E10 + 5)), 0))
  )
)</f>
        <v>1383.01865165529</v>
      </c>
      <c r="BK10" s="80" t="n">
        <f aca="false" t="array" ref="BK10:BK10">IF(COLUMN() - ($E10 + 5) &lt; 0, 0,
  IF(COLUMN() - ($E10 + 5) = 0, $F10,
    BJ10 * (1 - IFERROR(INDEX('Inputs &amp; Assuptions'!$B$13:$B$72, COLUMN() - ($E10 + 5)), 0))
  )
)</f>
        <v>1369.18846513873</v>
      </c>
      <c r="BL10" s="80" t="n">
        <f aca="false" t="array" ref="BL10:BL10">IF(COLUMN() - ($E10 + 5) &lt; 0, 0,
  IF(COLUMN() - ($E10 + 5) = 0, $F10,
    BK10 * (1 - IFERROR(INDEX('Inputs &amp; Assuptions'!$B$13:$B$72, COLUMN() - ($E10 + 5)), 0))
  )
)</f>
        <v>1355.49658048735</v>
      </c>
      <c r="BM10" s="81" t="n">
        <f aca="false" t="array" ref="BM10:BM10">IF(COLUMN() - ($E10 + 5) &lt; 0, 0,
  IF(COLUMN() - ($E10 + 5) = 0, $F10,
    BL10 * (1 - IFERROR(INDEX('Inputs &amp; Assuptions'!$B$13:$B$72, COLUMN() - ($E10 + 5)), 0))
  )
)</f>
        <v>1341.94161468247</v>
      </c>
      <c r="BN10" s="76"/>
    </row>
    <row r="11" customFormat="false" ht="14.25" hidden="false" customHeight="false" outlineLevel="0" collapsed="false">
      <c r="A11" s="29" t="n">
        <f aca="false">A10+1</f>
        <v>6</v>
      </c>
      <c r="B11" s="77" t="n">
        <f aca="false">IF(MOD($A11-1, 12) = 0, $B10 * 1.05, $B10)</f>
        <v>6000</v>
      </c>
      <c r="C11" s="78" t="n">
        <f aca="false">$B11*(1-'Inputs &amp; Assuptions'!$B$12)</f>
        <v>3480</v>
      </c>
      <c r="E11" s="29" t="n">
        <f aca="false">E10+1</f>
        <v>6</v>
      </c>
      <c r="F11" s="79"/>
      <c r="G11" s="80"/>
      <c r="H11" s="80"/>
      <c r="I11" s="80"/>
      <c r="J11" s="80"/>
      <c r="K11" s="80" t="n">
        <f aca="false">+$C11</f>
        <v>3480</v>
      </c>
      <c r="L11" s="80" t="n">
        <f aca="false" t="array" ref="L11:L11">IF(COLUMN() - ($E11 + 5) &lt; 0, 0,
  IF(COLUMN() - ($E11 + 5) = 0, $F11,
    K11 * (1 - IFERROR(INDEX('Inputs &amp; Assuptions'!$B$13:$B$72, COLUMN() - ($E11 + 5)), 0))
  )
)</f>
        <v>3114.6</v>
      </c>
      <c r="M11" s="80" t="n">
        <f aca="false" t="array" ref="M11:M11">IF(COLUMN() - ($E11 + 5) &lt; 0, 0,
  IF(COLUMN() - ($E11 + 5) = 0, $F11,
    L11 * (1 - IFERROR(INDEX('Inputs &amp; Assuptions'!$B$13:$B$72, COLUMN() - ($E11 + 5)), 0))
  )
)</f>
        <v>2865.432</v>
      </c>
      <c r="N11" s="80" t="n">
        <f aca="false" t="array" ref="N11:N11">IF(COLUMN() - ($E11 + 5) &lt; 0, 0,
  IF(COLUMN() - ($E11 + 5) = 0, $F11,
    M11 * (1 - IFERROR(INDEX('Inputs &amp; Assuptions'!$B$13:$B$72, COLUMN() - ($E11 + 5)), 0))
  )
)</f>
        <v>2707.83324</v>
      </c>
      <c r="O11" s="80" t="n">
        <f aca="false" t="array" ref="O11:O11">IF(COLUMN() - ($E11 + 5) &lt; 0, 0,
  IF(COLUMN() - ($E11 + 5) = 0, $F11,
    N11 * (1 - IFERROR(INDEX('Inputs &amp; Assuptions'!$B$13:$B$72, COLUMN() - ($E11 + 5)), 0))
  )
)</f>
        <v>2572.441578</v>
      </c>
      <c r="P11" s="80" t="n">
        <f aca="false" t="array" ref="P11:P11">IF(COLUMN() - ($E11 + 5) &lt; 0, 0,
  IF(COLUMN() - ($E11 + 5) = 0, $F11,
    O11 * (1 - IFERROR(INDEX('Inputs &amp; Assuptions'!$B$13:$B$72, COLUMN() - ($E11 + 5)), 0))
  )
)</f>
        <v>2456.68170699</v>
      </c>
      <c r="Q11" s="80" t="n">
        <f aca="false" t="array" ref="Q11:Q11">IF(COLUMN() - ($E11 + 5) &lt; 0, 0,
  IF(COLUMN() - ($E11 + 5) = 0, $F11,
    P11 * (1 - IFERROR(INDEX('Inputs &amp; Assuptions'!$B$13:$B$72, COLUMN() - ($E11 + 5)), 0))
  )
)</f>
        <v>2358.4144387104</v>
      </c>
      <c r="R11" s="80" t="n">
        <f aca="false" t="array" ref="R11:R11">IF(COLUMN() - ($E11 + 5) &lt; 0, 0,
  IF(COLUMN() - ($E11 + 5) = 0, $F11,
    Q11 * (1 - IFERROR(INDEX('Inputs &amp; Assuptions'!$B$13:$B$72, COLUMN() - ($E11 + 5)), 0))
  )
)</f>
        <v>2275.86993335554</v>
      </c>
      <c r="S11" s="80" t="n">
        <f aca="false" t="array" ref="S11:S11">IF(COLUMN() - ($E11 + 5) &lt; 0, 0,
  IF(COLUMN() - ($E11 + 5) = 0, $F11,
    R11 * (1 - IFERROR(INDEX('Inputs &amp; Assuptions'!$B$13:$B$72, COLUMN() - ($E11 + 5)), 0))
  )
)</f>
        <v>2207.59383535487</v>
      </c>
      <c r="T11" s="80" t="n">
        <f aca="false" t="array" ref="T11:T11">IF(COLUMN() - ($E11 + 5) &lt; 0, 0,
  IF(COLUMN() - ($E11 + 5) = 0, $F11,
    S11 * (1 - IFERROR(INDEX('Inputs &amp; Assuptions'!$B$13:$B$72, COLUMN() - ($E11 + 5)), 0))
  )
)</f>
        <v>2152.403989471</v>
      </c>
      <c r="U11" s="80" t="n">
        <f aca="false" t="array" ref="U11:U11">IF(COLUMN() - ($E11 + 5) &lt; 0, 0,
  IF(COLUMN() - ($E11 + 5) = 0, $F11,
    T11 * (1 - IFERROR(INDEX('Inputs &amp; Assuptions'!$B$13:$B$72, COLUMN() - ($E11 + 5)), 0))
  )
)</f>
        <v>2109.35590968158</v>
      </c>
      <c r="V11" s="80" t="n">
        <f aca="false" t="array" ref="V11:V11">IF(COLUMN() - ($E11 + 5) &lt; 0, 0,
  IF(COLUMN() - ($E11 + 5) = 0, $F11,
    U11 * (1 - IFERROR(INDEX('Inputs &amp; Assuptions'!$B$13:$B$72, COLUMN() - ($E11 + 5)), 0))
  )
)</f>
        <v>2088.26235058476</v>
      </c>
      <c r="W11" s="80" t="n">
        <f aca="false" t="array" ref="W11:W11">IF(COLUMN() - ($E11 + 5) &lt; 0, 0,
  IF(COLUMN() - ($E11 + 5) = 0, $F11,
    V11 * (1 - IFERROR(INDEX('Inputs &amp; Assuptions'!$B$13:$B$72, COLUMN() - ($E11 + 5)), 0))
  )
)</f>
        <v>2067.37972707891</v>
      </c>
      <c r="X11" s="80" t="n">
        <f aca="false" t="array" ref="X11:X11">IF(COLUMN() - ($E11 + 5) &lt; 0, 0,
  IF(COLUMN() - ($E11 + 5) = 0, $F11,
    W11 * (1 - IFERROR(INDEX('Inputs &amp; Assuptions'!$B$13:$B$72, COLUMN() - ($E11 + 5)), 0))
  )
)</f>
        <v>2046.70592980813</v>
      </c>
      <c r="Y11" s="80" t="n">
        <f aca="false" t="array" ref="Y11:Y11">IF(COLUMN() - ($E11 + 5) &lt; 0, 0,
  IF(COLUMN() - ($E11 + 5) = 0, $F11,
    X11 * (1 - IFERROR(INDEX('Inputs &amp; Assuptions'!$B$13:$B$72, COLUMN() - ($E11 + 5)), 0))
  )
)</f>
        <v>2026.23887051004</v>
      </c>
      <c r="Z11" s="80" t="n">
        <f aca="false" t="array" ref="Z11:Z11">IF(COLUMN() - ($E11 + 5) &lt; 0, 0,
  IF(COLUMN() - ($E11 + 5) = 0, $F11,
    Y11 * (1 - IFERROR(INDEX('Inputs &amp; Assuptions'!$B$13:$B$72, COLUMN() - ($E11 + 5)), 0))
  )
)</f>
        <v>2005.97648180494</v>
      </c>
      <c r="AA11" s="80" t="n">
        <f aca="false" t="array" ref="AA11:AA11">IF(COLUMN() - ($E11 + 5) &lt; 0, 0,
  IF(COLUMN() - ($E11 + 5) = 0, $F11,
    Z11 * (1 - IFERROR(INDEX('Inputs &amp; Assuptions'!$B$13:$B$72, COLUMN() - ($E11 + 5)), 0))
  )
)</f>
        <v>1985.91671698689</v>
      </c>
      <c r="AB11" s="80" t="n">
        <f aca="false" t="array" ref="AB11:AB11">IF(COLUMN() - ($E11 + 5) &lt; 0, 0,
  IF(COLUMN() - ($E11 + 5) = 0, $F11,
    AA11 * (1 - IFERROR(INDEX('Inputs &amp; Assuptions'!$B$13:$B$72, COLUMN() - ($E11 + 5)), 0))
  )
)</f>
        <v>1966.05754981703</v>
      </c>
      <c r="AC11" s="80" t="n">
        <f aca="false" t="array" ref="AC11:AC11">IF(COLUMN() - ($E11 + 5) &lt; 0, 0,
  IF(COLUMN() - ($E11 + 5) = 0, $F11,
    AB11 * (1 - IFERROR(INDEX('Inputs &amp; Assuptions'!$B$13:$B$72, COLUMN() - ($E11 + 5)), 0))
  )
)</f>
        <v>1946.39697431885</v>
      </c>
      <c r="AD11" s="80" t="n">
        <f aca="false" t="array" ref="AD11:AD11">IF(COLUMN() - ($E11 + 5) &lt; 0, 0,
  IF(COLUMN() - ($E11 + 5) = 0, $F11,
    AC11 * (1 - IFERROR(INDEX('Inputs &amp; Assuptions'!$B$13:$B$72, COLUMN() - ($E11 + 5)), 0))
  )
)</f>
        <v>1926.93300457567</v>
      </c>
      <c r="AE11" s="80" t="n">
        <f aca="false" t="array" ref="AE11:AE11">IF(COLUMN() - ($E11 + 5) &lt; 0, 0,
  IF(COLUMN() - ($E11 + 5) = 0, $F11,
    AD11 * (1 - IFERROR(INDEX('Inputs &amp; Assuptions'!$B$13:$B$72, COLUMN() - ($E11 + 5)), 0))
  )
)</f>
        <v>1907.66367452991</v>
      </c>
      <c r="AF11" s="80" t="n">
        <f aca="false" t="array" ref="AF11:AF11">IF(COLUMN() - ($E11 + 5) &lt; 0, 0,
  IF(COLUMN() - ($E11 + 5) = 0, $F11,
    AE11 * (1 - IFERROR(INDEX('Inputs &amp; Assuptions'!$B$13:$B$72, COLUMN() - ($E11 + 5)), 0))
  )
)</f>
        <v>1888.58703778461</v>
      </c>
      <c r="AG11" s="80" t="n">
        <f aca="false" t="array" ref="AG11:AG11">IF(COLUMN() - ($E11 + 5) &lt; 0, 0,
  IF(COLUMN() - ($E11 + 5) = 0, $F11,
    AF11 * (1 - IFERROR(INDEX('Inputs &amp; Assuptions'!$B$13:$B$72, COLUMN() - ($E11 + 5)), 0))
  )
)</f>
        <v>1869.70116740676</v>
      </c>
      <c r="AH11" s="80" t="n">
        <f aca="false" t="array" ref="AH11:AH11">IF(COLUMN() - ($E11 + 5) &lt; 0, 0,
  IF(COLUMN() - ($E11 + 5) = 0, $F11,
    AG11 * (1 - IFERROR(INDEX('Inputs &amp; Assuptions'!$B$13:$B$72, COLUMN() - ($E11 + 5)), 0))
  )
)</f>
        <v>1851.0041557327</v>
      </c>
      <c r="AI11" s="80" t="n">
        <f aca="false" t="array" ref="AI11:AI11">IF(COLUMN() - ($E11 + 5) &lt; 0, 0,
  IF(COLUMN() - ($E11 + 5) = 0, $F11,
    AH11 * (1 - IFERROR(INDEX('Inputs &amp; Assuptions'!$B$13:$B$72, COLUMN() - ($E11 + 5)), 0))
  )
)</f>
        <v>1832.49411417537</v>
      </c>
      <c r="AJ11" s="80" t="n">
        <f aca="false" t="array" ref="AJ11:AJ11">IF(COLUMN() - ($E11 + 5) &lt; 0, 0,
  IF(COLUMN() - ($E11 + 5) = 0, $F11,
    AI11 * (1 - IFERROR(INDEX('Inputs &amp; Assuptions'!$B$13:$B$72, COLUMN() - ($E11 + 5)), 0))
  )
)</f>
        <v>1814.16917303362</v>
      </c>
      <c r="AK11" s="80" t="n">
        <f aca="false" t="array" ref="AK11:AK11">IF(COLUMN() - ($E11 + 5) &lt; 0, 0,
  IF(COLUMN() - ($E11 + 5) = 0, $F11,
    AJ11 * (1 - IFERROR(INDEX('Inputs &amp; Assuptions'!$B$13:$B$72, COLUMN() - ($E11 + 5)), 0))
  )
)</f>
        <v>1796.02748130328</v>
      </c>
      <c r="AL11" s="80" t="n">
        <f aca="false" t="array" ref="AL11:AL11">IF(COLUMN() - ($E11 + 5) &lt; 0, 0,
  IF(COLUMN() - ($E11 + 5) = 0, $F11,
    AK11 * (1 - IFERROR(INDEX('Inputs &amp; Assuptions'!$B$13:$B$72, COLUMN() - ($E11 + 5)), 0))
  )
)</f>
        <v>1778.06720649025</v>
      </c>
      <c r="AM11" s="80" t="n">
        <f aca="false" t="array" ref="AM11:AM11">IF(COLUMN() - ($E11 + 5) &lt; 0, 0,
  IF(COLUMN() - ($E11 + 5) = 0, $F11,
    AL11 * (1 - IFERROR(INDEX('Inputs &amp; Assuptions'!$B$13:$B$72, COLUMN() - ($E11 + 5)), 0))
  )
)</f>
        <v>1760.28653442534</v>
      </c>
      <c r="AN11" s="80" t="n">
        <f aca="false" t="array" ref="AN11:AN11">IF(COLUMN() - ($E11 + 5) &lt; 0, 0,
  IF(COLUMN() - ($E11 + 5) = 0, $F11,
    AM11 * (1 - IFERROR(INDEX('Inputs &amp; Assuptions'!$B$13:$B$72, COLUMN() - ($E11 + 5)), 0))
  )
)</f>
        <v>1742.68366908109</v>
      </c>
      <c r="AO11" s="80" t="n">
        <f aca="false" t="array" ref="AO11:AO11">IF(COLUMN() - ($E11 + 5) &lt; 0, 0,
  IF(COLUMN() - ($E11 + 5) = 0, $F11,
    AN11 * (1 - IFERROR(INDEX('Inputs &amp; Assuptions'!$B$13:$B$72, COLUMN() - ($E11 + 5)), 0))
  )
)</f>
        <v>1725.25683239028</v>
      </c>
      <c r="AP11" s="80" t="n">
        <f aca="false" t="array" ref="AP11:AP11">IF(COLUMN() - ($E11 + 5) &lt; 0, 0,
  IF(COLUMN() - ($E11 + 5) = 0, $F11,
    AO11 * (1 - IFERROR(INDEX('Inputs &amp; Assuptions'!$B$13:$B$72, COLUMN() - ($E11 + 5)), 0))
  )
)</f>
        <v>1708.00426406638</v>
      </c>
      <c r="AQ11" s="80" t="n">
        <f aca="false" t="array" ref="AQ11:AQ11">IF(COLUMN() - ($E11 + 5) &lt; 0, 0,
  IF(COLUMN() - ($E11 + 5) = 0, $F11,
    AP11 * (1 - IFERROR(INDEX('Inputs &amp; Assuptions'!$B$13:$B$72, COLUMN() - ($E11 + 5)), 0))
  )
)</f>
        <v>1690.92422142571</v>
      </c>
      <c r="AR11" s="80" t="n">
        <f aca="false" t="array" ref="AR11:AR11">IF(COLUMN() - ($E11 + 5) &lt; 0, 0,
  IF(COLUMN() - ($E11 + 5) = 0, $F11,
    AQ11 * (1 - IFERROR(INDEX('Inputs &amp; Assuptions'!$B$13:$B$72, COLUMN() - ($E11 + 5)), 0))
  )
)</f>
        <v>1674.01497921146</v>
      </c>
      <c r="AS11" s="80" t="n">
        <f aca="false" t="array" ref="AS11:AS11">IF(COLUMN() - ($E11 + 5) &lt; 0, 0,
  IF(COLUMN() - ($E11 + 5) = 0, $F11,
    AR11 * (1 - IFERROR(INDEX('Inputs &amp; Assuptions'!$B$13:$B$72, COLUMN() - ($E11 + 5)), 0))
  )
)</f>
        <v>1657.27482941934</v>
      </c>
      <c r="AT11" s="80" t="n">
        <f aca="false" t="array" ref="AT11:AT11">IF(COLUMN() - ($E11 + 5) &lt; 0, 0,
  IF(COLUMN() - ($E11 + 5) = 0, $F11,
    AS11 * (1 - IFERROR(INDEX('Inputs &amp; Assuptions'!$B$13:$B$72, COLUMN() - ($E11 + 5)), 0))
  )
)</f>
        <v>1640.70208112515</v>
      </c>
      <c r="AU11" s="80" t="n">
        <f aca="false" t="array" ref="AU11:AU11">IF(COLUMN() - ($E11 + 5) &lt; 0, 0,
  IF(COLUMN() - ($E11 + 5) = 0, $F11,
    AT11 * (1 - IFERROR(INDEX('Inputs &amp; Assuptions'!$B$13:$B$72, COLUMN() - ($E11 + 5)), 0))
  )
)</f>
        <v>1624.2950603139</v>
      </c>
      <c r="AV11" s="80" t="n">
        <f aca="false" t="array" ref="AV11:AV11">IF(COLUMN() - ($E11 + 5) &lt; 0, 0,
  IF(COLUMN() - ($E11 + 5) = 0, $F11,
    AU11 * (1 - IFERROR(INDEX('Inputs &amp; Assuptions'!$B$13:$B$72, COLUMN() - ($E11 + 5)), 0))
  )
)</f>
        <v>1608.05210971076</v>
      </c>
      <c r="AW11" s="80" t="n">
        <f aca="false" t="array" ref="AW11:AW11">IF(COLUMN() - ($E11 + 5) &lt; 0, 0,
  IF(COLUMN() - ($E11 + 5) = 0, $F11,
    AV11 * (1 - IFERROR(INDEX('Inputs &amp; Assuptions'!$B$13:$B$72, COLUMN() - ($E11 + 5)), 0))
  )
)</f>
        <v>1591.97158861365</v>
      </c>
      <c r="AX11" s="80" t="n">
        <f aca="false" t="array" ref="AX11:AX11">IF(COLUMN() - ($E11 + 5) &lt; 0, 0,
  IF(COLUMN() - ($E11 + 5) = 0, $F11,
    AW11 * (1 - IFERROR(INDEX('Inputs &amp; Assuptions'!$B$13:$B$72, COLUMN() - ($E11 + 5)), 0))
  )
)</f>
        <v>1576.05187272751</v>
      </c>
      <c r="AY11" s="80" t="n">
        <f aca="false" t="array" ref="AY11:AY11">IF(COLUMN() - ($E11 + 5) &lt; 0, 0,
  IF(COLUMN() - ($E11 + 5) = 0, $F11,
    AX11 * (1 - IFERROR(INDEX('Inputs &amp; Assuptions'!$B$13:$B$72, COLUMN() - ($E11 + 5)), 0))
  )
)</f>
        <v>1560.29135400024</v>
      </c>
      <c r="AZ11" s="80" t="n">
        <f aca="false" t="array" ref="AZ11:AZ11">IF(COLUMN() - ($E11 + 5) &lt; 0, 0,
  IF(COLUMN() - ($E11 + 5) = 0, $F11,
    AY11 * (1 - IFERROR(INDEX('Inputs &amp; Assuptions'!$B$13:$B$72, COLUMN() - ($E11 + 5)), 0))
  )
)</f>
        <v>1544.68844046024</v>
      </c>
      <c r="BA11" s="80" t="n">
        <f aca="false" t="array" ref="BA11:BA11">IF(COLUMN() - ($E11 + 5) &lt; 0, 0,
  IF(COLUMN() - ($E11 + 5) = 0, $F11,
    AZ11 * (1 - IFERROR(INDEX('Inputs &amp; Assuptions'!$B$13:$B$72, COLUMN() - ($E11 + 5)), 0))
  )
)</f>
        <v>1529.24155605563</v>
      </c>
      <c r="BB11" s="80" t="n">
        <f aca="false" t="array" ref="BB11:BB11">IF(COLUMN() - ($E11 + 5) &lt; 0, 0,
  IF(COLUMN() - ($E11 + 5) = 0, $F11,
    BA11 * (1 - IFERROR(INDEX('Inputs &amp; Assuptions'!$B$13:$B$72, COLUMN() - ($E11 + 5)), 0))
  )
)</f>
        <v>1513.94914049508</v>
      </c>
      <c r="BC11" s="80" t="n">
        <f aca="false" t="array" ref="BC11:BC11">IF(COLUMN() - ($E11 + 5) &lt; 0, 0,
  IF(COLUMN() - ($E11 + 5) = 0, $F11,
    BB11 * (1 - IFERROR(INDEX('Inputs &amp; Assuptions'!$B$13:$B$72, COLUMN() - ($E11 + 5)), 0))
  )
)</f>
        <v>1498.80964909013</v>
      </c>
      <c r="BD11" s="80" t="n">
        <f aca="false" t="array" ref="BD11:BD11">IF(COLUMN() - ($E11 + 5) &lt; 0, 0,
  IF(COLUMN() - ($E11 + 5) = 0, $F11,
    BC11 * (1 - IFERROR(INDEX('Inputs &amp; Assuptions'!$B$13:$B$72, COLUMN() - ($E11 + 5)), 0))
  )
)</f>
        <v>1483.82155259923</v>
      </c>
      <c r="BE11" s="80" t="n">
        <f aca="false" t="array" ref="BE11:BE11">IF(COLUMN() - ($E11 + 5) &lt; 0, 0,
  IF(COLUMN() - ($E11 + 5) = 0, $F11,
    BD11 * (1 - IFERROR(INDEX('Inputs &amp; Assuptions'!$B$13:$B$72, COLUMN() - ($E11 + 5)), 0))
  )
)</f>
        <v>1468.98333707323</v>
      </c>
      <c r="BF11" s="80" t="n">
        <f aca="false" t="array" ref="BF11:BF11">IF(COLUMN() - ($E11 + 5) &lt; 0, 0,
  IF(COLUMN() - ($E11 + 5) = 0, $F11,
    BE11 * (1 - IFERROR(INDEX('Inputs &amp; Assuptions'!$B$13:$B$72, COLUMN() - ($E11 + 5)), 0))
  )
)</f>
        <v>1454.2935037025</v>
      </c>
      <c r="BG11" s="80" t="n">
        <f aca="false" t="array" ref="BG11:BG11">IF(COLUMN() - ($E11 + 5) &lt; 0, 0,
  IF(COLUMN() - ($E11 + 5) = 0, $F11,
    BF11 * (1 - IFERROR(INDEX('Inputs &amp; Assuptions'!$B$13:$B$72, COLUMN() - ($E11 + 5)), 0))
  )
)</f>
        <v>1439.75056866548</v>
      </c>
      <c r="BH11" s="80" t="n">
        <f aca="false" t="array" ref="BH11:BH11">IF(COLUMN() - ($E11 + 5) &lt; 0, 0,
  IF(COLUMN() - ($E11 + 5) = 0, $F11,
    BG11 * (1 - IFERROR(INDEX('Inputs &amp; Assuptions'!$B$13:$B$72, COLUMN() - ($E11 + 5)), 0))
  )
)</f>
        <v>1425.35306297882</v>
      </c>
      <c r="BI11" s="80" t="n">
        <f aca="false" t="array" ref="BI11:BI11">IF(COLUMN() - ($E11 + 5) &lt; 0, 0,
  IF(COLUMN() - ($E11 + 5) = 0, $F11,
    BH11 * (1 - IFERROR(INDEX('Inputs &amp; Assuptions'!$B$13:$B$72, COLUMN() - ($E11 + 5)), 0))
  )
)</f>
        <v>1411.09953234903</v>
      </c>
      <c r="BJ11" s="80" t="n">
        <f aca="false" t="array" ref="BJ11:BJ11">IF(COLUMN() - ($E11 + 5) &lt; 0, 0,
  IF(COLUMN() - ($E11 + 5) = 0, $F11,
    BI11 * (1 - IFERROR(INDEX('Inputs &amp; Assuptions'!$B$13:$B$72, COLUMN() - ($E11 + 5)), 0))
  )
)</f>
        <v>1396.98853702554</v>
      </c>
      <c r="BK11" s="80" t="n">
        <f aca="false" t="array" ref="BK11:BK11">IF(COLUMN() - ($E11 + 5) &lt; 0, 0,
  IF(COLUMN() - ($E11 + 5) = 0, $F11,
    BJ11 * (1 - IFERROR(INDEX('Inputs &amp; Assuptions'!$B$13:$B$72, COLUMN() - ($E11 + 5)), 0))
  )
)</f>
        <v>1383.01865165529</v>
      </c>
      <c r="BL11" s="80" t="n">
        <f aca="false" t="array" ref="BL11:BL11">IF(COLUMN() - ($E11 + 5) &lt; 0, 0,
  IF(COLUMN() - ($E11 + 5) = 0, $F11,
    BK11 * (1 - IFERROR(INDEX('Inputs &amp; Assuptions'!$B$13:$B$72, COLUMN() - ($E11 + 5)), 0))
  )
)</f>
        <v>1369.18846513873</v>
      </c>
      <c r="BM11" s="81" t="n">
        <f aca="false" t="array" ref="BM11:BM11">IF(COLUMN() - ($E11 + 5) &lt; 0, 0,
  IF(COLUMN() - ($E11 + 5) = 0, $F11,
    BL11 * (1 - IFERROR(INDEX('Inputs &amp; Assuptions'!$B$13:$B$72, COLUMN() - ($E11 + 5)), 0))
  )
)</f>
        <v>1355.49658048735</v>
      </c>
      <c r="BN11" s="76"/>
    </row>
    <row r="12" customFormat="false" ht="14.25" hidden="false" customHeight="false" outlineLevel="0" collapsed="false">
      <c r="A12" s="29" t="n">
        <f aca="false">A11+1</f>
        <v>7</v>
      </c>
      <c r="B12" s="77" t="n">
        <f aca="false">IF(MOD($A12-1, 12) = 0, $B11 * 1.05, $B11)</f>
        <v>6000</v>
      </c>
      <c r="C12" s="78" t="n">
        <f aca="false">$B12*(1-'Inputs &amp; Assuptions'!$B$12)</f>
        <v>3480</v>
      </c>
      <c r="E12" s="29" t="n">
        <f aca="false">E11+1</f>
        <v>7</v>
      </c>
      <c r="F12" s="79"/>
      <c r="G12" s="80"/>
      <c r="H12" s="80"/>
      <c r="I12" s="80"/>
      <c r="J12" s="80"/>
      <c r="K12" s="80"/>
      <c r="L12" s="80" t="n">
        <f aca="false">+$C12</f>
        <v>3480</v>
      </c>
      <c r="M12" s="80" t="n">
        <f aca="false" t="array" ref="M12:M12">IF(COLUMN() - ($E12 + 5) &lt; 0, 0,
  IF(COLUMN() - ($E12 + 5) = 0, $F12,
    L12 * (1 - IFERROR(INDEX('Inputs &amp; Assuptions'!$B$13:$B$72, COLUMN() - ($E12 + 5)), 0))
  )
)</f>
        <v>3114.6</v>
      </c>
      <c r="N12" s="80" t="n">
        <f aca="false" t="array" ref="N12:N12">IF(COLUMN() - ($E12 + 5) &lt; 0, 0,
  IF(COLUMN() - ($E12 + 5) = 0, $F12,
    M12 * (1 - IFERROR(INDEX('Inputs &amp; Assuptions'!$B$13:$B$72, COLUMN() - ($E12 + 5)), 0))
  )
)</f>
        <v>2865.432</v>
      </c>
      <c r="O12" s="80" t="n">
        <f aca="false" t="array" ref="O12:O12">IF(COLUMN() - ($E12 + 5) &lt; 0, 0,
  IF(COLUMN() - ($E12 + 5) = 0, $F12,
    N12 * (1 - IFERROR(INDEX('Inputs &amp; Assuptions'!$B$13:$B$72, COLUMN() - ($E12 + 5)), 0))
  )
)</f>
        <v>2707.83324</v>
      </c>
      <c r="P12" s="80" t="n">
        <f aca="false" t="array" ref="P12:P12">IF(COLUMN() - ($E12 + 5) &lt; 0, 0,
  IF(COLUMN() - ($E12 + 5) = 0, $F12,
    O12 * (1 - IFERROR(INDEX('Inputs &amp; Assuptions'!$B$13:$B$72, COLUMN() - ($E12 + 5)), 0))
  )
)</f>
        <v>2572.441578</v>
      </c>
      <c r="Q12" s="80" t="n">
        <f aca="false" t="array" ref="Q12:Q12">IF(COLUMN() - ($E12 + 5) &lt; 0, 0,
  IF(COLUMN() - ($E12 + 5) = 0, $F12,
    P12 * (1 - IFERROR(INDEX('Inputs &amp; Assuptions'!$B$13:$B$72, COLUMN() - ($E12 + 5)), 0))
  )
)</f>
        <v>2456.68170699</v>
      </c>
      <c r="R12" s="80" t="n">
        <f aca="false" t="array" ref="R12:R12">IF(COLUMN() - ($E12 + 5) &lt; 0, 0,
  IF(COLUMN() - ($E12 + 5) = 0, $F12,
    Q12 * (1 - IFERROR(INDEX('Inputs &amp; Assuptions'!$B$13:$B$72, COLUMN() - ($E12 + 5)), 0))
  )
)</f>
        <v>2358.4144387104</v>
      </c>
      <c r="S12" s="80" t="n">
        <f aca="false" t="array" ref="S12:S12">IF(COLUMN() - ($E12 + 5) &lt; 0, 0,
  IF(COLUMN() - ($E12 + 5) = 0, $F12,
    R12 * (1 - IFERROR(INDEX('Inputs &amp; Assuptions'!$B$13:$B$72, COLUMN() - ($E12 + 5)), 0))
  )
)</f>
        <v>2275.86993335554</v>
      </c>
      <c r="T12" s="80" t="n">
        <f aca="false" t="array" ref="T12:T12">IF(COLUMN() - ($E12 + 5) &lt; 0, 0,
  IF(COLUMN() - ($E12 + 5) = 0, $F12,
    S12 * (1 - IFERROR(INDEX('Inputs &amp; Assuptions'!$B$13:$B$72, COLUMN() - ($E12 + 5)), 0))
  )
)</f>
        <v>2207.59383535487</v>
      </c>
      <c r="U12" s="80" t="n">
        <f aca="false" t="array" ref="U12:U12">IF(COLUMN() - ($E12 + 5) &lt; 0, 0,
  IF(COLUMN() - ($E12 + 5) = 0, $F12,
    T12 * (1 - IFERROR(INDEX('Inputs &amp; Assuptions'!$B$13:$B$72, COLUMN() - ($E12 + 5)), 0))
  )
)</f>
        <v>2152.403989471</v>
      </c>
      <c r="V12" s="80" t="n">
        <f aca="false" t="array" ref="V12:V12">IF(COLUMN() - ($E12 + 5) &lt; 0, 0,
  IF(COLUMN() - ($E12 + 5) = 0, $F12,
    U12 * (1 - IFERROR(INDEX('Inputs &amp; Assuptions'!$B$13:$B$72, COLUMN() - ($E12 + 5)), 0))
  )
)</f>
        <v>2109.35590968158</v>
      </c>
      <c r="W12" s="80" t="n">
        <f aca="false" t="array" ref="W12:W12">IF(COLUMN() - ($E12 + 5) &lt; 0, 0,
  IF(COLUMN() - ($E12 + 5) = 0, $F12,
    V12 * (1 - IFERROR(INDEX('Inputs &amp; Assuptions'!$B$13:$B$72, COLUMN() - ($E12 + 5)), 0))
  )
)</f>
        <v>2088.26235058476</v>
      </c>
      <c r="X12" s="80" t="n">
        <f aca="false" t="array" ref="X12:X12">IF(COLUMN() - ($E12 + 5) &lt; 0, 0,
  IF(COLUMN() - ($E12 + 5) = 0, $F12,
    W12 * (1 - IFERROR(INDEX('Inputs &amp; Assuptions'!$B$13:$B$72, COLUMN() - ($E12 + 5)), 0))
  )
)</f>
        <v>2067.37972707891</v>
      </c>
      <c r="Y12" s="80" t="n">
        <f aca="false" t="array" ref="Y12:Y12">IF(COLUMN() - ($E12 + 5) &lt; 0, 0,
  IF(COLUMN() - ($E12 + 5) = 0, $F12,
    X12 * (1 - IFERROR(INDEX('Inputs &amp; Assuptions'!$B$13:$B$72, COLUMN() - ($E12 + 5)), 0))
  )
)</f>
        <v>2046.70592980813</v>
      </c>
      <c r="Z12" s="80" t="n">
        <f aca="false" t="array" ref="Z12:Z12">IF(COLUMN() - ($E12 + 5) &lt; 0, 0,
  IF(COLUMN() - ($E12 + 5) = 0, $F12,
    Y12 * (1 - IFERROR(INDEX('Inputs &amp; Assuptions'!$B$13:$B$72, COLUMN() - ($E12 + 5)), 0))
  )
)</f>
        <v>2026.23887051004</v>
      </c>
      <c r="AA12" s="80" t="n">
        <f aca="false" t="array" ref="AA12:AA12">IF(COLUMN() - ($E12 + 5) &lt; 0, 0,
  IF(COLUMN() - ($E12 + 5) = 0, $F12,
    Z12 * (1 - IFERROR(INDEX('Inputs &amp; Assuptions'!$B$13:$B$72, COLUMN() - ($E12 + 5)), 0))
  )
)</f>
        <v>2005.97648180494</v>
      </c>
      <c r="AB12" s="80" t="n">
        <f aca="false" t="array" ref="AB12:AB12">IF(COLUMN() - ($E12 + 5) &lt; 0, 0,
  IF(COLUMN() - ($E12 + 5) = 0, $F12,
    AA12 * (1 - IFERROR(INDEX('Inputs &amp; Assuptions'!$B$13:$B$72, COLUMN() - ($E12 + 5)), 0))
  )
)</f>
        <v>1985.91671698689</v>
      </c>
      <c r="AC12" s="80" t="n">
        <f aca="false" t="array" ref="AC12:AC12">IF(COLUMN() - ($E12 + 5) &lt; 0, 0,
  IF(COLUMN() - ($E12 + 5) = 0, $F12,
    AB12 * (1 - IFERROR(INDEX('Inputs &amp; Assuptions'!$B$13:$B$72, COLUMN() - ($E12 + 5)), 0))
  )
)</f>
        <v>1966.05754981703</v>
      </c>
      <c r="AD12" s="80" t="n">
        <f aca="false" t="array" ref="AD12:AD12">IF(COLUMN() - ($E12 + 5) &lt; 0, 0,
  IF(COLUMN() - ($E12 + 5) = 0, $F12,
    AC12 * (1 - IFERROR(INDEX('Inputs &amp; Assuptions'!$B$13:$B$72, COLUMN() - ($E12 + 5)), 0))
  )
)</f>
        <v>1946.39697431885</v>
      </c>
      <c r="AE12" s="80" t="n">
        <f aca="false" t="array" ref="AE12:AE12">IF(COLUMN() - ($E12 + 5) &lt; 0, 0,
  IF(COLUMN() - ($E12 + 5) = 0, $F12,
    AD12 * (1 - IFERROR(INDEX('Inputs &amp; Assuptions'!$B$13:$B$72, COLUMN() - ($E12 + 5)), 0))
  )
)</f>
        <v>1926.93300457567</v>
      </c>
      <c r="AF12" s="80" t="n">
        <f aca="false" t="array" ref="AF12:AF12">IF(COLUMN() - ($E12 + 5) &lt; 0, 0,
  IF(COLUMN() - ($E12 + 5) = 0, $F12,
    AE12 * (1 - IFERROR(INDEX('Inputs &amp; Assuptions'!$B$13:$B$72, COLUMN() - ($E12 + 5)), 0))
  )
)</f>
        <v>1907.66367452991</v>
      </c>
      <c r="AG12" s="80" t="n">
        <f aca="false" t="array" ref="AG12:AG12">IF(COLUMN() - ($E12 + 5) &lt; 0, 0,
  IF(COLUMN() - ($E12 + 5) = 0, $F12,
    AF12 * (1 - IFERROR(INDEX('Inputs &amp; Assuptions'!$B$13:$B$72, COLUMN() - ($E12 + 5)), 0))
  )
)</f>
        <v>1888.58703778461</v>
      </c>
      <c r="AH12" s="80" t="n">
        <f aca="false" t="array" ref="AH12:AH12">IF(COLUMN() - ($E12 + 5) &lt; 0, 0,
  IF(COLUMN() - ($E12 + 5) = 0, $F12,
    AG12 * (1 - IFERROR(INDEX('Inputs &amp; Assuptions'!$B$13:$B$72, COLUMN() - ($E12 + 5)), 0))
  )
)</f>
        <v>1869.70116740676</v>
      </c>
      <c r="AI12" s="80" t="n">
        <f aca="false" t="array" ref="AI12:AI12">IF(COLUMN() - ($E12 + 5) &lt; 0, 0,
  IF(COLUMN() - ($E12 + 5) = 0, $F12,
    AH12 * (1 - IFERROR(INDEX('Inputs &amp; Assuptions'!$B$13:$B$72, COLUMN() - ($E12 + 5)), 0))
  )
)</f>
        <v>1851.0041557327</v>
      </c>
      <c r="AJ12" s="80" t="n">
        <f aca="false" t="array" ref="AJ12:AJ12">IF(COLUMN() - ($E12 + 5) &lt; 0, 0,
  IF(COLUMN() - ($E12 + 5) = 0, $F12,
    AI12 * (1 - IFERROR(INDEX('Inputs &amp; Assuptions'!$B$13:$B$72, COLUMN() - ($E12 + 5)), 0))
  )
)</f>
        <v>1832.49411417537</v>
      </c>
      <c r="AK12" s="80" t="n">
        <f aca="false" t="array" ref="AK12:AK12">IF(COLUMN() - ($E12 + 5) &lt; 0, 0,
  IF(COLUMN() - ($E12 + 5) = 0, $F12,
    AJ12 * (1 - IFERROR(INDEX('Inputs &amp; Assuptions'!$B$13:$B$72, COLUMN() - ($E12 + 5)), 0))
  )
)</f>
        <v>1814.16917303362</v>
      </c>
      <c r="AL12" s="80" t="n">
        <f aca="false" t="array" ref="AL12:AL12">IF(COLUMN() - ($E12 + 5) &lt; 0, 0,
  IF(COLUMN() - ($E12 + 5) = 0, $F12,
    AK12 * (1 - IFERROR(INDEX('Inputs &amp; Assuptions'!$B$13:$B$72, COLUMN() - ($E12 + 5)), 0))
  )
)</f>
        <v>1796.02748130328</v>
      </c>
      <c r="AM12" s="80" t="n">
        <f aca="false" t="array" ref="AM12:AM12">IF(COLUMN() - ($E12 + 5) &lt; 0, 0,
  IF(COLUMN() - ($E12 + 5) = 0, $F12,
    AL12 * (1 - IFERROR(INDEX('Inputs &amp; Assuptions'!$B$13:$B$72, COLUMN() - ($E12 + 5)), 0))
  )
)</f>
        <v>1778.06720649025</v>
      </c>
      <c r="AN12" s="80" t="n">
        <f aca="false" t="array" ref="AN12:AN12">IF(COLUMN() - ($E12 + 5) &lt; 0, 0,
  IF(COLUMN() - ($E12 + 5) = 0, $F12,
    AM12 * (1 - IFERROR(INDEX('Inputs &amp; Assuptions'!$B$13:$B$72, COLUMN() - ($E12 + 5)), 0))
  )
)</f>
        <v>1760.28653442534</v>
      </c>
      <c r="AO12" s="80" t="n">
        <f aca="false" t="array" ref="AO12:AO12">IF(COLUMN() - ($E12 + 5) &lt; 0, 0,
  IF(COLUMN() - ($E12 + 5) = 0, $F12,
    AN12 * (1 - IFERROR(INDEX('Inputs &amp; Assuptions'!$B$13:$B$72, COLUMN() - ($E12 + 5)), 0))
  )
)</f>
        <v>1742.68366908109</v>
      </c>
      <c r="AP12" s="80" t="n">
        <f aca="false" t="array" ref="AP12:AP12">IF(COLUMN() - ($E12 + 5) &lt; 0, 0,
  IF(COLUMN() - ($E12 + 5) = 0, $F12,
    AO12 * (1 - IFERROR(INDEX('Inputs &amp; Assuptions'!$B$13:$B$72, COLUMN() - ($E12 + 5)), 0))
  )
)</f>
        <v>1725.25683239028</v>
      </c>
      <c r="AQ12" s="80" t="n">
        <f aca="false" t="array" ref="AQ12:AQ12">IF(COLUMN() - ($E12 + 5) &lt; 0, 0,
  IF(COLUMN() - ($E12 + 5) = 0, $F12,
    AP12 * (1 - IFERROR(INDEX('Inputs &amp; Assuptions'!$B$13:$B$72, COLUMN() - ($E12 + 5)), 0))
  )
)</f>
        <v>1708.00426406638</v>
      </c>
      <c r="AR12" s="80" t="n">
        <f aca="false" t="array" ref="AR12:AR12">IF(COLUMN() - ($E12 + 5) &lt; 0, 0,
  IF(COLUMN() - ($E12 + 5) = 0, $F12,
    AQ12 * (1 - IFERROR(INDEX('Inputs &amp; Assuptions'!$B$13:$B$72, COLUMN() - ($E12 + 5)), 0))
  )
)</f>
        <v>1690.92422142571</v>
      </c>
      <c r="AS12" s="80" t="n">
        <f aca="false" t="array" ref="AS12:AS12">IF(COLUMN() - ($E12 + 5) &lt; 0, 0,
  IF(COLUMN() - ($E12 + 5) = 0, $F12,
    AR12 * (1 - IFERROR(INDEX('Inputs &amp; Assuptions'!$B$13:$B$72, COLUMN() - ($E12 + 5)), 0))
  )
)</f>
        <v>1674.01497921146</v>
      </c>
      <c r="AT12" s="80" t="n">
        <f aca="false" t="array" ref="AT12:AT12">IF(COLUMN() - ($E12 + 5) &lt; 0, 0,
  IF(COLUMN() - ($E12 + 5) = 0, $F12,
    AS12 * (1 - IFERROR(INDEX('Inputs &amp; Assuptions'!$B$13:$B$72, COLUMN() - ($E12 + 5)), 0))
  )
)</f>
        <v>1657.27482941934</v>
      </c>
      <c r="AU12" s="80" t="n">
        <f aca="false" t="array" ref="AU12:AU12">IF(COLUMN() - ($E12 + 5) &lt; 0, 0,
  IF(COLUMN() - ($E12 + 5) = 0, $F12,
    AT12 * (1 - IFERROR(INDEX('Inputs &amp; Assuptions'!$B$13:$B$72, COLUMN() - ($E12 + 5)), 0))
  )
)</f>
        <v>1640.70208112515</v>
      </c>
      <c r="AV12" s="80" t="n">
        <f aca="false" t="array" ref="AV12:AV12">IF(COLUMN() - ($E12 + 5) &lt; 0, 0,
  IF(COLUMN() - ($E12 + 5) = 0, $F12,
    AU12 * (1 - IFERROR(INDEX('Inputs &amp; Assuptions'!$B$13:$B$72, COLUMN() - ($E12 + 5)), 0))
  )
)</f>
        <v>1624.2950603139</v>
      </c>
      <c r="AW12" s="80" t="n">
        <f aca="false" t="array" ref="AW12:AW12">IF(COLUMN() - ($E12 + 5) &lt; 0, 0,
  IF(COLUMN() - ($E12 + 5) = 0, $F12,
    AV12 * (1 - IFERROR(INDEX('Inputs &amp; Assuptions'!$B$13:$B$72, COLUMN() - ($E12 + 5)), 0))
  )
)</f>
        <v>1608.05210971076</v>
      </c>
      <c r="AX12" s="80" t="n">
        <f aca="false" t="array" ref="AX12:AX12">IF(COLUMN() - ($E12 + 5) &lt; 0, 0,
  IF(COLUMN() - ($E12 + 5) = 0, $F12,
    AW12 * (1 - IFERROR(INDEX('Inputs &amp; Assuptions'!$B$13:$B$72, COLUMN() - ($E12 + 5)), 0))
  )
)</f>
        <v>1591.97158861365</v>
      </c>
      <c r="AY12" s="80" t="n">
        <f aca="false" t="array" ref="AY12:AY12">IF(COLUMN() - ($E12 + 5) &lt; 0, 0,
  IF(COLUMN() - ($E12 + 5) = 0, $F12,
    AX12 * (1 - IFERROR(INDEX('Inputs &amp; Assuptions'!$B$13:$B$72, COLUMN() - ($E12 + 5)), 0))
  )
)</f>
        <v>1576.05187272751</v>
      </c>
      <c r="AZ12" s="80" t="n">
        <f aca="false" t="array" ref="AZ12:AZ12">IF(COLUMN() - ($E12 + 5) &lt; 0, 0,
  IF(COLUMN() - ($E12 + 5) = 0, $F12,
    AY12 * (1 - IFERROR(INDEX('Inputs &amp; Assuptions'!$B$13:$B$72, COLUMN() - ($E12 + 5)), 0))
  )
)</f>
        <v>1560.29135400024</v>
      </c>
      <c r="BA12" s="80" t="n">
        <f aca="false" t="array" ref="BA12:BA12">IF(COLUMN() - ($E12 + 5) &lt; 0, 0,
  IF(COLUMN() - ($E12 + 5) = 0, $F12,
    AZ12 * (1 - IFERROR(INDEX('Inputs &amp; Assuptions'!$B$13:$B$72, COLUMN() - ($E12 + 5)), 0))
  )
)</f>
        <v>1544.68844046024</v>
      </c>
      <c r="BB12" s="80" t="n">
        <f aca="false" t="array" ref="BB12:BB12">IF(COLUMN() - ($E12 + 5) &lt; 0, 0,
  IF(COLUMN() - ($E12 + 5) = 0, $F12,
    BA12 * (1 - IFERROR(INDEX('Inputs &amp; Assuptions'!$B$13:$B$72, COLUMN() - ($E12 + 5)), 0))
  )
)</f>
        <v>1529.24155605563</v>
      </c>
      <c r="BC12" s="80" t="n">
        <f aca="false" t="array" ref="BC12:BC12">IF(COLUMN() - ($E12 + 5) &lt; 0, 0,
  IF(COLUMN() - ($E12 + 5) = 0, $F12,
    BB12 * (1 - IFERROR(INDEX('Inputs &amp; Assuptions'!$B$13:$B$72, COLUMN() - ($E12 + 5)), 0))
  )
)</f>
        <v>1513.94914049508</v>
      </c>
      <c r="BD12" s="80" t="n">
        <f aca="false" t="array" ref="BD12:BD12">IF(COLUMN() - ($E12 + 5) &lt; 0, 0,
  IF(COLUMN() - ($E12 + 5) = 0, $F12,
    BC12 * (1 - IFERROR(INDEX('Inputs &amp; Assuptions'!$B$13:$B$72, COLUMN() - ($E12 + 5)), 0))
  )
)</f>
        <v>1498.80964909013</v>
      </c>
      <c r="BE12" s="80" t="n">
        <f aca="false" t="array" ref="BE12:BE12">IF(COLUMN() - ($E12 + 5) &lt; 0, 0,
  IF(COLUMN() - ($E12 + 5) = 0, $F12,
    BD12 * (1 - IFERROR(INDEX('Inputs &amp; Assuptions'!$B$13:$B$72, COLUMN() - ($E12 + 5)), 0))
  )
)</f>
        <v>1483.82155259923</v>
      </c>
      <c r="BF12" s="80" t="n">
        <f aca="false" t="array" ref="BF12:BF12">IF(COLUMN() - ($E12 + 5) &lt; 0, 0,
  IF(COLUMN() - ($E12 + 5) = 0, $F12,
    BE12 * (1 - IFERROR(INDEX('Inputs &amp; Assuptions'!$B$13:$B$72, COLUMN() - ($E12 + 5)), 0))
  )
)</f>
        <v>1468.98333707323</v>
      </c>
      <c r="BG12" s="80" t="n">
        <f aca="false" t="array" ref="BG12:BG12">IF(COLUMN() - ($E12 + 5) &lt; 0, 0,
  IF(COLUMN() - ($E12 + 5) = 0, $F12,
    BF12 * (1 - IFERROR(INDEX('Inputs &amp; Assuptions'!$B$13:$B$72, COLUMN() - ($E12 + 5)), 0))
  )
)</f>
        <v>1454.2935037025</v>
      </c>
      <c r="BH12" s="80" t="n">
        <f aca="false" t="array" ref="BH12:BH12">IF(COLUMN() - ($E12 + 5) &lt; 0, 0,
  IF(COLUMN() - ($E12 + 5) = 0, $F12,
    BG12 * (1 - IFERROR(INDEX('Inputs &amp; Assuptions'!$B$13:$B$72, COLUMN() - ($E12 + 5)), 0))
  )
)</f>
        <v>1439.75056866548</v>
      </c>
      <c r="BI12" s="80" t="n">
        <f aca="false" t="array" ref="BI12:BI12">IF(COLUMN() - ($E12 + 5) &lt; 0, 0,
  IF(COLUMN() - ($E12 + 5) = 0, $F12,
    BH12 * (1 - IFERROR(INDEX('Inputs &amp; Assuptions'!$B$13:$B$72, COLUMN() - ($E12 + 5)), 0))
  )
)</f>
        <v>1425.35306297882</v>
      </c>
      <c r="BJ12" s="80" t="n">
        <f aca="false" t="array" ref="BJ12:BJ12">IF(COLUMN() - ($E12 + 5) &lt; 0, 0,
  IF(COLUMN() - ($E12 + 5) = 0, $F12,
    BI12 * (1 - IFERROR(INDEX('Inputs &amp; Assuptions'!$B$13:$B$72, COLUMN() - ($E12 + 5)), 0))
  )
)</f>
        <v>1411.09953234903</v>
      </c>
      <c r="BK12" s="80" t="n">
        <f aca="false" t="array" ref="BK12:BK12">IF(COLUMN() - ($E12 + 5) &lt; 0, 0,
  IF(COLUMN() - ($E12 + 5) = 0, $F12,
    BJ12 * (1 - IFERROR(INDEX('Inputs &amp; Assuptions'!$B$13:$B$72, COLUMN() - ($E12 + 5)), 0))
  )
)</f>
        <v>1396.98853702554</v>
      </c>
      <c r="BL12" s="80" t="n">
        <f aca="false" t="array" ref="BL12:BL12">IF(COLUMN() - ($E12 + 5) &lt; 0, 0,
  IF(COLUMN() - ($E12 + 5) = 0, $F12,
    BK12 * (1 - IFERROR(INDEX('Inputs &amp; Assuptions'!$B$13:$B$72, COLUMN() - ($E12 + 5)), 0))
  )
)</f>
        <v>1383.01865165529</v>
      </c>
      <c r="BM12" s="81" t="n">
        <f aca="false" t="array" ref="BM12:BM12">IF(COLUMN() - ($E12 + 5) &lt; 0, 0,
  IF(COLUMN() - ($E12 + 5) = 0, $F12,
    BL12 * (1 - IFERROR(INDEX('Inputs &amp; Assuptions'!$B$13:$B$72, COLUMN() - ($E12 + 5)), 0))
  )
)</f>
        <v>1369.18846513873</v>
      </c>
      <c r="BN12" s="76"/>
    </row>
    <row r="13" customFormat="false" ht="14.25" hidden="false" customHeight="false" outlineLevel="0" collapsed="false">
      <c r="A13" s="29" t="n">
        <f aca="false">A12+1</f>
        <v>8</v>
      </c>
      <c r="B13" s="77" t="n">
        <f aca="false">IF(MOD($A13-1, 12) = 0, $B12 * 1.05, $B12)</f>
        <v>6000</v>
      </c>
      <c r="C13" s="78" t="n">
        <f aca="false">$B13*(1-'Inputs &amp; Assuptions'!$B$12)</f>
        <v>3480</v>
      </c>
      <c r="E13" s="29" t="n">
        <f aca="false">E12+1</f>
        <v>8</v>
      </c>
      <c r="F13" s="79"/>
      <c r="G13" s="80"/>
      <c r="H13" s="80"/>
      <c r="I13" s="80"/>
      <c r="J13" s="80"/>
      <c r="K13" s="80"/>
      <c r="L13" s="80"/>
      <c r="M13" s="80" t="n">
        <f aca="false">+$C13</f>
        <v>3480</v>
      </c>
      <c r="N13" s="80" t="n">
        <f aca="false" t="array" ref="N13:N13">IF(COLUMN() - ($E13 + 5) &lt; 0, 0,
  IF(COLUMN() - ($E13 + 5) = 0, $F13,
    M13 * (1 - IFERROR(INDEX('Inputs &amp; Assuptions'!$B$13:$B$72, COLUMN() - ($E13 + 5)), 0))
  )
)</f>
        <v>3114.6</v>
      </c>
      <c r="O13" s="80" t="n">
        <f aca="false" t="array" ref="O13:O13">IF(COLUMN() - ($E13 + 5) &lt; 0, 0,
  IF(COLUMN() - ($E13 + 5) = 0, $F13,
    N13 * (1 - IFERROR(INDEX('Inputs &amp; Assuptions'!$B$13:$B$72, COLUMN() - ($E13 + 5)), 0))
  )
)</f>
        <v>2865.432</v>
      </c>
      <c r="P13" s="80" t="n">
        <f aca="false" t="array" ref="P13:P13">IF(COLUMN() - ($E13 + 5) &lt; 0, 0,
  IF(COLUMN() - ($E13 + 5) = 0, $F13,
    O13 * (1 - IFERROR(INDEX('Inputs &amp; Assuptions'!$B$13:$B$72, COLUMN() - ($E13 + 5)), 0))
  )
)</f>
        <v>2707.83324</v>
      </c>
      <c r="Q13" s="80" t="n">
        <f aca="false" t="array" ref="Q13:Q13">IF(COLUMN() - ($E13 + 5) &lt; 0, 0,
  IF(COLUMN() - ($E13 + 5) = 0, $F13,
    P13 * (1 - IFERROR(INDEX('Inputs &amp; Assuptions'!$B$13:$B$72, COLUMN() - ($E13 + 5)), 0))
  )
)</f>
        <v>2572.441578</v>
      </c>
      <c r="R13" s="80" t="n">
        <f aca="false" t="array" ref="R13:R13">IF(COLUMN() - ($E13 + 5) &lt; 0, 0,
  IF(COLUMN() - ($E13 + 5) = 0, $F13,
    Q13 * (1 - IFERROR(INDEX('Inputs &amp; Assuptions'!$B$13:$B$72, COLUMN() - ($E13 + 5)), 0))
  )
)</f>
        <v>2456.68170699</v>
      </c>
      <c r="S13" s="80" t="n">
        <f aca="false" t="array" ref="S13:S13">IF(COLUMN() - ($E13 + 5) &lt; 0, 0,
  IF(COLUMN() - ($E13 + 5) = 0, $F13,
    R13 * (1 - IFERROR(INDEX('Inputs &amp; Assuptions'!$B$13:$B$72, COLUMN() - ($E13 + 5)), 0))
  )
)</f>
        <v>2358.4144387104</v>
      </c>
      <c r="T13" s="80" t="n">
        <f aca="false" t="array" ref="T13:T13">IF(COLUMN() - ($E13 + 5) &lt; 0, 0,
  IF(COLUMN() - ($E13 + 5) = 0, $F13,
    S13 * (1 - IFERROR(INDEX('Inputs &amp; Assuptions'!$B$13:$B$72, COLUMN() - ($E13 + 5)), 0))
  )
)</f>
        <v>2275.86993335554</v>
      </c>
      <c r="U13" s="80" t="n">
        <f aca="false" t="array" ref="U13:U13">IF(COLUMN() - ($E13 + 5) &lt; 0, 0,
  IF(COLUMN() - ($E13 + 5) = 0, $F13,
    T13 * (1 - IFERROR(INDEX('Inputs &amp; Assuptions'!$B$13:$B$72, COLUMN() - ($E13 + 5)), 0))
  )
)</f>
        <v>2207.59383535487</v>
      </c>
      <c r="V13" s="80" t="n">
        <f aca="false" t="array" ref="V13:V13">IF(COLUMN() - ($E13 + 5) &lt; 0, 0,
  IF(COLUMN() - ($E13 + 5) = 0, $F13,
    U13 * (1 - IFERROR(INDEX('Inputs &amp; Assuptions'!$B$13:$B$72, COLUMN() - ($E13 + 5)), 0))
  )
)</f>
        <v>2152.403989471</v>
      </c>
      <c r="W13" s="80" t="n">
        <f aca="false" t="array" ref="W13:W13">IF(COLUMN() - ($E13 + 5) &lt; 0, 0,
  IF(COLUMN() - ($E13 + 5) = 0, $F13,
    V13 * (1 - IFERROR(INDEX('Inputs &amp; Assuptions'!$B$13:$B$72, COLUMN() - ($E13 + 5)), 0))
  )
)</f>
        <v>2109.35590968158</v>
      </c>
      <c r="X13" s="80" t="n">
        <f aca="false" t="array" ref="X13:X13">IF(COLUMN() - ($E13 + 5) &lt; 0, 0,
  IF(COLUMN() - ($E13 + 5) = 0, $F13,
    W13 * (1 - IFERROR(INDEX('Inputs &amp; Assuptions'!$B$13:$B$72, COLUMN() - ($E13 + 5)), 0))
  )
)</f>
        <v>2088.26235058476</v>
      </c>
      <c r="Y13" s="80" t="n">
        <f aca="false" t="array" ref="Y13:Y13">IF(COLUMN() - ($E13 + 5) &lt; 0, 0,
  IF(COLUMN() - ($E13 + 5) = 0, $F13,
    X13 * (1 - IFERROR(INDEX('Inputs &amp; Assuptions'!$B$13:$B$72, COLUMN() - ($E13 + 5)), 0))
  )
)</f>
        <v>2067.37972707891</v>
      </c>
      <c r="Z13" s="80" t="n">
        <f aca="false" t="array" ref="Z13:Z13">IF(COLUMN() - ($E13 + 5) &lt; 0, 0,
  IF(COLUMN() - ($E13 + 5) = 0, $F13,
    Y13 * (1 - IFERROR(INDEX('Inputs &amp; Assuptions'!$B$13:$B$72, COLUMN() - ($E13 + 5)), 0))
  )
)</f>
        <v>2046.70592980813</v>
      </c>
      <c r="AA13" s="80" t="n">
        <f aca="false" t="array" ref="AA13:AA13">IF(COLUMN() - ($E13 + 5) &lt; 0, 0,
  IF(COLUMN() - ($E13 + 5) = 0, $F13,
    Z13 * (1 - IFERROR(INDEX('Inputs &amp; Assuptions'!$B$13:$B$72, COLUMN() - ($E13 + 5)), 0))
  )
)</f>
        <v>2026.23887051004</v>
      </c>
      <c r="AB13" s="80" t="n">
        <f aca="false" t="array" ref="AB13:AB13">IF(COLUMN() - ($E13 + 5) &lt; 0, 0,
  IF(COLUMN() - ($E13 + 5) = 0, $F13,
    AA13 * (1 - IFERROR(INDEX('Inputs &amp; Assuptions'!$B$13:$B$72, COLUMN() - ($E13 + 5)), 0))
  )
)</f>
        <v>2005.97648180494</v>
      </c>
      <c r="AC13" s="80" t="n">
        <f aca="false" t="array" ref="AC13:AC13">IF(COLUMN() - ($E13 + 5) &lt; 0, 0,
  IF(COLUMN() - ($E13 + 5) = 0, $F13,
    AB13 * (1 - IFERROR(INDEX('Inputs &amp; Assuptions'!$B$13:$B$72, COLUMN() - ($E13 + 5)), 0))
  )
)</f>
        <v>1985.91671698689</v>
      </c>
      <c r="AD13" s="80" t="n">
        <f aca="false" t="array" ref="AD13:AD13">IF(COLUMN() - ($E13 + 5) &lt; 0, 0,
  IF(COLUMN() - ($E13 + 5) = 0, $F13,
    AC13 * (1 - IFERROR(INDEX('Inputs &amp; Assuptions'!$B$13:$B$72, COLUMN() - ($E13 + 5)), 0))
  )
)</f>
        <v>1966.05754981703</v>
      </c>
      <c r="AE13" s="80" t="n">
        <f aca="false" t="array" ref="AE13:AE13">IF(COLUMN() - ($E13 + 5) &lt; 0, 0,
  IF(COLUMN() - ($E13 + 5) = 0, $F13,
    AD13 * (1 - IFERROR(INDEX('Inputs &amp; Assuptions'!$B$13:$B$72, COLUMN() - ($E13 + 5)), 0))
  )
)</f>
        <v>1946.39697431885</v>
      </c>
      <c r="AF13" s="80" t="n">
        <f aca="false" t="array" ref="AF13:AF13">IF(COLUMN() - ($E13 + 5) &lt; 0, 0,
  IF(COLUMN() - ($E13 + 5) = 0, $F13,
    AE13 * (1 - IFERROR(INDEX('Inputs &amp; Assuptions'!$B$13:$B$72, COLUMN() - ($E13 + 5)), 0))
  )
)</f>
        <v>1926.93300457567</v>
      </c>
      <c r="AG13" s="80" t="n">
        <f aca="false" t="array" ref="AG13:AG13">IF(COLUMN() - ($E13 + 5) &lt; 0, 0,
  IF(COLUMN() - ($E13 + 5) = 0, $F13,
    AF13 * (1 - IFERROR(INDEX('Inputs &amp; Assuptions'!$B$13:$B$72, COLUMN() - ($E13 + 5)), 0))
  )
)</f>
        <v>1907.66367452991</v>
      </c>
      <c r="AH13" s="80" t="n">
        <f aca="false" t="array" ref="AH13:AH13">IF(COLUMN() - ($E13 + 5) &lt; 0, 0,
  IF(COLUMN() - ($E13 + 5) = 0, $F13,
    AG13 * (1 - IFERROR(INDEX('Inputs &amp; Assuptions'!$B$13:$B$72, COLUMN() - ($E13 + 5)), 0))
  )
)</f>
        <v>1888.58703778461</v>
      </c>
      <c r="AI13" s="80" t="n">
        <f aca="false" t="array" ref="AI13:AI13">IF(COLUMN() - ($E13 + 5) &lt; 0, 0,
  IF(COLUMN() - ($E13 + 5) = 0, $F13,
    AH13 * (1 - IFERROR(INDEX('Inputs &amp; Assuptions'!$B$13:$B$72, COLUMN() - ($E13 + 5)), 0))
  )
)</f>
        <v>1869.70116740676</v>
      </c>
      <c r="AJ13" s="80" t="n">
        <f aca="false" t="array" ref="AJ13:AJ13">IF(COLUMN() - ($E13 + 5) &lt; 0, 0,
  IF(COLUMN() - ($E13 + 5) = 0, $F13,
    AI13 * (1 - IFERROR(INDEX('Inputs &amp; Assuptions'!$B$13:$B$72, COLUMN() - ($E13 + 5)), 0))
  )
)</f>
        <v>1851.0041557327</v>
      </c>
      <c r="AK13" s="80" t="n">
        <f aca="false" t="array" ref="AK13:AK13">IF(COLUMN() - ($E13 + 5) &lt; 0, 0,
  IF(COLUMN() - ($E13 + 5) = 0, $F13,
    AJ13 * (1 - IFERROR(INDEX('Inputs &amp; Assuptions'!$B$13:$B$72, COLUMN() - ($E13 + 5)), 0))
  )
)</f>
        <v>1832.49411417537</v>
      </c>
      <c r="AL13" s="80" t="n">
        <f aca="false" t="array" ref="AL13:AL13">IF(COLUMN() - ($E13 + 5) &lt; 0, 0,
  IF(COLUMN() - ($E13 + 5) = 0, $F13,
    AK13 * (1 - IFERROR(INDEX('Inputs &amp; Assuptions'!$B$13:$B$72, COLUMN() - ($E13 + 5)), 0))
  )
)</f>
        <v>1814.16917303362</v>
      </c>
      <c r="AM13" s="80" t="n">
        <f aca="false" t="array" ref="AM13:AM13">IF(COLUMN() - ($E13 + 5) &lt; 0, 0,
  IF(COLUMN() - ($E13 + 5) = 0, $F13,
    AL13 * (1 - IFERROR(INDEX('Inputs &amp; Assuptions'!$B$13:$B$72, COLUMN() - ($E13 + 5)), 0))
  )
)</f>
        <v>1796.02748130328</v>
      </c>
      <c r="AN13" s="80" t="n">
        <f aca="false" t="array" ref="AN13:AN13">IF(COLUMN() - ($E13 + 5) &lt; 0, 0,
  IF(COLUMN() - ($E13 + 5) = 0, $F13,
    AM13 * (1 - IFERROR(INDEX('Inputs &amp; Assuptions'!$B$13:$B$72, COLUMN() - ($E13 + 5)), 0))
  )
)</f>
        <v>1778.06720649025</v>
      </c>
      <c r="AO13" s="80" t="n">
        <f aca="false" t="array" ref="AO13:AO13">IF(COLUMN() - ($E13 + 5) &lt; 0, 0,
  IF(COLUMN() - ($E13 + 5) = 0, $F13,
    AN13 * (1 - IFERROR(INDEX('Inputs &amp; Assuptions'!$B$13:$B$72, COLUMN() - ($E13 + 5)), 0))
  )
)</f>
        <v>1760.28653442534</v>
      </c>
      <c r="AP13" s="80" t="n">
        <f aca="false" t="array" ref="AP13:AP13">IF(COLUMN() - ($E13 + 5) &lt; 0, 0,
  IF(COLUMN() - ($E13 + 5) = 0, $F13,
    AO13 * (1 - IFERROR(INDEX('Inputs &amp; Assuptions'!$B$13:$B$72, COLUMN() - ($E13 + 5)), 0))
  )
)</f>
        <v>1742.68366908109</v>
      </c>
      <c r="AQ13" s="80" t="n">
        <f aca="false" t="array" ref="AQ13:AQ13">IF(COLUMN() - ($E13 + 5) &lt; 0, 0,
  IF(COLUMN() - ($E13 + 5) = 0, $F13,
    AP13 * (1 - IFERROR(INDEX('Inputs &amp; Assuptions'!$B$13:$B$72, COLUMN() - ($E13 + 5)), 0))
  )
)</f>
        <v>1725.25683239028</v>
      </c>
      <c r="AR13" s="80" t="n">
        <f aca="false" t="array" ref="AR13:AR13">IF(COLUMN() - ($E13 + 5) &lt; 0, 0,
  IF(COLUMN() - ($E13 + 5) = 0, $F13,
    AQ13 * (1 - IFERROR(INDEX('Inputs &amp; Assuptions'!$B$13:$B$72, COLUMN() - ($E13 + 5)), 0))
  )
)</f>
        <v>1708.00426406638</v>
      </c>
      <c r="AS13" s="80" t="n">
        <f aca="false" t="array" ref="AS13:AS13">IF(COLUMN() - ($E13 + 5) &lt; 0, 0,
  IF(COLUMN() - ($E13 + 5) = 0, $F13,
    AR13 * (1 - IFERROR(INDEX('Inputs &amp; Assuptions'!$B$13:$B$72, COLUMN() - ($E13 + 5)), 0))
  )
)</f>
        <v>1690.92422142571</v>
      </c>
      <c r="AT13" s="80" t="n">
        <f aca="false" t="array" ref="AT13:AT13">IF(COLUMN() - ($E13 + 5) &lt; 0, 0,
  IF(COLUMN() - ($E13 + 5) = 0, $F13,
    AS13 * (1 - IFERROR(INDEX('Inputs &amp; Assuptions'!$B$13:$B$72, COLUMN() - ($E13 + 5)), 0))
  )
)</f>
        <v>1674.01497921146</v>
      </c>
      <c r="AU13" s="80" t="n">
        <f aca="false" t="array" ref="AU13:AU13">IF(COLUMN() - ($E13 + 5) &lt; 0, 0,
  IF(COLUMN() - ($E13 + 5) = 0, $F13,
    AT13 * (1 - IFERROR(INDEX('Inputs &amp; Assuptions'!$B$13:$B$72, COLUMN() - ($E13 + 5)), 0))
  )
)</f>
        <v>1657.27482941934</v>
      </c>
      <c r="AV13" s="80" t="n">
        <f aca="false" t="array" ref="AV13:AV13">IF(COLUMN() - ($E13 + 5) &lt; 0, 0,
  IF(COLUMN() - ($E13 + 5) = 0, $F13,
    AU13 * (1 - IFERROR(INDEX('Inputs &amp; Assuptions'!$B$13:$B$72, COLUMN() - ($E13 + 5)), 0))
  )
)</f>
        <v>1640.70208112515</v>
      </c>
      <c r="AW13" s="80" t="n">
        <f aca="false" t="array" ref="AW13:AW13">IF(COLUMN() - ($E13 + 5) &lt; 0, 0,
  IF(COLUMN() - ($E13 + 5) = 0, $F13,
    AV13 * (1 - IFERROR(INDEX('Inputs &amp; Assuptions'!$B$13:$B$72, COLUMN() - ($E13 + 5)), 0))
  )
)</f>
        <v>1624.2950603139</v>
      </c>
      <c r="AX13" s="80" t="n">
        <f aca="false" t="array" ref="AX13:AX13">IF(COLUMN() - ($E13 + 5) &lt; 0, 0,
  IF(COLUMN() - ($E13 + 5) = 0, $F13,
    AW13 * (1 - IFERROR(INDEX('Inputs &amp; Assuptions'!$B$13:$B$72, COLUMN() - ($E13 + 5)), 0))
  )
)</f>
        <v>1608.05210971076</v>
      </c>
      <c r="AY13" s="80" t="n">
        <f aca="false" t="array" ref="AY13:AY13">IF(COLUMN() - ($E13 + 5) &lt; 0, 0,
  IF(COLUMN() - ($E13 + 5) = 0, $F13,
    AX13 * (1 - IFERROR(INDEX('Inputs &amp; Assuptions'!$B$13:$B$72, COLUMN() - ($E13 + 5)), 0))
  )
)</f>
        <v>1591.97158861365</v>
      </c>
      <c r="AZ13" s="80" t="n">
        <f aca="false" t="array" ref="AZ13:AZ13">IF(COLUMN() - ($E13 + 5) &lt; 0, 0,
  IF(COLUMN() - ($E13 + 5) = 0, $F13,
    AY13 * (1 - IFERROR(INDEX('Inputs &amp; Assuptions'!$B$13:$B$72, COLUMN() - ($E13 + 5)), 0))
  )
)</f>
        <v>1576.05187272751</v>
      </c>
      <c r="BA13" s="80" t="n">
        <f aca="false" t="array" ref="BA13:BA13">IF(COLUMN() - ($E13 + 5) &lt; 0, 0,
  IF(COLUMN() - ($E13 + 5) = 0, $F13,
    AZ13 * (1 - IFERROR(INDEX('Inputs &amp; Assuptions'!$B$13:$B$72, COLUMN() - ($E13 + 5)), 0))
  )
)</f>
        <v>1560.29135400024</v>
      </c>
      <c r="BB13" s="80" t="n">
        <f aca="false" t="array" ref="BB13:BB13">IF(COLUMN() - ($E13 + 5) &lt; 0, 0,
  IF(COLUMN() - ($E13 + 5) = 0, $F13,
    BA13 * (1 - IFERROR(INDEX('Inputs &amp; Assuptions'!$B$13:$B$72, COLUMN() - ($E13 + 5)), 0))
  )
)</f>
        <v>1544.68844046024</v>
      </c>
      <c r="BC13" s="80" t="n">
        <f aca="false" t="array" ref="BC13:BC13">IF(COLUMN() - ($E13 + 5) &lt; 0, 0,
  IF(COLUMN() - ($E13 + 5) = 0, $F13,
    BB13 * (1 - IFERROR(INDEX('Inputs &amp; Assuptions'!$B$13:$B$72, COLUMN() - ($E13 + 5)), 0))
  )
)</f>
        <v>1529.24155605563</v>
      </c>
      <c r="BD13" s="80" t="n">
        <f aca="false" t="array" ref="BD13:BD13">IF(COLUMN() - ($E13 + 5) &lt; 0, 0,
  IF(COLUMN() - ($E13 + 5) = 0, $F13,
    BC13 * (1 - IFERROR(INDEX('Inputs &amp; Assuptions'!$B$13:$B$72, COLUMN() - ($E13 + 5)), 0))
  )
)</f>
        <v>1513.94914049508</v>
      </c>
      <c r="BE13" s="80" t="n">
        <f aca="false" t="array" ref="BE13:BE13">IF(COLUMN() - ($E13 + 5) &lt; 0, 0,
  IF(COLUMN() - ($E13 + 5) = 0, $F13,
    BD13 * (1 - IFERROR(INDEX('Inputs &amp; Assuptions'!$B$13:$B$72, COLUMN() - ($E13 + 5)), 0))
  )
)</f>
        <v>1498.80964909013</v>
      </c>
      <c r="BF13" s="80" t="n">
        <f aca="false" t="array" ref="BF13:BF13">IF(COLUMN() - ($E13 + 5) &lt; 0, 0,
  IF(COLUMN() - ($E13 + 5) = 0, $F13,
    BE13 * (1 - IFERROR(INDEX('Inputs &amp; Assuptions'!$B$13:$B$72, COLUMN() - ($E13 + 5)), 0))
  )
)</f>
        <v>1483.82155259923</v>
      </c>
      <c r="BG13" s="80" t="n">
        <f aca="false" t="array" ref="BG13:BG13">IF(COLUMN() - ($E13 + 5) &lt; 0, 0,
  IF(COLUMN() - ($E13 + 5) = 0, $F13,
    BF13 * (1 - IFERROR(INDEX('Inputs &amp; Assuptions'!$B$13:$B$72, COLUMN() - ($E13 + 5)), 0))
  )
)</f>
        <v>1468.98333707323</v>
      </c>
      <c r="BH13" s="80" t="n">
        <f aca="false" t="array" ref="BH13:BH13">IF(COLUMN() - ($E13 + 5) &lt; 0, 0,
  IF(COLUMN() - ($E13 + 5) = 0, $F13,
    BG13 * (1 - IFERROR(INDEX('Inputs &amp; Assuptions'!$B$13:$B$72, COLUMN() - ($E13 + 5)), 0))
  )
)</f>
        <v>1454.2935037025</v>
      </c>
      <c r="BI13" s="80" t="n">
        <f aca="false" t="array" ref="BI13:BI13">IF(COLUMN() - ($E13 + 5) &lt; 0, 0,
  IF(COLUMN() - ($E13 + 5) = 0, $F13,
    BH13 * (1 - IFERROR(INDEX('Inputs &amp; Assuptions'!$B$13:$B$72, COLUMN() - ($E13 + 5)), 0))
  )
)</f>
        <v>1439.75056866548</v>
      </c>
      <c r="BJ13" s="80" t="n">
        <f aca="false" t="array" ref="BJ13:BJ13">IF(COLUMN() - ($E13 + 5) &lt; 0, 0,
  IF(COLUMN() - ($E13 + 5) = 0, $F13,
    BI13 * (1 - IFERROR(INDEX('Inputs &amp; Assuptions'!$B$13:$B$72, COLUMN() - ($E13 + 5)), 0))
  )
)</f>
        <v>1425.35306297882</v>
      </c>
      <c r="BK13" s="80" t="n">
        <f aca="false" t="array" ref="BK13:BK13">IF(COLUMN() - ($E13 + 5) &lt; 0, 0,
  IF(COLUMN() - ($E13 + 5) = 0, $F13,
    BJ13 * (1 - IFERROR(INDEX('Inputs &amp; Assuptions'!$B$13:$B$72, COLUMN() - ($E13 + 5)), 0))
  )
)</f>
        <v>1411.09953234903</v>
      </c>
      <c r="BL13" s="80" t="n">
        <f aca="false" t="array" ref="BL13:BL13">IF(COLUMN() - ($E13 + 5) &lt; 0, 0,
  IF(COLUMN() - ($E13 + 5) = 0, $F13,
    BK13 * (1 - IFERROR(INDEX('Inputs &amp; Assuptions'!$B$13:$B$72, COLUMN() - ($E13 + 5)), 0))
  )
)</f>
        <v>1396.98853702554</v>
      </c>
      <c r="BM13" s="81" t="n">
        <f aca="false" t="array" ref="BM13:BM13">IF(COLUMN() - ($E13 + 5) &lt; 0, 0,
  IF(COLUMN() - ($E13 + 5) = 0, $F13,
    BL13 * (1 - IFERROR(INDEX('Inputs &amp; Assuptions'!$B$13:$B$72, COLUMN() - ($E13 + 5)), 0))
  )
)</f>
        <v>1383.01865165529</v>
      </c>
      <c r="BN13" s="76"/>
    </row>
    <row r="14" customFormat="false" ht="14.25" hidden="false" customHeight="false" outlineLevel="0" collapsed="false">
      <c r="A14" s="29" t="n">
        <f aca="false">A13+1</f>
        <v>9</v>
      </c>
      <c r="B14" s="77" t="n">
        <f aca="false">IF(MOD($A14-1, 12) = 0, $B13 * 1.05, $B13)</f>
        <v>6000</v>
      </c>
      <c r="C14" s="78" t="n">
        <f aca="false">$B14*(1-'Inputs &amp; Assuptions'!$B$12)</f>
        <v>3480</v>
      </c>
      <c r="E14" s="29" t="n">
        <f aca="false">E13+1</f>
        <v>9</v>
      </c>
      <c r="F14" s="79"/>
      <c r="G14" s="80"/>
      <c r="H14" s="80"/>
      <c r="I14" s="80"/>
      <c r="J14" s="80"/>
      <c r="K14" s="80"/>
      <c r="L14" s="80"/>
      <c r="M14" s="80"/>
      <c r="N14" s="80" t="n">
        <f aca="false">+$C14</f>
        <v>3480</v>
      </c>
      <c r="O14" s="80" t="n">
        <f aca="false" t="array" ref="O14:O14">IF(COLUMN() - ($E14 + 5) &lt; 0, 0,
  IF(COLUMN() - ($E14 + 5) = 0, $F14,
    N14 * (1 - IFERROR(INDEX('Inputs &amp; Assuptions'!$B$13:$B$72, COLUMN() - ($E14 + 5)), 0))
  )
)</f>
        <v>3114.6</v>
      </c>
      <c r="P14" s="80" t="n">
        <f aca="false" t="array" ref="P14:P14">IF(COLUMN() - ($E14 + 5) &lt; 0, 0,
  IF(COLUMN() - ($E14 + 5) = 0, $F14,
    O14 * (1 - IFERROR(INDEX('Inputs &amp; Assuptions'!$B$13:$B$72, COLUMN() - ($E14 + 5)), 0))
  )
)</f>
        <v>2865.432</v>
      </c>
      <c r="Q14" s="80" t="n">
        <f aca="false" t="array" ref="Q14:Q14">IF(COLUMN() - ($E14 + 5) &lt; 0, 0,
  IF(COLUMN() - ($E14 + 5) = 0, $F14,
    P14 * (1 - IFERROR(INDEX('Inputs &amp; Assuptions'!$B$13:$B$72, COLUMN() - ($E14 + 5)), 0))
  )
)</f>
        <v>2707.83324</v>
      </c>
      <c r="R14" s="80" t="n">
        <f aca="false" t="array" ref="R14:R14">IF(COLUMN() - ($E14 + 5) &lt; 0, 0,
  IF(COLUMN() - ($E14 + 5) = 0, $F14,
    Q14 * (1 - IFERROR(INDEX('Inputs &amp; Assuptions'!$B$13:$B$72, COLUMN() - ($E14 + 5)), 0))
  )
)</f>
        <v>2572.441578</v>
      </c>
      <c r="S14" s="80" t="n">
        <f aca="false" t="array" ref="S14:S14">IF(COLUMN() - ($E14 + 5) &lt; 0, 0,
  IF(COLUMN() - ($E14 + 5) = 0, $F14,
    R14 * (1 - IFERROR(INDEX('Inputs &amp; Assuptions'!$B$13:$B$72, COLUMN() - ($E14 + 5)), 0))
  )
)</f>
        <v>2456.68170699</v>
      </c>
      <c r="T14" s="80" t="n">
        <f aca="false" t="array" ref="T14:T14">IF(COLUMN() - ($E14 + 5) &lt; 0, 0,
  IF(COLUMN() - ($E14 + 5) = 0, $F14,
    S14 * (1 - IFERROR(INDEX('Inputs &amp; Assuptions'!$B$13:$B$72, COLUMN() - ($E14 + 5)), 0))
  )
)</f>
        <v>2358.4144387104</v>
      </c>
      <c r="U14" s="80" t="n">
        <f aca="false" t="array" ref="U14:U14">IF(COLUMN() - ($E14 + 5) &lt; 0, 0,
  IF(COLUMN() - ($E14 + 5) = 0, $F14,
    T14 * (1 - IFERROR(INDEX('Inputs &amp; Assuptions'!$B$13:$B$72, COLUMN() - ($E14 + 5)), 0))
  )
)</f>
        <v>2275.86993335554</v>
      </c>
      <c r="V14" s="80" t="n">
        <f aca="false" t="array" ref="V14:V14">IF(COLUMN() - ($E14 + 5) &lt; 0, 0,
  IF(COLUMN() - ($E14 + 5) = 0, $F14,
    U14 * (1 - IFERROR(INDEX('Inputs &amp; Assuptions'!$B$13:$B$72, COLUMN() - ($E14 + 5)), 0))
  )
)</f>
        <v>2207.59383535487</v>
      </c>
      <c r="W14" s="80" t="n">
        <f aca="false" t="array" ref="W14:W14">IF(COLUMN() - ($E14 + 5) &lt; 0, 0,
  IF(COLUMN() - ($E14 + 5) = 0, $F14,
    V14 * (1 - IFERROR(INDEX('Inputs &amp; Assuptions'!$B$13:$B$72, COLUMN() - ($E14 + 5)), 0))
  )
)</f>
        <v>2152.403989471</v>
      </c>
      <c r="X14" s="80" t="n">
        <f aca="false" t="array" ref="X14:X14">IF(COLUMN() - ($E14 + 5) &lt; 0, 0,
  IF(COLUMN() - ($E14 + 5) = 0, $F14,
    W14 * (1 - IFERROR(INDEX('Inputs &amp; Assuptions'!$B$13:$B$72, COLUMN() - ($E14 + 5)), 0))
  )
)</f>
        <v>2109.35590968158</v>
      </c>
      <c r="Y14" s="80" t="n">
        <f aca="false" t="array" ref="Y14:Y14">IF(COLUMN() - ($E14 + 5) &lt; 0, 0,
  IF(COLUMN() - ($E14 + 5) = 0, $F14,
    X14 * (1 - IFERROR(INDEX('Inputs &amp; Assuptions'!$B$13:$B$72, COLUMN() - ($E14 + 5)), 0))
  )
)</f>
        <v>2088.26235058476</v>
      </c>
      <c r="Z14" s="80" t="n">
        <f aca="false" t="array" ref="Z14:Z14">IF(COLUMN() - ($E14 + 5) &lt; 0, 0,
  IF(COLUMN() - ($E14 + 5) = 0, $F14,
    Y14 * (1 - IFERROR(INDEX('Inputs &amp; Assuptions'!$B$13:$B$72, COLUMN() - ($E14 + 5)), 0))
  )
)</f>
        <v>2067.37972707891</v>
      </c>
      <c r="AA14" s="80" t="n">
        <f aca="false" t="array" ref="AA14:AA14">IF(COLUMN() - ($E14 + 5) &lt; 0, 0,
  IF(COLUMN() - ($E14 + 5) = 0, $F14,
    Z14 * (1 - IFERROR(INDEX('Inputs &amp; Assuptions'!$B$13:$B$72, COLUMN() - ($E14 + 5)), 0))
  )
)</f>
        <v>2046.70592980813</v>
      </c>
      <c r="AB14" s="80" t="n">
        <f aca="false" t="array" ref="AB14:AB14">IF(COLUMN() - ($E14 + 5) &lt; 0, 0,
  IF(COLUMN() - ($E14 + 5) = 0, $F14,
    AA14 * (1 - IFERROR(INDEX('Inputs &amp; Assuptions'!$B$13:$B$72, COLUMN() - ($E14 + 5)), 0))
  )
)</f>
        <v>2026.23887051004</v>
      </c>
      <c r="AC14" s="80" t="n">
        <f aca="false" t="array" ref="AC14:AC14">IF(COLUMN() - ($E14 + 5) &lt; 0, 0,
  IF(COLUMN() - ($E14 + 5) = 0, $F14,
    AB14 * (1 - IFERROR(INDEX('Inputs &amp; Assuptions'!$B$13:$B$72, COLUMN() - ($E14 + 5)), 0))
  )
)</f>
        <v>2005.97648180494</v>
      </c>
      <c r="AD14" s="80" t="n">
        <f aca="false" t="array" ref="AD14:AD14">IF(COLUMN() - ($E14 + 5) &lt; 0, 0,
  IF(COLUMN() - ($E14 + 5) = 0, $F14,
    AC14 * (1 - IFERROR(INDEX('Inputs &amp; Assuptions'!$B$13:$B$72, COLUMN() - ($E14 + 5)), 0))
  )
)</f>
        <v>1985.91671698689</v>
      </c>
      <c r="AE14" s="80" t="n">
        <f aca="false" t="array" ref="AE14:AE14">IF(COLUMN() - ($E14 + 5) &lt; 0, 0,
  IF(COLUMN() - ($E14 + 5) = 0, $F14,
    AD14 * (1 - IFERROR(INDEX('Inputs &amp; Assuptions'!$B$13:$B$72, COLUMN() - ($E14 + 5)), 0))
  )
)</f>
        <v>1966.05754981703</v>
      </c>
      <c r="AF14" s="80" t="n">
        <f aca="false" t="array" ref="AF14:AF14">IF(COLUMN() - ($E14 + 5) &lt; 0, 0,
  IF(COLUMN() - ($E14 + 5) = 0, $F14,
    AE14 * (1 - IFERROR(INDEX('Inputs &amp; Assuptions'!$B$13:$B$72, COLUMN() - ($E14 + 5)), 0))
  )
)</f>
        <v>1946.39697431885</v>
      </c>
      <c r="AG14" s="80" t="n">
        <f aca="false" t="array" ref="AG14:AG14">IF(COLUMN() - ($E14 + 5) &lt; 0, 0,
  IF(COLUMN() - ($E14 + 5) = 0, $F14,
    AF14 * (1 - IFERROR(INDEX('Inputs &amp; Assuptions'!$B$13:$B$72, COLUMN() - ($E14 + 5)), 0))
  )
)</f>
        <v>1926.93300457567</v>
      </c>
      <c r="AH14" s="80" t="n">
        <f aca="false" t="array" ref="AH14:AH14">IF(COLUMN() - ($E14 + 5) &lt; 0, 0,
  IF(COLUMN() - ($E14 + 5) = 0, $F14,
    AG14 * (1 - IFERROR(INDEX('Inputs &amp; Assuptions'!$B$13:$B$72, COLUMN() - ($E14 + 5)), 0))
  )
)</f>
        <v>1907.66367452991</v>
      </c>
      <c r="AI14" s="80" t="n">
        <f aca="false" t="array" ref="AI14:AI14">IF(COLUMN() - ($E14 + 5) &lt; 0, 0,
  IF(COLUMN() - ($E14 + 5) = 0, $F14,
    AH14 * (1 - IFERROR(INDEX('Inputs &amp; Assuptions'!$B$13:$B$72, COLUMN() - ($E14 + 5)), 0))
  )
)</f>
        <v>1888.58703778461</v>
      </c>
      <c r="AJ14" s="80" t="n">
        <f aca="false" t="array" ref="AJ14:AJ14">IF(COLUMN() - ($E14 + 5) &lt; 0, 0,
  IF(COLUMN() - ($E14 + 5) = 0, $F14,
    AI14 * (1 - IFERROR(INDEX('Inputs &amp; Assuptions'!$B$13:$B$72, COLUMN() - ($E14 + 5)), 0))
  )
)</f>
        <v>1869.70116740676</v>
      </c>
      <c r="AK14" s="80" t="n">
        <f aca="false" t="array" ref="AK14:AK14">IF(COLUMN() - ($E14 + 5) &lt; 0, 0,
  IF(COLUMN() - ($E14 + 5) = 0, $F14,
    AJ14 * (1 - IFERROR(INDEX('Inputs &amp; Assuptions'!$B$13:$B$72, COLUMN() - ($E14 + 5)), 0))
  )
)</f>
        <v>1851.0041557327</v>
      </c>
      <c r="AL14" s="80" t="n">
        <f aca="false" t="array" ref="AL14:AL14">IF(COLUMN() - ($E14 + 5) &lt; 0, 0,
  IF(COLUMN() - ($E14 + 5) = 0, $F14,
    AK14 * (1 - IFERROR(INDEX('Inputs &amp; Assuptions'!$B$13:$B$72, COLUMN() - ($E14 + 5)), 0))
  )
)</f>
        <v>1832.49411417537</v>
      </c>
      <c r="AM14" s="80" t="n">
        <f aca="false" t="array" ref="AM14:AM14">IF(COLUMN() - ($E14 + 5) &lt; 0, 0,
  IF(COLUMN() - ($E14 + 5) = 0, $F14,
    AL14 * (1 - IFERROR(INDEX('Inputs &amp; Assuptions'!$B$13:$B$72, COLUMN() - ($E14 + 5)), 0))
  )
)</f>
        <v>1814.16917303362</v>
      </c>
      <c r="AN14" s="80" t="n">
        <f aca="false" t="array" ref="AN14:AN14">IF(COLUMN() - ($E14 + 5) &lt; 0, 0,
  IF(COLUMN() - ($E14 + 5) = 0, $F14,
    AM14 * (1 - IFERROR(INDEX('Inputs &amp; Assuptions'!$B$13:$B$72, COLUMN() - ($E14 + 5)), 0))
  )
)</f>
        <v>1796.02748130328</v>
      </c>
      <c r="AO14" s="80" t="n">
        <f aca="false" t="array" ref="AO14:AO14">IF(COLUMN() - ($E14 + 5) &lt; 0, 0,
  IF(COLUMN() - ($E14 + 5) = 0, $F14,
    AN14 * (1 - IFERROR(INDEX('Inputs &amp; Assuptions'!$B$13:$B$72, COLUMN() - ($E14 + 5)), 0))
  )
)</f>
        <v>1778.06720649025</v>
      </c>
      <c r="AP14" s="80" t="n">
        <f aca="false" t="array" ref="AP14:AP14">IF(COLUMN() - ($E14 + 5) &lt; 0, 0,
  IF(COLUMN() - ($E14 + 5) = 0, $F14,
    AO14 * (1 - IFERROR(INDEX('Inputs &amp; Assuptions'!$B$13:$B$72, COLUMN() - ($E14 + 5)), 0))
  )
)</f>
        <v>1760.28653442534</v>
      </c>
      <c r="AQ14" s="80" t="n">
        <f aca="false" t="array" ref="AQ14:AQ14">IF(COLUMN() - ($E14 + 5) &lt; 0, 0,
  IF(COLUMN() - ($E14 + 5) = 0, $F14,
    AP14 * (1 - IFERROR(INDEX('Inputs &amp; Assuptions'!$B$13:$B$72, COLUMN() - ($E14 + 5)), 0))
  )
)</f>
        <v>1742.68366908109</v>
      </c>
      <c r="AR14" s="80" t="n">
        <f aca="false" t="array" ref="AR14:AR14">IF(COLUMN() - ($E14 + 5) &lt; 0, 0,
  IF(COLUMN() - ($E14 + 5) = 0, $F14,
    AQ14 * (1 - IFERROR(INDEX('Inputs &amp; Assuptions'!$B$13:$B$72, COLUMN() - ($E14 + 5)), 0))
  )
)</f>
        <v>1725.25683239028</v>
      </c>
      <c r="AS14" s="80" t="n">
        <f aca="false" t="array" ref="AS14:AS14">IF(COLUMN() - ($E14 + 5) &lt; 0, 0,
  IF(COLUMN() - ($E14 + 5) = 0, $F14,
    AR14 * (1 - IFERROR(INDEX('Inputs &amp; Assuptions'!$B$13:$B$72, COLUMN() - ($E14 + 5)), 0))
  )
)</f>
        <v>1708.00426406638</v>
      </c>
      <c r="AT14" s="80" t="n">
        <f aca="false" t="array" ref="AT14:AT14">IF(COLUMN() - ($E14 + 5) &lt; 0, 0,
  IF(COLUMN() - ($E14 + 5) = 0, $F14,
    AS14 * (1 - IFERROR(INDEX('Inputs &amp; Assuptions'!$B$13:$B$72, COLUMN() - ($E14 + 5)), 0))
  )
)</f>
        <v>1690.92422142571</v>
      </c>
      <c r="AU14" s="80" t="n">
        <f aca="false" t="array" ref="AU14:AU14">IF(COLUMN() - ($E14 + 5) &lt; 0, 0,
  IF(COLUMN() - ($E14 + 5) = 0, $F14,
    AT14 * (1 - IFERROR(INDEX('Inputs &amp; Assuptions'!$B$13:$B$72, COLUMN() - ($E14 + 5)), 0))
  )
)</f>
        <v>1674.01497921146</v>
      </c>
      <c r="AV14" s="80" t="n">
        <f aca="false" t="array" ref="AV14:AV14">IF(COLUMN() - ($E14 + 5) &lt; 0, 0,
  IF(COLUMN() - ($E14 + 5) = 0, $F14,
    AU14 * (1 - IFERROR(INDEX('Inputs &amp; Assuptions'!$B$13:$B$72, COLUMN() - ($E14 + 5)), 0))
  )
)</f>
        <v>1657.27482941934</v>
      </c>
      <c r="AW14" s="80" t="n">
        <f aca="false" t="array" ref="AW14:AW14">IF(COLUMN() - ($E14 + 5) &lt; 0, 0,
  IF(COLUMN() - ($E14 + 5) = 0, $F14,
    AV14 * (1 - IFERROR(INDEX('Inputs &amp; Assuptions'!$B$13:$B$72, COLUMN() - ($E14 + 5)), 0))
  )
)</f>
        <v>1640.70208112515</v>
      </c>
      <c r="AX14" s="80" t="n">
        <f aca="false" t="array" ref="AX14:AX14">IF(COLUMN() - ($E14 + 5) &lt; 0, 0,
  IF(COLUMN() - ($E14 + 5) = 0, $F14,
    AW14 * (1 - IFERROR(INDEX('Inputs &amp; Assuptions'!$B$13:$B$72, COLUMN() - ($E14 + 5)), 0))
  )
)</f>
        <v>1624.2950603139</v>
      </c>
      <c r="AY14" s="80" t="n">
        <f aca="false" t="array" ref="AY14:AY14">IF(COLUMN() - ($E14 + 5) &lt; 0, 0,
  IF(COLUMN() - ($E14 + 5) = 0, $F14,
    AX14 * (1 - IFERROR(INDEX('Inputs &amp; Assuptions'!$B$13:$B$72, COLUMN() - ($E14 + 5)), 0))
  )
)</f>
        <v>1608.05210971076</v>
      </c>
      <c r="AZ14" s="80" t="n">
        <f aca="false" t="array" ref="AZ14:AZ14">IF(COLUMN() - ($E14 + 5) &lt; 0, 0,
  IF(COLUMN() - ($E14 + 5) = 0, $F14,
    AY14 * (1 - IFERROR(INDEX('Inputs &amp; Assuptions'!$B$13:$B$72, COLUMN() - ($E14 + 5)), 0))
  )
)</f>
        <v>1591.97158861365</v>
      </c>
      <c r="BA14" s="80" t="n">
        <f aca="false" t="array" ref="BA14:BA14">IF(COLUMN() - ($E14 + 5) &lt; 0, 0,
  IF(COLUMN() - ($E14 + 5) = 0, $F14,
    AZ14 * (1 - IFERROR(INDEX('Inputs &amp; Assuptions'!$B$13:$B$72, COLUMN() - ($E14 + 5)), 0))
  )
)</f>
        <v>1576.05187272751</v>
      </c>
      <c r="BB14" s="80" t="n">
        <f aca="false" t="array" ref="BB14:BB14">IF(COLUMN() - ($E14 + 5) &lt; 0, 0,
  IF(COLUMN() - ($E14 + 5) = 0, $F14,
    BA14 * (1 - IFERROR(INDEX('Inputs &amp; Assuptions'!$B$13:$B$72, COLUMN() - ($E14 + 5)), 0))
  )
)</f>
        <v>1560.29135400024</v>
      </c>
      <c r="BC14" s="80" t="n">
        <f aca="false" t="array" ref="BC14:BC14">IF(COLUMN() - ($E14 + 5) &lt; 0, 0,
  IF(COLUMN() - ($E14 + 5) = 0, $F14,
    BB14 * (1 - IFERROR(INDEX('Inputs &amp; Assuptions'!$B$13:$B$72, COLUMN() - ($E14 + 5)), 0))
  )
)</f>
        <v>1544.68844046024</v>
      </c>
      <c r="BD14" s="80" t="n">
        <f aca="false" t="array" ref="BD14:BD14">IF(COLUMN() - ($E14 + 5) &lt; 0, 0,
  IF(COLUMN() - ($E14 + 5) = 0, $F14,
    BC14 * (1 - IFERROR(INDEX('Inputs &amp; Assuptions'!$B$13:$B$72, COLUMN() - ($E14 + 5)), 0))
  )
)</f>
        <v>1529.24155605563</v>
      </c>
      <c r="BE14" s="80" t="n">
        <f aca="false" t="array" ref="BE14:BE14">IF(COLUMN() - ($E14 + 5) &lt; 0, 0,
  IF(COLUMN() - ($E14 + 5) = 0, $F14,
    BD14 * (1 - IFERROR(INDEX('Inputs &amp; Assuptions'!$B$13:$B$72, COLUMN() - ($E14 + 5)), 0))
  )
)</f>
        <v>1513.94914049508</v>
      </c>
      <c r="BF14" s="80" t="n">
        <f aca="false" t="array" ref="BF14:BF14">IF(COLUMN() - ($E14 + 5) &lt; 0, 0,
  IF(COLUMN() - ($E14 + 5) = 0, $F14,
    BE14 * (1 - IFERROR(INDEX('Inputs &amp; Assuptions'!$B$13:$B$72, COLUMN() - ($E14 + 5)), 0))
  )
)</f>
        <v>1498.80964909013</v>
      </c>
      <c r="BG14" s="80" t="n">
        <f aca="false" t="array" ref="BG14:BG14">IF(COLUMN() - ($E14 + 5) &lt; 0, 0,
  IF(COLUMN() - ($E14 + 5) = 0, $F14,
    BF14 * (1 - IFERROR(INDEX('Inputs &amp; Assuptions'!$B$13:$B$72, COLUMN() - ($E14 + 5)), 0))
  )
)</f>
        <v>1483.82155259923</v>
      </c>
      <c r="BH14" s="80" t="n">
        <f aca="false" t="array" ref="BH14:BH14">IF(COLUMN() - ($E14 + 5) &lt; 0, 0,
  IF(COLUMN() - ($E14 + 5) = 0, $F14,
    BG14 * (1 - IFERROR(INDEX('Inputs &amp; Assuptions'!$B$13:$B$72, COLUMN() - ($E14 + 5)), 0))
  )
)</f>
        <v>1468.98333707323</v>
      </c>
      <c r="BI14" s="80" t="n">
        <f aca="false" t="array" ref="BI14:BI14">IF(COLUMN() - ($E14 + 5) &lt; 0, 0,
  IF(COLUMN() - ($E14 + 5) = 0, $F14,
    BH14 * (1 - IFERROR(INDEX('Inputs &amp; Assuptions'!$B$13:$B$72, COLUMN() - ($E14 + 5)), 0))
  )
)</f>
        <v>1454.2935037025</v>
      </c>
      <c r="BJ14" s="80" t="n">
        <f aca="false" t="array" ref="BJ14:BJ14">IF(COLUMN() - ($E14 + 5) &lt; 0, 0,
  IF(COLUMN() - ($E14 + 5) = 0, $F14,
    BI14 * (1 - IFERROR(INDEX('Inputs &amp; Assuptions'!$B$13:$B$72, COLUMN() - ($E14 + 5)), 0))
  )
)</f>
        <v>1439.75056866548</v>
      </c>
      <c r="BK14" s="80" t="n">
        <f aca="false" t="array" ref="BK14:BK14">IF(COLUMN() - ($E14 + 5) &lt; 0, 0,
  IF(COLUMN() - ($E14 + 5) = 0, $F14,
    BJ14 * (1 - IFERROR(INDEX('Inputs &amp; Assuptions'!$B$13:$B$72, COLUMN() - ($E14 + 5)), 0))
  )
)</f>
        <v>1425.35306297882</v>
      </c>
      <c r="BL14" s="80" t="n">
        <f aca="false" t="array" ref="BL14:BL14">IF(COLUMN() - ($E14 + 5) &lt; 0, 0,
  IF(COLUMN() - ($E14 + 5) = 0, $F14,
    BK14 * (1 - IFERROR(INDEX('Inputs &amp; Assuptions'!$B$13:$B$72, COLUMN() - ($E14 + 5)), 0))
  )
)</f>
        <v>1411.09953234903</v>
      </c>
      <c r="BM14" s="81" t="n">
        <f aca="false" t="array" ref="BM14:BM14">IF(COLUMN() - ($E14 + 5) &lt; 0, 0,
  IF(COLUMN() - ($E14 + 5) = 0, $F14,
    BL14 * (1 - IFERROR(INDEX('Inputs &amp; Assuptions'!$B$13:$B$72, COLUMN() - ($E14 + 5)), 0))
  )
)</f>
        <v>1396.98853702554</v>
      </c>
      <c r="BN14" s="76"/>
    </row>
    <row r="15" customFormat="false" ht="14.25" hidden="false" customHeight="false" outlineLevel="0" collapsed="false">
      <c r="A15" s="29" t="n">
        <f aca="false">A14+1</f>
        <v>10</v>
      </c>
      <c r="B15" s="77" t="n">
        <f aca="false">IF(MOD($A15-1, 12) = 0, $B14 * 1.05, $B14)</f>
        <v>6000</v>
      </c>
      <c r="C15" s="78" t="n">
        <f aca="false">$B15*(1-'Inputs &amp; Assuptions'!$B$12)</f>
        <v>3480</v>
      </c>
      <c r="E15" s="29" t="n">
        <f aca="false">E14+1</f>
        <v>10</v>
      </c>
      <c r="F15" s="79"/>
      <c r="G15" s="80"/>
      <c r="H15" s="80"/>
      <c r="I15" s="80"/>
      <c r="J15" s="80"/>
      <c r="K15" s="80"/>
      <c r="L15" s="80"/>
      <c r="M15" s="80"/>
      <c r="N15" s="80"/>
      <c r="O15" s="80" t="n">
        <f aca="false">+$C15</f>
        <v>3480</v>
      </c>
      <c r="P15" s="80" t="n">
        <f aca="false" t="array" ref="P15:P15">IF(COLUMN() - ($E15 + 5) &lt; 0, 0,
  IF(COLUMN() - ($E15 + 5) = 0, $F15,
    O15 * (1 - IFERROR(INDEX('Inputs &amp; Assuptions'!$B$13:$B$72, COLUMN() - ($E15 + 5)), 0))
  )
)</f>
        <v>3114.6</v>
      </c>
      <c r="Q15" s="80" t="n">
        <f aca="false" t="array" ref="Q15:Q15">IF(COLUMN() - ($E15 + 5) &lt; 0, 0,
  IF(COLUMN() - ($E15 + 5) = 0, $F15,
    P15 * (1 - IFERROR(INDEX('Inputs &amp; Assuptions'!$B$13:$B$72, COLUMN() - ($E15 + 5)), 0))
  )
)</f>
        <v>2865.432</v>
      </c>
      <c r="R15" s="80" t="n">
        <f aca="false" t="array" ref="R15:R15">IF(COLUMN() - ($E15 + 5) &lt; 0, 0,
  IF(COLUMN() - ($E15 + 5) = 0, $F15,
    Q15 * (1 - IFERROR(INDEX('Inputs &amp; Assuptions'!$B$13:$B$72, COLUMN() - ($E15 + 5)), 0))
  )
)</f>
        <v>2707.83324</v>
      </c>
      <c r="S15" s="80" t="n">
        <f aca="false" t="array" ref="S15:S15">IF(COLUMN() - ($E15 + 5) &lt; 0, 0,
  IF(COLUMN() - ($E15 + 5) = 0, $F15,
    R15 * (1 - IFERROR(INDEX('Inputs &amp; Assuptions'!$B$13:$B$72, COLUMN() - ($E15 + 5)), 0))
  )
)</f>
        <v>2572.441578</v>
      </c>
      <c r="T15" s="80" t="n">
        <f aca="false" t="array" ref="T15:T15">IF(COLUMN() - ($E15 + 5) &lt; 0, 0,
  IF(COLUMN() - ($E15 + 5) = 0, $F15,
    S15 * (1 - IFERROR(INDEX('Inputs &amp; Assuptions'!$B$13:$B$72, COLUMN() - ($E15 + 5)), 0))
  )
)</f>
        <v>2456.68170699</v>
      </c>
      <c r="U15" s="80" t="n">
        <f aca="false" t="array" ref="U15:U15">IF(COLUMN() - ($E15 + 5) &lt; 0, 0,
  IF(COLUMN() - ($E15 + 5) = 0, $F15,
    T15 * (1 - IFERROR(INDEX('Inputs &amp; Assuptions'!$B$13:$B$72, COLUMN() - ($E15 + 5)), 0))
  )
)</f>
        <v>2358.4144387104</v>
      </c>
      <c r="V15" s="80" t="n">
        <f aca="false" t="array" ref="V15:V15">IF(COLUMN() - ($E15 + 5) &lt; 0, 0,
  IF(COLUMN() - ($E15 + 5) = 0, $F15,
    U15 * (1 - IFERROR(INDEX('Inputs &amp; Assuptions'!$B$13:$B$72, COLUMN() - ($E15 + 5)), 0))
  )
)</f>
        <v>2275.86993335554</v>
      </c>
      <c r="W15" s="80" t="n">
        <f aca="false" t="array" ref="W15:W15">IF(COLUMN() - ($E15 + 5) &lt; 0, 0,
  IF(COLUMN() - ($E15 + 5) = 0, $F15,
    V15 * (1 - IFERROR(INDEX('Inputs &amp; Assuptions'!$B$13:$B$72, COLUMN() - ($E15 + 5)), 0))
  )
)</f>
        <v>2207.59383535487</v>
      </c>
      <c r="X15" s="80" t="n">
        <f aca="false" t="array" ref="X15:X15">IF(COLUMN() - ($E15 + 5) &lt; 0, 0,
  IF(COLUMN() - ($E15 + 5) = 0, $F15,
    W15 * (1 - IFERROR(INDEX('Inputs &amp; Assuptions'!$B$13:$B$72, COLUMN() - ($E15 + 5)), 0))
  )
)</f>
        <v>2152.403989471</v>
      </c>
      <c r="Y15" s="80" t="n">
        <f aca="false" t="array" ref="Y15:Y15">IF(COLUMN() - ($E15 + 5) &lt; 0, 0,
  IF(COLUMN() - ($E15 + 5) = 0, $F15,
    X15 * (1 - IFERROR(INDEX('Inputs &amp; Assuptions'!$B$13:$B$72, COLUMN() - ($E15 + 5)), 0))
  )
)</f>
        <v>2109.35590968158</v>
      </c>
      <c r="Z15" s="80" t="n">
        <f aca="false" t="array" ref="Z15:Z15">IF(COLUMN() - ($E15 + 5) &lt; 0, 0,
  IF(COLUMN() - ($E15 + 5) = 0, $F15,
    Y15 * (1 - IFERROR(INDEX('Inputs &amp; Assuptions'!$B$13:$B$72, COLUMN() - ($E15 + 5)), 0))
  )
)</f>
        <v>2088.26235058476</v>
      </c>
      <c r="AA15" s="80" t="n">
        <f aca="false" t="array" ref="AA15:AA15">IF(COLUMN() - ($E15 + 5) &lt; 0, 0,
  IF(COLUMN() - ($E15 + 5) = 0, $F15,
    Z15 * (1 - IFERROR(INDEX('Inputs &amp; Assuptions'!$B$13:$B$72, COLUMN() - ($E15 + 5)), 0))
  )
)</f>
        <v>2067.37972707891</v>
      </c>
      <c r="AB15" s="80" t="n">
        <f aca="false" t="array" ref="AB15:AB15">IF(COLUMN() - ($E15 + 5) &lt; 0, 0,
  IF(COLUMN() - ($E15 + 5) = 0, $F15,
    AA15 * (1 - IFERROR(INDEX('Inputs &amp; Assuptions'!$B$13:$B$72, COLUMN() - ($E15 + 5)), 0))
  )
)</f>
        <v>2046.70592980813</v>
      </c>
      <c r="AC15" s="80" t="n">
        <f aca="false" t="array" ref="AC15:AC15">IF(COLUMN() - ($E15 + 5) &lt; 0, 0,
  IF(COLUMN() - ($E15 + 5) = 0, $F15,
    AB15 * (1 - IFERROR(INDEX('Inputs &amp; Assuptions'!$B$13:$B$72, COLUMN() - ($E15 + 5)), 0))
  )
)</f>
        <v>2026.23887051004</v>
      </c>
      <c r="AD15" s="80" t="n">
        <f aca="false" t="array" ref="AD15:AD15">IF(COLUMN() - ($E15 + 5) &lt; 0, 0,
  IF(COLUMN() - ($E15 + 5) = 0, $F15,
    AC15 * (1 - IFERROR(INDEX('Inputs &amp; Assuptions'!$B$13:$B$72, COLUMN() - ($E15 + 5)), 0))
  )
)</f>
        <v>2005.97648180494</v>
      </c>
      <c r="AE15" s="80" t="n">
        <f aca="false" t="array" ref="AE15:AE15">IF(COLUMN() - ($E15 + 5) &lt; 0, 0,
  IF(COLUMN() - ($E15 + 5) = 0, $F15,
    AD15 * (1 - IFERROR(INDEX('Inputs &amp; Assuptions'!$B$13:$B$72, COLUMN() - ($E15 + 5)), 0))
  )
)</f>
        <v>1985.91671698689</v>
      </c>
      <c r="AF15" s="80" t="n">
        <f aca="false" t="array" ref="AF15:AF15">IF(COLUMN() - ($E15 + 5) &lt; 0, 0,
  IF(COLUMN() - ($E15 + 5) = 0, $F15,
    AE15 * (1 - IFERROR(INDEX('Inputs &amp; Assuptions'!$B$13:$B$72, COLUMN() - ($E15 + 5)), 0))
  )
)</f>
        <v>1966.05754981703</v>
      </c>
      <c r="AG15" s="80" t="n">
        <f aca="false" t="array" ref="AG15:AG15">IF(COLUMN() - ($E15 + 5) &lt; 0, 0,
  IF(COLUMN() - ($E15 + 5) = 0, $F15,
    AF15 * (1 - IFERROR(INDEX('Inputs &amp; Assuptions'!$B$13:$B$72, COLUMN() - ($E15 + 5)), 0))
  )
)</f>
        <v>1946.39697431885</v>
      </c>
      <c r="AH15" s="80" t="n">
        <f aca="false" t="array" ref="AH15:AH15">IF(COLUMN() - ($E15 + 5) &lt; 0, 0,
  IF(COLUMN() - ($E15 + 5) = 0, $F15,
    AG15 * (1 - IFERROR(INDEX('Inputs &amp; Assuptions'!$B$13:$B$72, COLUMN() - ($E15 + 5)), 0))
  )
)</f>
        <v>1926.93300457567</v>
      </c>
      <c r="AI15" s="80" t="n">
        <f aca="false" t="array" ref="AI15:AI15">IF(COLUMN() - ($E15 + 5) &lt; 0, 0,
  IF(COLUMN() - ($E15 + 5) = 0, $F15,
    AH15 * (1 - IFERROR(INDEX('Inputs &amp; Assuptions'!$B$13:$B$72, COLUMN() - ($E15 + 5)), 0))
  )
)</f>
        <v>1907.66367452991</v>
      </c>
      <c r="AJ15" s="80" t="n">
        <f aca="false" t="array" ref="AJ15:AJ15">IF(COLUMN() - ($E15 + 5) &lt; 0, 0,
  IF(COLUMN() - ($E15 + 5) = 0, $F15,
    AI15 * (1 - IFERROR(INDEX('Inputs &amp; Assuptions'!$B$13:$B$72, COLUMN() - ($E15 + 5)), 0))
  )
)</f>
        <v>1888.58703778461</v>
      </c>
      <c r="AK15" s="80" t="n">
        <f aca="false" t="array" ref="AK15:AK15">IF(COLUMN() - ($E15 + 5) &lt; 0, 0,
  IF(COLUMN() - ($E15 + 5) = 0, $F15,
    AJ15 * (1 - IFERROR(INDEX('Inputs &amp; Assuptions'!$B$13:$B$72, COLUMN() - ($E15 + 5)), 0))
  )
)</f>
        <v>1869.70116740676</v>
      </c>
      <c r="AL15" s="80" t="n">
        <f aca="false" t="array" ref="AL15:AL15">IF(COLUMN() - ($E15 + 5) &lt; 0, 0,
  IF(COLUMN() - ($E15 + 5) = 0, $F15,
    AK15 * (1 - IFERROR(INDEX('Inputs &amp; Assuptions'!$B$13:$B$72, COLUMN() - ($E15 + 5)), 0))
  )
)</f>
        <v>1851.0041557327</v>
      </c>
      <c r="AM15" s="80" t="n">
        <f aca="false" t="array" ref="AM15:AM15">IF(COLUMN() - ($E15 + 5) &lt; 0, 0,
  IF(COLUMN() - ($E15 + 5) = 0, $F15,
    AL15 * (1 - IFERROR(INDEX('Inputs &amp; Assuptions'!$B$13:$B$72, COLUMN() - ($E15 + 5)), 0))
  )
)</f>
        <v>1832.49411417537</v>
      </c>
      <c r="AN15" s="80" t="n">
        <f aca="false" t="array" ref="AN15:AN15">IF(COLUMN() - ($E15 + 5) &lt; 0, 0,
  IF(COLUMN() - ($E15 + 5) = 0, $F15,
    AM15 * (1 - IFERROR(INDEX('Inputs &amp; Assuptions'!$B$13:$B$72, COLUMN() - ($E15 + 5)), 0))
  )
)</f>
        <v>1814.16917303362</v>
      </c>
      <c r="AO15" s="80" t="n">
        <f aca="false" t="array" ref="AO15:AO15">IF(COLUMN() - ($E15 + 5) &lt; 0, 0,
  IF(COLUMN() - ($E15 + 5) = 0, $F15,
    AN15 * (1 - IFERROR(INDEX('Inputs &amp; Assuptions'!$B$13:$B$72, COLUMN() - ($E15 + 5)), 0))
  )
)</f>
        <v>1796.02748130328</v>
      </c>
      <c r="AP15" s="80" t="n">
        <f aca="false" t="array" ref="AP15:AP15">IF(COLUMN() - ($E15 + 5) &lt; 0, 0,
  IF(COLUMN() - ($E15 + 5) = 0, $F15,
    AO15 * (1 - IFERROR(INDEX('Inputs &amp; Assuptions'!$B$13:$B$72, COLUMN() - ($E15 + 5)), 0))
  )
)</f>
        <v>1778.06720649025</v>
      </c>
      <c r="AQ15" s="80" t="n">
        <f aca="false" t="array" ref="AQ15:AQ15">IF(COLUMN() - ($E15 + 5) &lt; 0, 0,
  IF(COLUMN() - ($E15 + 5) = 0, $F15,
    AP15 * (1 - IFERROR(INDEX('Inputs &amp; Assuptions'!$B$13:$B$72, COLUMN() - ($E15 + 5)), 0))
  )
)</f>
        <v>1760.28653442534</v>
      </c>
      <c r="AR15" s="80" t="n">
        <f aca="false" t="array" ref="AR15:AR15">IF(COLUMN() - ($E15 + 5) &lt; 0, 0,
  IF(COLUMN() - ($E15 + 5) = 0, $F15,
    AQ15 * (1 - IFERROR(INDEX('Inputs &amp; Assuptions'!$B$13:$B$72, COLUMN() - ($E15 + 5)), 0))
  )
)</f>
        <v>1742.68366908109</v>
      </c>
      <c r="AS15" s="80" t="n">
        <f aca="false" t="array" ref="AS15:AS15">IF(COLUMN() - ($E15 + 5) &lt; 0, 0,
  IF(COLUMN() - ($E15 + 5) = 0, $F15,
    AR15 * (1 - IFERROR(INDEX('Inputs &amp; Assuptions'!$B$13:$B$72, COLUMN() - ($E15 + 5)), 0))
  )
)</f>
        <v>1725.25683239028</v>
      </c>
      <c r="AT15" s="80" t="n">
        <f aca="false" t="array" ref="AT15:AT15">IF(COLUMN() - ($E15 + 5) &lt; 0, 0,
  IF(COLUMN() - ($E15 + 5) = 0, $F15,
    AS15 * (1 - IFERROR(INDEX('Inputs &amp; Assuptions'!$B$13:$B$72, COLUMN() - ($E15 + 5)), 0))
  )
)</f>
        <v>1708.00426406638</v>
      </c>
      <c r="AU15" s="80" t="n">
        <f aca="false" t="array" ref="AU15:AU15">IF(COLUMN() - ($E15 + 5) &lt; 0, 0,
  IF(COLUMN() - ($E15 + 5) = 0, $F15,
    AT15 * (1 - IFERROR(INDEX('Inputs &amp; Assuptions'!$B$13:$B$72, COLUMN() - ($E15 + 5)), 0))
  )
)</f>
        <v>1690.92422142571</v>
      </c>
      <c r="AV15" s="80" t="n">
        <f aca="false" t="array" ref="AV15:AV15">IF(COLUMN() - ($E15 + 5) &lt; 0, 0,
  IF(COLUMN() - ($E15 + 5) = 0, $F15,
    AU15 * (1 - IFERROR(INDEX('Inputs &amp; Assuptions'!$B$13:$B$72, COLUMN() - ($E15 + 5)), 0))
  )
)</f>
        <v>1674.01497921146</v>
      </c>
      <c r="AW15" s="80" t="n">
        <f aca="false" t="array" ref="AW15:AW15">IF(COLUMN() - ($E15 + 5) &lt; 0, 0,
  IF(COLUMN() - ($E15 + 5) = 0, $F15,
    AV15 * (1 - IFERROR(INDEX('Inputs &amp; Assuptions'!$B$13:$B$72, COLUMN() - ($E15 + 5)), 0))
  )
)</f>
        <v>1657.27482941934</v>
      </c>
      <c r="AX15" s="80" t="n">
        <f aca="false" t="array" ref="AX15:AX15">IF(COLUMN() - ($E15 + 5) &lt; 0, 0,
  IF(COLUMN() - ($E15 + 5) = 0, $F15,
    AW15 * (1 - IFERROR(INDEX('Inputs &amp; Assuptions'!$B$13:$B$72, COLUMN() - ($E15 + 5)), 0))
  )
)</f>
        <v>1640.70208112515</v>
      </c>
      <c r="AY15" s="80" t="n">
        <f aca="false" t="array" ref="AY15:AY15">IF(COLUMN() - ($E15 + 5) &lt; 0, 0,
  IF(COLUMN() - ($E15 + 5) = 0, $F15,
    AX15 * (1 - IFERROR(INDEX('Inputs &amp; Assuptions'!$B$13:$B$72, COLUMN() - ($E15 + 5)), 0))
  )
)</f>
        <v>1624.2950603139</v>
      </c>
      <c r="AZ15" s="80" t="n">
        <f aca="false" t="array" ref="AZ15:AZ15">IF(COLUMN() - ($E15 + 5) &lt; 0, 0,
  IF(COLUMN() - ($E15 + 5) = 0, $F15,
    AY15 * (1 - IFERROR(INDEX('Inputs &amp; Assuptions'!$B$13:$B$72, COLUMN() - ($E15 + 5)), 0))
  )
)</f>
        <v>1608.05210971076</v>
      </c>
      <c r="BA15" s="80" t="n">
        <f aca="false" t="array" ref="BA15:BA15">IF(COLUMN() - ($E15 + 5) &lt; 0, 0,
  IF(COLUMN() - ($E15 + 5) = 0, $F15,
    AZ15 * (1 - IFERROR(INDEX('Inputs &amp; Assuptions'!$B$13:$B$72, COLUMN() - ($E15 + 5)), 0))
  )
)</f>
        <v>1591.97158861365</v>
      </c>
      <c r="BB15" s="80" t="n">
        <f aca="false" t="array" ref="BB15:BB15">IF(COLUMN() - ($E15 + 5) &lt; 0, 0,
  IF(COLUMN() - ($E15 + 5) = 0, $F15,
    BA15 * (1 - IFERROR(INDEX('Inputs &amp; Assuptions'!$B$13:$B$72, COLUMN() - ($E15 + 5)), 0))
  )
)</f>
        <v>1576.05187272751</v>
      </c>
      <c r="BC15" s="80" t="n">
        <f aca="false" t="array" ref="BC15:BC15">IF(COLUMN() - ($E15 + 5) &lt; 0, 0,
  IF(COLUMN() - ($E15 + 5) = 0, $F15,
    BB15 * (1 - IFERROR(INDEX('Inputs &amp; Assuptions'!$B$13:$B$72, COLUMN() - ($E15 + 5)), 0))
  )
)</f>
        <v>1560.29135400024</v>
      </c>
      <c r="BD15" s="80" t="n">
        <f aca="false" t="array" ref="BD15:BD15">IF(COLUMN() - ($E15 + 5) &lt; 0, 0,
  IF(COLUMN() - ($E15 + 5) = 0, $F15,
    BC15 * (1 - IFERROR(INDEX('Inputs &amp; Assuptions'!$B$13:$B$72, COLUMN() - ($E15 + 5)), 0))
  )
)</f>
        <v>1544.68844046024</v>
      </c>
      <c r="BE15" s="80" t="n">
        <f aca="false" t="array" ref="BE15:BE15">IF(COLUMN() - ($E15 + 5) &lt; 0, 0,
  IF(COLUMN() - ($E15 + 5) = 0, $F15,
    BD15 * (1 - IFERROR(INDEX('Inputs &amp; Assuptions'!$B$13:$B$72, COLUMN() - ($E15 + 5)), 0))
  )
)</f>
        <v>1529.24155605563</v>
      </c>
      <c r="BF15" s="80" t="n">
        <f aca="false" t="array" ref="BF15:BF15">IF(COLUMN() - ($E15 + 5) &lt; 0, 0,
  IF(COLUMN() - ($E15 + 5) = 0, $F15,
    BE15 * (1 - IFERROR(INDEX('Inputs &amp; Assuptions'!$B$13:$B$72, COLUMN() - ($E15 + 5)), 0))
  )
)</f>
        <v>1513.94914049508</v>
      </c>
      <c r="BG15" s="80" t="n">
        <f aca="false" t="array" ref="BG15:BG15">IF(COLUMN() - ($E15 + 5) &lt; 0, 0,
  IF(COLUMN() - ($E15 + 5) = 0, $F15,
    BF15 * (1 - IFERROR(INDEX('Inputs &amp; Assuptions'!$B$13:$B$72, COLUMN() - ($E15 + 5)), 0))
  )
)</f>
        <v>1498.80964909013</v>
      </c>
      <c r="BH15" s="80" t="n">
        <f aca="false" t="array" ref="BH15:BH15">IF(COLUMN() - ($E15 + 5) &lt; 0, 0,
  IF(COLUMN() - ($E15 + 5) = 0, $F15,
    BG15 * (1 - IFERROR(INDEX('Inputs &amp; Assuptions'!$B$13:$B$72, COLUMN() - ($E15 + 5)), 0))
  )
)</f>
        <v>1483.82155259923</v>
      </c>
      <c r="BI15" s="80" t="n">
        <f aca="false" t="array" ref="BI15:BI15">IF(COLUMN() - ($E15 + 5) &lt; 0, 0,
  IF(COLUMN() - ($E15 + 5) = 0, $F15,
    BH15 * (1 - IFERROR(INDEX('Inputs &amp; Assuptions'!$B$13:$B$72, COLUMN() - ($E15 + 5)), 0))
  )
)</f>
        <v>1468.98333707323</v>
      </c>
      <c r="BJ15" s="80" t="n">
        <f aca="false" t="array" ref="BJ15:BJ15">IF(COLUMN() - ($E15 + 5) &lt; 0, 0,
  IF(COLUMN() - ($E15 + 5) = 0, $F15,
    BI15 * (1 - IFERROR(INDEX('Inputs &amp; Assuptions'!$B$13:$B$72, COLUMN() - ($E15 + 5)), 0))
  )
)</f>
        <v>1454.2935037025</v>
      </c>
      <c r="BK15" s="80" t="n">
        <f aca="false" t="array" ref="BK15:BK15">IF(COLUMN() - ($E15 + 5) &lt; 0, 0,
  IF(COLUMN() - ($E15 + 5) = 0, $F15,
    BJ15 * (1 - IFERROR(INDEX('Inputs &amp; Assuptions'!$B$13:$B$72, COLUMN() - ($E15 + 5)), 0))
  )
)</f>
        <v>1439.75056866548</v>
      </c>
      <c r="BL15" s="80" t="n">
        <f aca="false" t="array" ref="BL15:BL15">IF(COLUMN() - ($E15 + 5) &lt; 0, 0,
  IF(COLUMN() - ($E15 + 5) = 0, $F15,
    BK15 * (1 - IFERROR(INDEX('Inputs &amp; Assuptions'!$B$13:$B$72, COLUMN() - ($E15 + 5)), 0))
  )
)</f>
        <v>1425.35306297882</v>
      </c>
      <c r="BM15" s="81" t="n">
        <f aca="false" t="array" ref="BM15:BM15">IF(COLUMN() - ($E15 + 5) &lt; 0, 0,
  IF(COLUMN() - ($E15 + 5) = 0, $F15,
    BL15 * (1 - IFERROR(INDEX('Inputs &amp; Assuptions'!$B$13:$B$72, COLUMN() - ($E15 + 5)), 0))
  )
)</f>
        <v>1411.09953234903</v>
      </c>
      <c r="BN15" s="76"/>
    </row>
    <row r="16" customFormat="false" ht="14.25" hidden="false" customHeight="false" outlineLevel="0" collapsed="false">
      <c r="A16" s="29" t="n">
        <f aca="false">A15+1</f>
        <v>11</v>
      </c>
      <c r="B16" s="77" t="n">
        <f aca="false">IF(MOD($A16-1, 12) = 0, $B15 * 1.05, $B15)</f>
        <v>6000</v>
      </c>
      <c r="C16" s="78" t="n">
        <f aca="false">$B16*(1-'Inputs &amp; Assuptions'!$B$12)</f>
        <v>3480</v>
      </c>
      <c r="E16" s="29" t="n">
        <f aca="false">E15+1</f>
        <v>11</v>
      </c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 t="n">
        <f aca="false">+$C16</f>
        <v>3480</v>
      </c>
      <c r="Q16" s="80" t="n">
        <f aca="false" t="array" ref="Q16:Q16">IF(COLUMN() - ($E16 + 5) &lt; 0, 0,
  IF(COLUMN() - ($E16 + 5) = 0, $F16,
    P16 * (1 - IFERROR(INDEX('Inputs &amp; Assuptions'!$B$13:$B$72, COLUMN() - ($E16 + 5)), 0))
  )
)</f>
        <v>3114.6</v>
      </c>
      <c r="R16" s="80" t="n">
        <f aca="false" t="array" ref="R16:R16">IF(COLUMN() - ($E16 + 5) &lt; 0, 0,
  IF(COLUMN() - ($E16 + 5) = 0, $F16,
    Q16 * (1 - IFERROR(INDEX('Inputs &amp; Assuptions'!$B$13:$B$72, COLUMN() - ($E16 + 5)), 0))
  )
)</f>
        <v>2865.432</v>
      </c>
      <c r="S16" s="80" t="n">
        <f aca="false" t="array" ref="S16:S16">IF(COLUMN() - ($E16 + 5) &lt; 0, 0,
  IF(COLUMN() - ($E16 + 5) = 0, $F16,
    R16 * (1 - IFERROR(INDEX('Inputs &amp; Assuptions'!$B$13:$B$72, COLUMN() - ($E16 + 5)), 0))
  )
)</f>
        <v>2707.83324</v>
      </c>
      <c r="T16" s="80" t="n">
        <f aca="false" t="array" ref="T16:T16">IF(COLUMN() - ($E16 + 5) &lt; 0, 0,
  IF(COLUMN() - ($E16 + 5) = 0, $F16,
    S16 * (1 - IFERROR(INDEX('Inputs &amp; Assuptions'!$B$13:$B$72, COLUMN() - ($E16 + 5)), 0))
  )
)</f>
        <v>2572.441578</v>
      </c>
      <c r="U16" s="80" t="n">
        <f aca="false" t="array" ref="U16:U16">IF(COLUMN() - ($E16 + 5) &lt; 0, 0,
  IF(COLUMN() - ($E16 + 5) = 0, $F16,
    T16 * (1 - IFERROR(INDEX('Inputs &amp; Assuptions'!$B$13:$B$72, COLUMN() - ($E16 + 5)), 0))
  )
)</f>
        <v>2456.68170699</v>
      </c>
      <c r="V16" s="80" t="n">
        <f aca="false" t="array" ref="V16:V16">IF(COLUMN() - ($E16 + 5) &lt; 0, 0,
  IF(COLUMN() - ($E16 + 5) = 0, $F16,
    U16 * (1 - IFERROR(INDEX('Inputs &amp; Assuptions'!$B$13:$B$72, COLUMN() - ($E16 + 5)), 0))
  )
)</f>
        <v>2358.4144387104</v>
      </c>
      <c r="W16" s="80" t="n">
        <f aca="false" t="array" ref="W16:W16">IF(COLUMN() - ($E16 + 5) &lt; 0, 0,
  IF(COLUMN() - ($E16 + 5) = 0, $F16,
    V16 * (1 - IFERROR(INDEX('Inputs &amp; Assuptions'!$B$13:$B$72, COLUMN() - ($E16 + 5)), 0))
  )
)</f>
        <v>2275.86993335554</v>
      </c>
      <c r="X16" s="80" t="n">
        <f aca="false" t="array" ref="X16:X16">IF(COLUMN() - ($E16 + 5) &lt; 0, 0,
  IF(COLUMN() - ($E16 + 5) = 0, $F16,
    W16 * (1 - IFERROR(INDEX('Inputs &amp; Assuptions'!$B$13:$B$72, COLUMN() - ($E16 + 5)), 0))
  )
)</f>
        <v>2207.59383535487</v>
      </c>
      <c r="Y16" s="80" t="n">
        <f aca="false" t="array" ref="Y16:Y16">IF(COLUMN() - ($E16 + 5) &lt; 0, 0,
  IF(COLUMN() - ($E16 + 5) = 0, $F16,
    X16 * (1 - IFERROR(INDEX('Inputs &amp; Assuptions'!$B$13:$B$72, COLUMN() - ($E16 + 5)), 0))
  )
)</f>
        <v>2152.403989471</v>
      </c>
      <c r="Z16" s="80" t="n">
        <f aca="false" t="array" ref="Z16:Z16">IF(COLUMN() - ($E16 + 5) &lt; 0, 0,
  IF(COLUMN() - ($E16 + 5) = 0, $F16,
    Y16 * (1 - IFERROR(INDEX('Inputs &amp; Assuptions'!$B$13:$B$72, COLUMN() - ($E16 + 5)), 0))
  )
)</f>
        <v>2109.35590968158</v>
      </c>
      <c r="AA16" s="80" t="n">
        <f aca="false" t="array" ref="AA16:AA16">IF(COLUMN() - ($E16 + 5) &lt; 0, 0,
  IF(COLUMN() - ($E16 + 5) = 0, $F16,
    Z16 * (1 - IFERROR(INDEX('Inputs &amp; Assuptions'!$B$13:$B$72, COLUMN() - ($E16 + 5)), 0))
  )
)</f>
        <v>2088.26235058476</v>
      </c>
      <c r="AB16" s="80" t="n">
        <f aca="false" t="array" ref="AB16:AB16">IF(COLUMN() - ($E16 + 5) &lt; 0, 0,
  IF(COLUMN() - ($E16 + 5) = 0, $F16,
    AA16 * (1 - IFERROR(INDEX('Inputs &amp; Assuptions'!$B$13:$B$72, COLUMN() - ($E16 + 5)), 0))
  )
)</f>
        <v>2067.37972707891</v>
      </c>
      <c r="AC16" s="80" t="n">
        <f aca="false" t="array" ref="AC16:AC16">IF(COLUMN() - ($E16 + 5) &lt; 0, 0,
  IF(COLUMN() - ($E16 + 5) = 0, $F16,
    AB16 * (1 - IFERROR(INDEX('Inputs &amp; Assuptions'!$B$13:$B$72, COLUMN() - ($E16 + 5)), 0))
  )
)</f>
        <v>2046.70592980813</v>
      </c>
      <c r="AD16" s="80" t="n">
        <f aca="false" t="array" ref="AD16:AD16">IF(COLUMN() - ($E16 + 5) &lt; 0, 0,
  IF(COLUMN() - ($E16 + 5) = 0, $F16,
    AC16 * (1 - IFERROR(INDEX('Inputs &amp; Assuptions'!$B$13:$B$72, COLUMN() - ($E16 + 5)), 0))
  )
)</f>
        <v>2026.23887051004</v>
      </c>
      <c r="AE16" s="80" t="n">
        <f aca="false" t="array" ref="AE16:AE16">IF(COLUMN() - ($E16 + 5) &lt; 0, 0,
  IF(COLUMN() - ($E16 + 5) = 0, $F16,
    AD16 * (1 - IFERROR(INDEX('Inputs &amp; Assuptions'!$B$13:$B$72, COLUMN() - ($E16 + 5)), 0))
  )
)</f>
        <v>2005.97648180494</v>
      </c>
      <c r="AF16" s="80" t="n">
        <f aca="false" t="array" ref="AF16:AF16">IF(COLUMN() - ($E16 + 5) &lt; 0, 0,
  IF(COLUMN() - ($E16 + 5) = 0, $F16,
    AE16 * (1 - IFERROR(INDEX('Inputs &amp; Assuptions'!$B$13:$B$72, COLUMN() - ($E16 + 5)), 0))
  )
)</f>
        <v>1985.91671698689</v>
      </c>
      <c r="AG16" s="80" t="n">
        <f aca="false" t="array" ref="AG16:AG16">IF(COLUMN() - ($E16 + 5) &lt; 0, 0,
  IF(COLUMN() - ($E16 + 5) = 0, $F16,
    AF16 * (1 - IFERROR(INDEX('Inputs &amp; Assuptions'!$B$13:$B$72, COLUMN() - ($E16 + 5)), 0))
  )
)</f>
        <v>1966.05754981703</v>
      </c>
      <c r="AH16" s="80" t="n">
        <f aca="false" t="array" ref="AH16:AH16">IF(COLUMN() - ($E16 + 5) &lt; 0, 0,
  IF(COLUMN() - ($E16 + 5) = 0, $F16,
    AG16 * (1 - IFERROR(INDEX('Inputs &amp; Assuptions'!$B$13:$B$72, COLUMN() - ($E16 + 5)), 0))
  )
)</f>
        <v>1946.39697431885</v>
      </c>
      <c r="AI16" s="80" t="n">
        <f aca="false" t="array" ref="AI16:AI16">IF(COLUMN() - ($E16 + 5) &lt; 0, 0,
  IF(COLUMN() - ($E16 + 5) = 0, $F16,
    AH16 * (1 - IFERROR(INDEX('Inputs &amp; Assuptions'!$B$13:$B$72, COLUMN() - ($E16 + 5)), 0))
  )
)</f>
        <v>1926.93300457567</v>
      </c>
      <c r="AJ16" s="80" t="n">
        <f aca="false" t="array" ref="AJ16:AJ16">IF(COLUMN() - ($E16 + 5) &lt; 0, 0,
  IF(COLUMN() - ($E16 + 5) = 0, $F16,
    AI16 * (1 - IFERROR(INDEX('Inputs &amp; Assuptions'!$B$13:$B$72, COLUMN() - ($E16 + 5)), 0))
  )
)</f>
        <v>1907.66367452991</v>
      </c>
      <c r="AK16" s="80" t="n">
        <f aca="false" t="array" ref="AK16:AK16">IF(COLUMN() - ($E16 + 5) &lt; 0, 0,
  IF(COLUMN() - ($E16 + 5) = 0, $F16,
    AJ16 * (1 - IFERROR(INDEX('Inputs &amp; Assuptions'!$B$13:$B$72, COLUMN() - ($E16 + 5)), 0))
  )
)</f>
        <v>1888.58703778461</v>
      </c>
      <c r="AL16" s="80" t="n">
        <f aca="false" t="array" ref="AL16:AL16">IF(COLUMN() - ($E16 + 5) &lt; 0, 0,
  IF(COLUMN() - ($E16 + 5) = 0, $F16,
    AK16 * (1 - IFERROR(INDEX('Inputs &amp; Assuptions'!$B$13:$B$72, COLUMN() - ($E16 + 5)), 0))
  )
)</f>
        <v>1869.70116740676</v>
      </c>
      <c r="AM16" s="80" t="n">
        <f aca="false" t="array" ref="AM16:AM16">IF(COLUMN() - ($E16 + 5) &lt; 0, 0,
  IF(COLUMN() - ($E16 + 5) = 0, $F16,
    AL16 * (1 - IFERROR(INDEX('Inputs &amp; Assuptions'!$B$13:$B$72, COLUMN() - ($E16 + 5)), 0))
  )
)</f>
        <v>1851.0041557327</v>
      </c>
      <c r="AN16" s="80" t="n">
        <f aca="false" t="array" ref="AN16:AN16">IF(COLUMN() - ($E16 + 5) &lt; 0, 0,
  IF(COLUMN() - ($E16 + 5) = 0, $F16,
    AM16 * (1 - IFERROR(INDEX('Inputs &amp; Assuptions'!$B$13:$B$72, COLUMN() - ($E16 + 5)), 0))
  )
)</f>
        <v>1832.49411417537</v>
      </c>
      <c r="AO16" s="80" t="n">
        <f aca="false" t="array" ref="AO16:AO16">IF(COLUMN() - ($E16 + 5) &lt; 0, 0,
  IF(COLUMN() - ($E16 + 5) = 0, $F16,
    AN16 * (1 - IFERROR(INDEX('Inputs &amp; Assuptions'!$B$13:$B$72, COLUMN() - ($E16 + 5)), 0))
  )
)</f>
        <v>1814.16917303362</v>
      </c>
      <c r="AP16" s="80" t="n">
        <f aca="false" t="array" ref="AP16:AP16">IF(COLUMN() - ($E16 + 5) &lt; 0, 0,
  IF(COLUMN() - ($E16 + 5) = 0, $F16,
    AO16 * (1 - IFERROR(INDEX('Inputs &amp; Assuptions'!$B$13:$B$72, COLUMN() - ($E16 + 5)), 0))
  )
)</f>
        <v>1796.02748130328</v>
      </c>
      <c r="AQ16" s="80" t="n">
        <f aca="false" t="array" ref="AQ16:AQ16">IF(COLUMN() - ($E16 + 5) &lt; 0, 0,
  IF(COLUMN() - ($E16 + 5) = 0, $F16,
    AP16 * (1 - IFERROR(INDEX('Inputs &amp; Assuptions'!$B$13:$B$72, COLUMN() - ($E16 + 5)), 0))
  )
)</f>
        <v>1778.06720649025</v>
      </c>
      <c r="AR16" s="80" t="n">
        <f aca="false" t="array" ref="AR16:AR16">IF(COLUMN() - ($E16 + 5) &lt; 0, 0,
  IF(COLUMN() - ($E16 + 5) = 0, $F16,
    AQ16 * (1 - IFERROR(INDEX('Inputs &amp; Assuptions'!$B$13:$B$72, COLUMN() - ($E16 + 5)), 0))
  )
)</f>
        <v>1760.28653442534</v>
      </c>
      <c r="AS16" s="80" t="n">
        <f aca="false" t="array" ref="AS16:AS16">IF(COLUMN() - ($E16 + 5) &lt; 0, 0,
  IF(COLUMN() - ($E16 + 5) = 0, $F16,
    AR16 * (1 - IFERROR(INDEX('Inputs &amp; Assuptions'!$B$13:$B$72, COLUMN() - ($E16 + 5)), 0))
  )
)</f>
        <v>1742.68366908109</v>
      </c>
      <c r="AT16" s="80" t="n">
        <f aca="false" t="array" ref="AT16:AT16">IF(COLUMN() - ($E16 + 5) &lt; 0, 0,
  IF(COLUMN() - ($E16 + 5) = 0, $F16,
    AS16 * (1 - IFERROR(INDEX('Inputs &amp; Assuptions'!$B$13:$B$72, COLUMN() - ($E16 + 5)), 0))
  )
)</f>
        <v>1725.25683239028</v>
      </c>
      <c r="AU16" s="80" t="n">
        <f aca="false" t="array" ref="AU16:AU16">IF(COLUMN() - ($E16 + 5) &lt; 0, 0,
  IF(COLUMN() - ($E16 + 5) = 0, $F16,
    AT16 * (1 - IFERROR(INDEX('Inputs &amp; Assuptions'!$B$13:$B$72, COLUMN() - ($E16 + 5)), 0))
  )
)</f>
        <v>1708.00426406638</v>
      </c>
      <c r="AV16" s="80" t="n">
        <f aca="false" t="array" ref="AV16:AV16">IF(COLUMN() - ($E16 + 5) &lt; 0, 0,
  IF(COLUMN() - ($E16 + 5) = 0, $F16,
    AU16 * (1 - IFERROR(INDEX('Inputs &amp; Assuptions'!$B$13:$B$72, COLUMN() - ($E16 + 5)), 0))
  )
)</f>
        <v>1690.92422142571</v>
      </c>
      <c r="AW16" s="80" t="n">
        <f aca="false" t="array" ref="AW16:AW16">IF(COLUMN() - ($E16 + 5) &lt; 0, 0,
  IF(COLUMN() - ($E16 + 5) = 0, $F16,
    AV16 * (1 - IFERROR(INDEX('Inputs &amp; Assuptions'!$B$13:$B$72, COLUMN() - ($E16 + 5)), 0))
  )
)</f>
        <v>1674.01497921146</v>
      </c>
      <c r="AX16" s="80" t="n">
        <f aca="false" t="array" ref="AX16:AX16">IF(COLUMN() - ($E16 + 5) &lt; 0, 0,
  IF(COLUMN() - ($E16 + 5) = 0, $F16,
    AW16 * (1 - IFERROR(INDEX('Inputs &amp; Assuptions'!$B$13:$B$72, COLUMN() - ($E16 + 5)), 0))
  )
)</f>
        <v>1657.27482941934</v>
      </c>
      <c r="AY16" s="80" t="n">
        <f aca="false" t="array" ref="AY16:AY16">IF(COLUMN() - ($E16 + 5) &lt; 0, 0,
  IF(COLUMN() - ($E16 + 5) = 0, $F16,
    AX16 * (1 - IFERROR(INDEX('Inputs &amp; Assuptions'!$B$13:$B$72, COLUMN() - ($E16 + 5)), 0))
  )
)</f>
        <v>1640.70208112515</v>
      </c>
      <c r="AZ16" s="80" t="n">
        <f aca="false" t="array" ref="AZ16:AZ16">IF(COLUMN() - ($E16 + 5) &lt; 0, 0,
  IF(COLUMN() - ($E16 + 5) = 0, $F16,
    AY16 * (1 - IFERROR(INDEX('Inputs &amp; Assuptions'!$B$13:$B$72, COLUMN() - ($E16 + 5)), 0))
  )
)</f>
        <v>1624.2950603139</v>
      </c>
      <c r="BA16" s="80" t="n">
        <f aca="false" t="array" ref="BA16:BA16">IF(COLUMN() - ($E16 + 5) &lt; 0, 0,
  IF(COLUMN() - ($E16 + 5) = 0, $F16,
    AZ16 * (1 - IFERROR(INDEX('Inputs &amp; Assuptions'!$B$13:$B$72, COLUMN() - ($E16 + 5)), 0))
  )
)</f>
        <v>1608.05210971076</v>
      </c>
      <c r="BB16" s="80" t="n">
        <f aca="false" t="array" ref="BB16:BB16">IF(COLUMN() - ($E16 + 5) &lt; 0, 0,
  IF(COLUMN() - ($E16 + 5) = 0, $F16,
    BA16 * (1 - IFERROR(INDEX('Inputs &amp; Assuptions'!$B$13:$B$72, COLUMN() - ($E16 + 5)), 0))
  )
)</f>
        <v>1591.97158861365</v>
      </c>
      <c r="BC16" s="80" t="n">
        <f aca="false" t="array" ref="BC16:BC16">IF(COLUMN() - ($E16 + 5) &lt; 0, 0,
  IF(COLUMN() - ($E16 + 5) = 0, $F16,
    BB16 * (1 - IFERROR(INDEX('Inputs &amp; Assuptions'!$B$13:$B$72, COLUMN() - ($E16 + 5)), 0))
  )
)</f>
        <v>1576.05187272751</v>
      </c>
      <c r="BD16" s="80" t="n">
        <f aca="false" t="array" ref="BD16:BD16">IF(COLUMN() - ($E16 + 5) &lt; 0, 0,
  IF(COLUMN() - ($E16 + 5) = 0, $F16,
    BC16 * (1 - IFERROR(INDEX('Inputs &amp; Assuptions'!$B$13:$B$72, COLUMN() - ($E16 + 5)), 0))
  )
)</f>
        <v>1560.29135400024</v>
      </c>
      <c r="BE16" s="80" t="n">
        <f aca="false" t="array" ref="BE16:BE16">IF(COLUMN() - ($E16 + 5) &lt; 0, 0,
  IF(COLUMN() - ($E16 + 5) = 0, $F16,
    BD16 * (1 - IFERROR(INDEX('Inputs &amp; Assuptions'!$B$13:$B$72, COLUMN() - ($E16 + 5)), 0))
  )
)</f>
        <v>1544.68844046024</v>
      </c>
      <c r="BF16" s="80" t="n">
        <f aca="false" t="array" ref="BF16:BF16">IF(COLUMN() - ($E16 + 5) &lt; 0, 0,
  IF(COLUMN() - ($E16 + 5) = 0, $F16,
    BE16 * (1 - IFERROR(INDEX('Inputs &amp; Assuptions'!$B$13:$B$72, COLUMN() - ($E16 + 5)), 0))
  )
)</f>
        <v>1529.24155605563</v>
      </c>
      <c r="BG16" s="80" t="n">
        <f aca="false" t="array" ref="BG16:BG16">IF(COLUMN() - ($E16 + 5) &lt; 0, 0,
  IF(COLUMN() - ($E16 + 5) = 0, $F16,
    BF16 * (1 - IFERROR(INDEX('Inputs &amp; Assuptions'!$B$13:$B$72, COLUMN() - ($E16 + 5)), 0))
  )
)</f>
        <v>1513.94914049508</v>
      </c>
      <c r="BH16" s="80" t="n">
        <f aca="false" t="array" ref="BH16:BH16">IF(COLUMN() - ($E16 + 5) &lt; 0, 0,
  IF(COLUMN() - ($E16 + 5) = 0, $F16,
    BG16 * (1 - IFERROR(INDEX('Inputs &amp; Assuptions'!$B$13:$B$72, COLUMN() - ($E16 + 5)), 0))
  )
)</f>
        <v>1498.80964909013</v>
      </c>
      <c r="BI16" s="80" t="n">
        <f aca="false" t="array" ref="BI16:BI16">IF(COLUMN() - ($E16 + 5) &lt; 0, 0,
  IF(COLUMN() - ($E16 + 5) = 0, $F16,
    BH16 * (1 - IFERROR(INDEX('Inputs &amp; Assuptions'!$B$13:$B$72, COLUMN() - ($E16 + 5)), 0))
  )
)</f>
        <v>1483.82155259923</v>
      </c>
      <c r="BJ16" s="80" t="n">
        <f aca="false" t="array" ref="BJ16:BJ16">IF(COLUMN() - ($E16 + 5) &lt; 0, 0,
  IF(COLUMN() - ($E16 + 5) = 0, $F16,
    BI16 * (1 - IFERROR(INDEX('Inputs &amp; Assuptions'!$B$13:$B$72, COLUMN() - ($E16 + 5)), 0))
  )
)</f>
        <v>1468.98333707323</v>
      </c>
      <c r="BK16" s="80" t="n">
        <f aca="false" t="array" ref="BK16:BK16">IF(COLUMN() - ($E16 + 5) &lt; 0, 0,
  IF(COLUMN() - ($E16 + 5) = 0, $F16,
    BJ16 * (1 - IFERROR(INDEX('Inputs &amp; Assuptions'!$B$13:$B$72, COLUMN() - ($E16 + 5)), 0))
  )
)</f>
        <v>1454.2935037025</v>
      </c>
      <c r="BL16" s="80" t="n">
        <f aca="false" t="array" ref="BL16:BL16">IF(COLUMN() - ($E16 + 5) &lt; 0, 0,
  IF(COLUMN() - ($E16 + 5) = 0, $F16,
    BK16 * (1 - IFERROR(INDEX('Inputs &amp; Assuptions'!$B$13:$B$72, COLUMN() - ($E16 + 5)), 0))
  )
)</f>
        <v>1439.75056866548</v>
      </c>
      <c r="BM16" s="81" t="n">
        <f aca="false" t="array" ref="BM16:BM16">IF(COLUMN() - ($E16 + 5) &lt; 0, 0,
  IF(COLUMN() - ($E16 + 5) = 0, $F16,
    BL16 * (1 - IFERROR(INDEX('Inputs &amp; Assuptions'!$B$13:$B$72, COLUMN() - ($E16 + 5)), 0))
  )
)</f>
        <v>1425.35306297882</v>
      </c>
      <c r="BN16" s="76"/>
    </row>
    <row r="17" customFormat="false" ht="14.25" hidden="false" customHeight="false" outlineLevel="0" collapsed="false">
      <c r="A17" s="29" t="n">
        <f aca="false">A16+1</f>
        <v>12</v>
      </c>
      <c r="B17" s="77" t="n">
        <f aca="false">IF(MOD($A17-1, 12) = 0, $B16 * 1.05, $B16)</f>
        <v>6000</v>
      </c>
      <c r="C17" s="78" t="n">
        <f aca="false">$B17*(1-'Inputs &amp; Assuptions'!$B$12)</f>
        <v>3480</v>
      </c>
      <c r="E17" s="29" t="n">
        <f aca="false">E16+1</f>
        <v>12</v>
      </c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 t="n">
        <f aca="false">+$C17</f>
        <v>3480</v>
      </c>
      <c r="R17" s="80" t="n">
        <f aca="false" t="array" ref="R17:R17">IF(COLUMN() - ($E17 + 5) &lt; 0, 0,
  IF(COLUMN() - ($E17 + 5) = 0, $F17,
    Q17 * (1 - IFERROR(INDEX('Inputs &amp; Assuptions'!$B$13:$B$72, COLUMN() - ($E17 + 5)), 0))
  )
)</f>
        <v>3114.6</v>
      </c>
      <c r="S17" s="80" t="n">
        <f aca="false" t="array" ref="S17:S17">IF(COLUMN() - ($E17 + 5) &lt; 0, 0,
  IF(COLUMN() - ($E17 + 5) = 0, $F17,
    R17 * (1 - IFERROR(INDEX('Inputs &amp; Assuptions'!$B$13:$B$72, COLUMN() - ($E17 + 5)), 0))
  )
)</f>
        <v>2865.432</v>
      </c>
      <c r="T17" s="80" t="n">
        <f aca="false" t="array" ref="T17:T17">IF(COLUMN() - ($E17 + 5) &lt; 0, 0,
  IF(COLUMN() - ($E17 + 5) = 0, $F17,
    S17 * (1 - IFERROR(INDEX('Inputs &amp; Assuptions'!$B$13:$B$72, COLUMN() - ($E17 + 5)), 0))
  )
)</f>
        <v>2707.83324</v>
      </c>
      <c r="U17" s="80" t="n">
        <f aca="false" t="array" ref="U17:U17">IF(COLUMN() - ($E17 + 5) &lt; 0, 0,
  IF(COLUMN() - ($E17 + 5) = 0, $F17,
    T17 * (1 - IFERROR(INDEX('Inputs &amp; Assuptions'!$B$13:$B$72, COLUMN() - ($E17 + 5)), 0))
  )
)</f>
        <v>2572.441578</v>
      </c>
      <c r="V17" s="80" t="n">
        <f aca="false" t="array" ref="V17:V17">IF(COLUMN() - ($E17 + 5) &lt; 0, 0,
  IF(COLUMN() - ($E17 + 5) = 0, $F17,
    U17 * (1 - IFERROR(INDEX('Inputs &amp; Assuptions'!$B$13:$B$72, COLUMN() - ($E17 + 5)), 0))
  )
)</f>
        <v>2456.68170699</v>
      </c>
      <c r="W17" s="80" t="n">
        <f aca="false" t="array" ref="W17:W17">IF(COLUMN() - ($E17 + 5) &lt; 0, 0,
  IF(COLUMN() - ($E17 + 5) = 0, $F17,
    V17 * (1 - IFERROR(INDEX('Inputs &amp; Assuptions'!$B$13:$B$72, COLUMN() - ($E17 + 5)), 0))
  )
)</f>
        <v>2358.4144387104</v>
      </c>
      <c r="X17" s="80" t="n">
        <f aca="false" t="array" ref="X17:X17">IF(COLUMN() - ($E17 + 5) &lt; 0, 0,
  IF(COLUMN() - ($E17 + 5) = 0, $F17,
    W17 * (1 - IFERROR(INDEX('Inputs &amp; Assuptions'!$B$13:$B$72, COLUMN() - ($E17 + 5)), 0))
  )
)</f>
        <v>2275.86993335554</v>
      </c>
      <c r="Y17" s="80" t="n">
        <f aca="false" t="array" ref="Y17:Y17">IF(COLUMN() - ($E17 + 5) &lt; 0, 0,
  IF(COLUMN() - ($E17 + 5) = 0, $F17,
    X17 * (1 - IFERROR(INDEX('Inputs &amp; Assuptions'!$B$13:$B$72, COLUMN() - ($E17 + 5)), 0))
  )
)</f>
        <v>2207.59383535487</v>
      </c>
      <c r="Z17" s="80" t="n">
        <f aca="false" t="array" ref="Z17:Z17">IF(COLUMN() - ($E17 + 5) &lt; 0, 0,
  IF(COLUMN() - ($E17 + 5) = 0, $F17,
    Y17 * (1 - IFERROR(INDEX('Inputs &amp; Assuptions'!$B$13:$B$72, COLUMN() - ($E17 + 5)), 0))
  )
)</f>
        <v>2152.403989471</v>
      </c>
      <c r="AA17" s="80" t="n">
        <f aca="false" t="array" ref="AA17:AA17">IF(COLUMN() - ($E17 + 5) &lt; 0, 0,
  IF(COLUMN() - ($E17 + 5) = 0, $F17,
    Z17 * (1 - IFERROR(INDEX('Inputs &amp; Assuptions'!$B$13:$B$72, COLUMN() - ($E17 + 5)), 0))
  )
)</f>
        <v>2109.35590968158</v>
      </c>
      <c r="AB17" s="80" t="n">
        <f aca="false" t="array" ref="AB17:AB17">IF(COLUMN() - ($E17 + 5) &lt; 0, 0,
  IF(COLUMN() - ($E17 + 5) = 0, $F17,
    AA17 * (1 - IFERROR(INDEX('Inputs &amp; Assuptions'!$B$13:$B$72, COLUMN() - ($E17 + 5)), 0))
  )
)</f>
        <v>2088.26235058476</v>
      </c>
      <c r="AC17" s="80" t="n">
        <f aca="false" t="array" ref="AC17:AC17">IF(COLUMN() - ($E17 + 5) &lt; 0, 0,
  IF(COLUMN() - ($E17 + 5) = 0, $F17,
    AB17 * (1 - IFERROR(INDEX('Inputs &amp; Assuptions'!$B$13:$B$72, COLUMN() - ($E17 + 5)), 0))
  )
)</f>
        <v>2067.37972707891</v>
      </c>
      <c r="AD17" s="80" t="n">
        <f aca="false" t="array" ref="AD17:AD17">IF(COLUMN() - ($E17 + 5) &lt; 0, 0,
  IF(COLUMN() - ($E17 + 5) = 0, $F17,
    AC17 * (1 - IFERROR(INDEX('Inputs &amp; Assuptions'!$B$13:$B$72, COLUMN() - ($E17 + 5)), 0))
  )
)</f>
        <v>2046.70592980813</v>
      </c>
      <c r="AE17" s="80" t="n">
        <f aca="false" t="array" ref="AE17:AE17">IF(COLUMN() - ($E17 + 5) &lt; 0, 0,
  IF(COLUMN() - ($E17 + 5) = 0, $F17,
    AD17 * (1 - IFERROR(INDEX('Inputs &amp; Assuptions'!$B$13:$B$72, COLUMN() - ($E17 + 5)), 0))
  )
)</f>
        <v>2026.23887051004</v>
      </c>
      <c r="AF17" s="80" t="n">
        <f aca="false" t="array" ref="AF17:AF17">IF(COLUMN() - ($E17 + 5) &lt; 0, 0,
  IF(COLUMN() - ($E17 + 5) = 0, $F17,
    AE17 * (1 - IFERROR(INDEX('Inputs &amp; Assuptions'!$B$13:$B$72, COLUMN() - ($E17 + 5)), 0))
  )
)</f>
        <v>2005.97648180494</v>
      </c>
      <c r="AG17" s="80" t="n">
        <f aca="false" t="array" ref="AG17:AG17">IF(COLUMN() - ($E17 + 5) &lt; 0, 0,
  IF(COLUMN() - ($E17 + 5) = 0, $F17,
    AF17 * (1 - IFERROR(INDEX('Inputs &amp; Assuptions'!$B$13:$B$72, COLUMN() - ($E17 + 5)), 0))
  )
)</f>
        <v>1985.91671698689</v>
      </c>
      <c r="AH17" s="80" t="n">
        <f aca="false" t="array" ref="AH17:AH17">IF(COLUMN() - ($E17 + 5) &lt; 0, 0,
  IF(COLUMN() - ($E17 + 5) = 0, $F17,
    AG17 * (1 - IFERROR(INDEX('Inputs &amp; Assuptions'!$B$13:$B$72, COLUMN() - ($E17 + 5)), 0))
  )
)</f>
        <v>1966.05754981703</v>
      </c>
      <c r="AI17" s="80" t="n">
        <f aca="false" t="array" ref="AI17:AI17">IF(COLUMN() - ($E17 + 5) &lt; 0, 0,
  IF(COLUMN() - ($E17 + 5) = 0, $F17,
    AH17 * (1 - IFERROR(INDEX('Inputs &amp; Assuptions'!$B$13:$B$72, COLUMN() - ($E17 + 5)), 0))
  )
)</f>
        <v>1946.39697431885</v>
      </c>
      <c r="AJ17" s="80" t="n">
        <f aca="false" t="array" ref="AJ17:AJ17">IF(COLUMN() - ($E17 + 5) &lt; 0, 0,
  IF(COLUMN() - ($E17 + 5) = 0, $F17,
    AI17 * (1 - IFERROR(INDEX('Inputs &amp; Assuptions'!$B$13:$B$72, COLUMN() - ($E17 + 5)), 0))
  )
)</f>
        <v>1926.93300457567</v>
      </c>
      <c r="AK17" s="80" t="n">
        <f aca="false" t="array" ref="AK17:AK17">IF(COLUMN() - ($E17 + 5) &lt; 0, 0,
  IF(COLUMN() - ($E17 + 5) = 0, $F17,
    AJ17 * (1 - IFERROR(INDEX('Inputs &amp; Assuptions'!$B$13:$B$72, COLUMN() - ($E17 + 5)), 0))
  )
)</f>
        <v>1907.66367452991</v>
      </c>
      <c r="AL17" s="80" t="n">
        <f aca="false" t="array" ref="AL17:AL17">IF(COLUMN() - ($E17 + 5) &lt; 0, 0,
  IF(COLUMN() - ($E17 + 5) = 0, $F17,
    AK17 * (1 - IFERROR(INDEX('Inputs &amp; Assuptions'!$B$13:$B$72, COLUMN() - ($E17 + 5)), 0))
  )
)</f>
        <v>1888.58703778461</v>
      </c>
      <c r="AM17" s="80" t="n">
        <f aca="false" t="array" ref="AM17:AM17">IF(COLUMN() - ($E17 + 5) &lt; 0, 0,
  IF(COLUMN() - ($E17 + 5) = 0, $F17,
    AL17 * (1 - IFERROR(INDEX('Inputs &amp; Assuptions'!$B$13:$B$72, COLUMN() - ($E17 + 5)), 0))
  )
)</f>
        <v>1869.70116740676</v>
      </c>
      <c r="AN17" s="80" t="n">
        <f aca="false" t="array" ref="AN17:AN17">IF(COLUMN() - ($E17 + 5) &lt; 0, 0,
  IF(COLUMN() - ($E17 + 5) = 0, $F17,
    AM17 * (1 - IFERROR(INDEX('Inputs &amp; Assuptions'!$B$13:$B$72, COLUMN() - ($E17 + 5)), 0))
  )
)</f>
        <v>1851.0041557327</v>
      </c>
      <c r="AO17" s="80" t="n">
        <f aca="false" t="array" ref="AO17:AO17">IF(COLUMN() - ($E17 + 5) &lt; 0, 0,
  IF(COLUMN() - ($E17 + 5) = 0, $F17,
    AN17 * (1 - IFERROR(INDEX('Inputs &amp; Assuptions'!$B$13:$B$72, COLUMN() - ($E17 + 5)), 0))
  )
)</f>
        <v>1832.49411417537</v>
      </c>
      <c r="AP17" s="80" t="n">
        <f aca="false" t="array" ref="AP17:AP17">IF(COLUMN() - ($E17 + 5) &lt; 0, 0,
  IF(COLUMN() - ($E17 + 5) = 0, $F17,
    AO17 * (1 - IFERROR(INDEX('Inputs &amp; Assuptions'!$B$13:$B$72, COLUMN() - ($E17 + 5)), 0))
  )
)</f>
        <v>1814.16917303362</v>
      </c>
      <c r="AQ17" s="80" t="n">
        <f aca="false" t="array" ref="AQ17:AQ17">IF(COLUMN() - ($E17 + 5) &lt; 0, 0,
  IF(COLUMN() - ($E17 + 5) = 0, $F17,
    AP17 * (1 - IFERROR(INDEX('Inputs &amp; Assuptions'!$B$13:$B$72, COLUMN() - ($E17 + 5)), 0))
  )
)</f>
        <v>1796.02748130328</v>
      </c>
      <c r="AR17" s="80" t="n">
        <f aca="false" t="array" ref="AR17:AR17">IF(COLUMN() - ($E17 + 5) &lt; 0, 0,
  IF(COLUMN() - ($E17 + 5) = 0, $F17,
    AQ17 * (1 - IFERROR(INDEX('Inputs &amp; Assuptions'!$B$13:$B$72, COLUMN() - ($E17 + 5)), 0))
  )
)</f>
        <v>1778.06720649025</v>
      </c>
      <c r="AS17" s="80" t="n">
        <f aca="false" t="array" ref="AS17:AS17">IF(COLUMN() - ($E17 + 5) &lt; 0, 0,
  IF(COLUMN() - ($E17 + 5) = 0, $F17,
    AR17 * (1 - IFERROR(INDEX('Inputs &amp; Assuptions'!$B$13:$B$72, COLUMN() - ($E17 + 5)), 0))
  )
)</f>
        <v>1760.28653442534</v>
      </c>
      <c r="AT17" s="80" t="n">
        <f aca="false" t="array" ref="AT17:AT17">IF(COLUMN() - ($E17 + 5) &lt; 0, 0,
  IF(COLUMN() - ($E17 + 5) = 0, $F17,
    AS17 * (1 - IFERROR(INDEX('Inputs &amp; Assuptions'!$B$13:$B$72, COLUMN() - ($E17 + 5)), 0))
  )
)</f>
        <v>1742.68366908109</v>
      </c>
      <c r="AU17" s="80" t="n">
        <f aca="false" t="array" ref="AU17:AU17">IF(COLUMN() - ($E17 + 5) &lt; 0, 0,
  IF(COLUMN() - ($E17 + 5) = 0, $F17,
    AT17 * (1 - IFERROR(INDEX('Inputs &amp; Assuptions'!$B$13:$B$72, COLUMN() - ($E17 + 5)), 0))
  )
)</f>
        <v>1725.25683239028</v>
      </c>
      <c r="AV17" s="80" t="n">
        <f aca="false" t="array" ref="AV17:AV17">IF(COLUMN() - ($E17 + 5) &lt; 0, 0,
  IF(COLUMN() - ($E17 + 5) = 0, $F17,
    AU17 * (1 - IFERROR(INDEX('Inputs &amp; Assuptions'!$B$13:$B$72, COLUMN() - ($E17 + 5)), 0))
  )
)</f>
        <v>1708.00426406638</v>
      </c>
      <c r="AW17" s="80" t="n">
        <f aca="false" t="array" ref="AW17:AW17">IF(COLUMN() - ($E17 + 5) &lt; 0, 0,
  IF(COLUMN() - ($E17 + 5) = 0, $F17,
    AV17 * (1 - IFERROR(INDEX('Inputs &amp; Assuptions'!$B$13:$B$72, COLUMN() - ($E17 + 5)), 0))
  )
)</f>
        <v>1690.92422142571</v>
      </c>
      <c r="AX17" s="80" t="n">
        <f aca="false" t="array" ref="AX17:AX17">IF(COLUMN() - ($E17 + 5) &lt; 0, 0,
  IF(COLUMN() - ($E17 + 5) = 0, $F17,
    AW17 * (1 - IFERROR(INDEX('Inputs &amp; Assuptions'!$B$13:$B$72, COLUMN() - ($E17 + 5)), 0))
  )
)</f>
        <v>1674.01497921146</v>
      </c>
      <c r="AY17" s="80" t="n">
        <f aca="false" t="array" ref="AY17:AY17">IF(COLUMN() - ($E17 + 5) &lt; 0, 0,
  IF(COLUMN() - ($E17 + 5) = 0, $F17,
    AX17 * (1 - IFERROR(INDEX('Inputs &amp; Assuptions'!$B$13:$B$72, COLUMN() - ($E17 + 5)), 0))
  )
)</f>
        <v>1657.27482941934</v>
      </c>
      <c r="AZ17" s="80" t="n">
        <f aca="false" t="array" ref="AZ17:AZ17">IF(COLUMN() - ($E17 + 5) &lt; 0, 0,
  IF(COLUMN() - ($E17 + 5) = 0, $F17,
    AY17 * (1 - IFERROR(INDEX('Inputs &amp; Assuptions'!$B$13:$B$72, COLUMN() - ($E17 + 5)), 0))
  )
)</f>
        <v>1640.70208112515</v>
      </c>
      <c r="BA17" s="80" t="n">
        <f aca="false" t="array" ref="BA17:BA17">IF(COLUMN() - ($E17 + 5) &lt; 0, 0,
  IF(COLUMN() - ($E17 + 5) = 0, $F17,
    AZ17 * (1 - IFERROR(INDEX('Inputs &amp; Assuptions'!$B$13:$B$72, COLUMN() - ($E17 + 5)), 0))
  )
)</f>
        <v>1624.2950603139</v>
      </c>
      <c r="BB17" s="80" t="n">
        <f aca="false" t="array" ref="BB17:BB17">IF(COLUMN() - ($E17 + 5) &lt; 0, 0,
  IF(COLUMN() - ($E17 + 5) = 0, $F17,
    BA17 * (1 - IFERROR(INDEX('Inputs &amp; Assuptions'!$B$13:$B$72, COLUMN() - ($E17 + 5)), 0))
  )
)</f>
        <v>1608.05210971076</v>
      </c>
      <c r="BC17" s="80" t="n">
        <f aca="false" t="array" ref="BC17:BC17">IF(COLUMN() - ($E17 + 5) &lt; 0, 0,
  IF(COLUMN() - ($E17 + 5) = 0, $F17,
    BB17 * (1 - IFERROR(INDEX('Inputs &amp; Assuptions'!$B$13:$B$72, COLUMN() - ($E17 + 5)), 0))
  )
)</f>
        <v>1591.97158861365</v>
      </c>
      <c r="BD17" s="80" t="n">
        <f aca="false" t="array" ref="BD17:BD17">IF(COLUMN() - ($E17 + 5) &lt; 0, 0,
  IF(COLUMN() - ($E17 + 5) = 0, $F17,
    BC17 * (1 - IFERROR(INDEX('Inputs &amp; Assuptions'!$B$13:$B$72, COLUMN() - ($E17 + 5)), 0))
  )
)</f>
        <v>1576.05187272751</v>
      </c>
      <c r="BE17" s="80" t="n">
        <f aca="false" t="array" ref="BE17:BE17">IF(COLUMN() - ($E17 + 5) &lt; 0, 0,
  IF(COLUMN() - ($E17 + 5) = 0, $F17,
    BD17 * (1 - IFERROR(INDEX('Inputs &amp; Assuptions'!$B$13:$B$72, COLUMN() - ($E17 + 5)), 0))
  )
)</f>
        <v>1560.29135400024</v>
      </c>
      <c r="BF17" s="80" t="n">
        <f aca="false" t="array" ref="BF17:BF17">IF(COLUMN() - ($E17 + 5) &lt; 0, 0,
  IF(COLUMN() - ($E17 + 5) = 0, $F17,
    BE17 * (1 - IFERROR(INDEX('Inputs &amp; Assuptions'!$B$13:$B$72, COLUMN() - ($E17 + 5)), 0))
  )
)</f>
        <v>1544.68844046024</v>
      </c>
      <c r="BG17" s="80" t="n">
        <f aca="false" t="array" ref="BG17:BG17">IF(COLUMN() - ($E17 + 5) &lt; 0, 0,
  IF(COLUMN() - ($E17 + 5) = 0, $F17,
    BF17 * (1 - IFERROR(INDEX('Inputs &amp; Assuptions'!$B$13:$B$72, COLUMN() - ($E17 + 5)), 0))
  )
)</f>
        <v>1529.24155605563</v>
      </c>
      <c r="BH17" s="80" t="n">
        <f aca="false" t="array" ref="BH17:BH17">IF(COLUMN() - ($E17 + 5) &lt; 0, 0,
  IF(COLUMN() - ($E17 + 5) = 0, $F17,
    BG17 * (1 - IFERROR(INDEX('Inputs &amp; Assuptions'!$B$13:$B$72, COLUMN() - ($E17 + 5)), 0))
  )
)</f>
        <v>1513.94914049508</v>
      </c>
      <c r="BI17" s="80" t="n">
        <f aca="false" t="array" ref="BI17:BI17">IF(COLUMN() - ($E17 + 5) &lt; 0, 0,
  IF(COLUMN() - ($E17 + 5) = 0, $F17,
    BH17 * (1 - IFERROR(INDEX('Inputs &amp; Assuptions'!$B$13:$B$72, COLUMN() - ($E17 + 5)), 0))
  )
)</f>
        <v>1498.80964909013</v>
      </c>
      <c r="BJ17" s="80" t="n">
        <f aca="false" t="array" ref="BJ17:BJ17">IF(COLUMN() - ($E17 + 5) &lt; 0, 0,
  IF(COLUMN() - ($E17 + 5) = 0, $F17,
    BI17 * (1 - IFERROR(INDEX('Inputs &amp; Assuptions'!$B$13:$B$72, COLUMN() - ($E17 + 5)), 0))
  )
)</f>
        <v>1483.82155259923</v>
      </c>
      <c r="BK17" s="80" t="n">
        <f aca="false" t="array" ref="BK17:BK17">IF(COLUMN() - ($E17 + 5) &lt; 0, 0,
  IF(COLUMN() - ($E17 + 5) = 0, $F17,
    BJ17 * (1 - IFERROR(INDEX('Inputs &amp; Assuptions'!$B$13:$B$72, COLUMN() - ($E17 + 5)), 0))
  )
)</f>
        <v>1468.98333707323</v>
      </c>
      <c r="BL17" s="80" t="n">
        <f aca="false" t="array" ref="BL17:BL17">IF(COLUMN() - ($E17 + 5) &lt; 0, 0,
  IF(COLUMN() - ($E17 + 5) = 0, $F17,
    BK17 * (1 - IFERROR(INDEX('Inputs &amp; Assuptions'!$B$13:$B$72, COLUMN() - ($E17 + 5)), 0))
  )
)</f>
        <v>1454.2935037025</v>
      </c>
      <c r="BM17" s="81" t="n">
        <f aca="false" t="array" ref="BM17:BM17">IF(COLUMN() - ($E17 + 5) &lt; 0, 0,
  IF(COLUMN() - ($E17 + 5) = 0, $F17,
    BL17 * (1 - IFERROR(INDEX('Inputs &amp; Assuptions'!$B$13:$B$72, COLUMN() - ($E17 + 5)), 0))
  )
)</f>
        <v>1439.75056866548</v>
      </c>
      <c r="BN17" s="76"/>
    </row>
    <row r="18" customFormat="false" ht="14.25" hidden="false" customHeight="false" outlineLevel="0" collapsed="false">
      <c r="A18" s="29" t="n">
        <f aca="false">A17+1</f>
        <v>13</v>
      </c>
      <c r="B18" s="77" t="n">
        <f aca="false">IF(MOD($A18-1, 12) = 0, $B17 * 1.05, $B17)</f>
        <v>6300</v>
      </c>
      <c r="C18" s="78" t="n">
        <f aca="false">$B18*(1-'Inputs &amp; Assuptions'!$B$12)</f>
        <v>3654</v>
      </c>
      <c r="E18" s="29" t="n">
        <f aca="false">E17+1</f>
        <v>13</v>
      </c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 t="n">
        <f aca="false">+$C18</f>
        <v>3654</v>
      </c>
      <c r="S18" s="80" t="n">
        <f aca="false" t="array" ref="S18:S18">IF(COLUMN() - ($E18 + 5) &lt; 0, 0,
  IF(COLUMN() - ($E18 + 5) = 0, $F18,
    R18 * (1 - IFERROR(INDEX('Inputs &amp; Assuptions'!$B$13:$B$72, COLUMN() - ($E18 + 5)), 0))
  )
)</f>
        <v>3270.33</v>
      </c>
      <c r="T18" s="80" t="n">
        <f aca="false" t="array" ref="T18:T18">IF(COLUMN() - ($E18 + 5) &lt; 0, 0,
  IF(COLUMN() - ($E18 + 5) = 0, $F18,
    S18 * (1 - IFERROR(INDEX('Inputs &amp; Assuptions'!$B$13:$B$72, COLUMN() - ($E18 + 5)), 0))
  )
)</f>
        <v>3008.7036</v>
      </c>
      <c r="U18" s="80" t="n">
        <f aca="false" t="array" ref="U18:U18">IF(COLUMN() - ($E18 + 5) &lt; 0, 0,
  IF(COLUMN() - ($E18 + 5) = 0, $F18,
    T18 * (1 - IFERROR(INDEX('Inputs &amp; Assuptions'!$B$13:$B$72, COLUMN() - ($E18 + 5)), 0))
  )
)</f>
        <v>2843.224902</v>
      </c>
      <c r="V18" s="80" t="n">
        <f aca="false" t="array" ref="V18:V18">IF(COLUMN() - ($E18 + 5) &lt; 0, 0,
  IF(COLUMN() - ($E18 + 5) = 0, $F18,
    U18 * (1 - IFERROR(INDEX('Inputs &amp; Assuptions'!$B$13:$B$72, COLUMN() - ($E18 + 5)), 0))
  )
)</f>
        <v>2701.0636569</v>
      </c>
      <c r="W18" s="80" t="n">
        <f aca="false" t="array" ref="W18:W18">IF(COLUMN() - ($E18 + 5) &lt; 0, 0,
  IF(COLUMN() - ($E18 + 5) = 0, $F18,
    V18 * (1 - IFERROR(INDEX('Inputs &amp; Assuptions'!$B$13:$B$72, COLUMN() - ($E18 + 5)), 0))
  )
)</f>
        <v>2579.5157923395</v>
      </c>
      <c r="X18" s="80" t="n">
        <f aca="false" t="array" ref="X18:X18">IF(COLUMN() - ($E18 + 5) &lt; 0, 0,
  IF(COLUMN() - ($E18 + 5) = 0, $F18,
    W18 * (1 - IFERROR(INDEX('Inputs &amp; Assuptions'!$B$13:$B$72, COLUMN() - ($E18 + 5)), 0))
  )
)</f>
        <v>2476.33516064592</v>
      </c>
      <c r="Y18" s="80" t="n">
        <f aca="false" t="array" ref="Y18:Y18">IF(COLUMN() - ($E18 + 5) &lt; 0, 0,
  IF(COLUMN() - ($E18 + 5) = 0, $F18,
    X18 * (1 - IFERROR(INDEX('Inputs &amp; Assuptions'!$B$13:$B$72, COLUMN() - ($E18 + 5)), 0))
  )
)</f>
        <v>2389.66343002331</v>
      </c>
      <c r="Z18" s="80" t="n">
        <f aca="false" t="array" ref="Z18:Z18">IF(COLUMN() - ($E18 + 5) &lt; 0, 0,
  IF(COLUMN() - ($E18 + 5) = 0, $F18,
    Y18 * (1 - IFERROR(INDEX('Inputs &amp; Assuptions'!$B$13:$B$72, COLUMN() - ($E18 + 5)), 0))
  )
)</f>
        <v>2317.97352712261</v>
      </c>
      <c r="AA18" s="80" t="n">
        <f aca="false" t="array" ref="AA18:AA18">IF(COLUMN() - ($E18 + 5) &lt; 0, 0,
  IF(COLUMN() - ($E18 + 5) = 0, $F18,
    Z18 * (1 - IFERROR(INDEX('Inputs &amp; Assuptions'!$B$13:$B$72, COLUMN() - ($E18 + 5)), 0))
  )
)</f>
        <v>2260.02418894455</v>
      </c>
      <c r="AB18" s="80" t="n">
        <f aca="false" t="array" ref="AB18:AB18">IF(COLUMN() - ($E18 + 5) &lt; 0, 0,
  IF(COLUMN() - ($E18 + 5) = 0, $F18,
    AA18 * (1 - IFERROR(INDEX('Inputs &amp; Assuptions'!$B$13:$B$72, COLUMN() - ($E18 + 5)), 0))
  )
)</f>
        <v>2214.82370516566</v>
      </c>
      <c r="AC18" s="80" t="n">
        <f aca="false" t="array" ref="AC18:AC18">IF(COLUMN() - ($E18 + 5) &lt; 0, 0,
  IF(COLUMN() - ($E18 + 5) = 0, $F18,
    AB18 * (1 - IFERROR(INDEX('Inputs &amp; Assuptions'!$B$13:$B$72, COLUMN() - ($E18 + 5)), 0))
  )
)</f>
        <v>2192.675468114</v>
      </c>
      <c r="AD18" s="80" t="n">
        <f aca="false" t="array" ref="AD18:AD18">IF(COLUMN() - ($E18 + 5) &lt; 0, 0,
  IF(COLUMN() - ($E18 + 5) = 0, $F18,
    AC18 * (1 - IFERROR(INDEX('Inputs &amp; Assuptions'!$B$13:$B$72, COLUMN() - ($E18 + 5)), 0))
  )
)</f>
        <v>2170.74871343286</v>
      </c>
      <c r="AE18" s="80" t="n">
        <f aca="false" t="array" ref="AE18:AE18">IF(COLUMN() - ($E18 + 5) &lt; 0, 0,
  IF(COLUMN() - ($E18 + 5) = 0, $F18,
    AD18 * (1 - IFERROR(INDEX('Inputs &amp; Assuptions'!$B$13:$B$72, COLUMN() - ($E18 + 5)), 0))
  )
)</f>
        <v>2149.04122629853</v>
      </c>
      <c r="AF18" s="80" t="n">
        <f aca="false" t="array" ref="AF18:AF18">IF(COLUMN() - ($E18 + 5) &lt; 0, 0,
  IF(COLUMN() - ($E18 + 5) = 0, $F18,
    AE18 * (1 - IFERROR(INDEX('Inputs &amp; Assuptions'!$B$13:$B$72, COLUMN() - ($E18 + 5)), 0))
  )
)</f>
        <v>2127.55081403555</v>
      </c>
      <c r="AG18" s="80" t="n">
        <f aca="false" t="array" ref="AG18:AG18">IF(COLUMN() - ($E18 + 5) &lt; 0, 0,
  IF(COLUMN() - ($E18 + 5) = 0, $F18,
    AF18 * (1 - IFERROR(INDEX('Inputs &amp; Assuptions'!$B$13:$B$72, COLUMN() - ($E18 + 5)), 0))
  )
)</f>
        <v>2106.27530589519</v>
      </c>
      <c r="AH18" s="80" t="n">
        <f aca="false" t="array" ref="AH18:AH18">IF(COLUMN() - ($E18 + 5) &lt; 0, 0,
  IF(COLUMN() - ($E18 + 5) = 0, $F18,
    AG18 * (1 - IFERROR(INDEX('Inputs &amp; Assuptions'!$B$13:$B$72, COLUMN() - ($E18 + 5)), 0))
  )
)</f>
        <v>2085.21255283624</v>
      </c>
      <c r="AI18" s="80" t="n">
        <f aca="false" t="array" ref="AI18:AI18">IF(COLUMN() - ($E18 + 5) &lt; 0, 0,
  IF(COLUMN() - ($E18 + 5) = 0, $F18,
    AH18 * (1 - IFERROR(INDEX('Inputs &amp; Assuptions'!$B$13:$B$72, COLUMN() - ($E18 + 5)), 0))
  )
)</f>
        <v>2064.36042730788</v>
      </c>
      <c r="AJ18" s="80" t="n">
        <f aca="false" t="array" ref="AJ18:AJ18">IF(COLUMN() - ($E18 + 5) &lt; 0, 0,
  IF(COLUMN() - ($E18 + 5) = 0, $F18,
    AI18 * (1 - IFERROR(INDEX('Inputs &amp; Assuptions'!$B$13:$B$72, COLUMN() - ($E18 + 5)), 0))
  )
)</f>
        <v>2043.7168230348</v>
      </c>
      <c r="AK18" s="80" t="n">
        <f aca="false" t="array" ref="AK18:AK18">IF(COLUMN() - ($E18 + 5) &lt; 0, 0,
  IF(COLUMN() - ($E18 + 5) = 0, $F18,
    AJ18 * (1 - IFERROR(INDEX('Inputs &amp; Assuptions'!$B$13:$B$72, COLUMN() - ($E18 + 5)), 0))
  )
)</f>
        <v>2023.27965480445</v>
      </c>
      <c r="AL18" s="80" t="n">
        <f aca="false" t="array" ref="AL18:AL18">IF(COLUMN() - ($E18 + 5) &lt; 0, 0,
  IF(COLUMN() - ($E18 + 5) = 0, $F18,
    AK18 * (1 - IFERROR(INDEX('Inputs &amp; Assuptions'!$B$13:$B$72, COLUMN() - ($E18 + 5)), 0))
  )
)</f>
        <v>2003.04685825641</v>
      </c>
      <c r="AM18" s="80" t="n">
        <f aca="false" t="array" ref="AM18:AM18">IF(COLUMN() - ($E18 + 5) &lt; 0, 0,
  IF(COLUMN() - ($E18 + 5) = 0, $F18,
    AL18 * (1 - IFERROR(INDEX('Inputs &amp; Assuptions'!$B$13:$B$72, COLUMN() - ($E18 + 5)), 0))
  )
)</f>
        <v>1983.01638967384</v>
      </c>
      <c r="AN18" s="80" t="n">
        <f aca="false" t="array" ref="AN18:AN18">IF(COLUMN() - ($E18 + 5) &lt; 0, 0,
  IF(COLUMN() - ($E18 + 5) = 0, $F18,
    AM18 * (1 - IFERROR(INDEX('Inputs &amp; Assuptions'!$B$13:$B$72, COLUMN() - ($E18 + 5)), 0))
  )
)</f>
        <v>1963.1862257771</v>
      </c>
      <c r="AO18" s="80" t="n">
        <f aca="false" t="array" ref="AO18:AO18">IF(COLUMN() - ($E18 + 5) &lt; 0, 0,
  IF(COLUMN() - ($E18 + 5) = 0, $F18,
    AN18 * (1 - IFERROR(INDEX('Inputs &amp; Assuptions'!$B$13:$B$72, COLUMN() - ($E18 + 5)), 0))
  )
)</f>
        <v>1943.55436351933</v>
      </c>
      <c r="AP18" s="80" t="n">
        <f aca="false" t="array" ref="AP18:AP18">IF(COLUMN() - ($E18 + 5) &lt; 0, 0,
  IF(COLUMN() - ($E18 + 5) = 0, $F18,
    AO18 * (1 - IFERROR(INDEX('Inputs &amp; Assuptions'!$B$13:$B$72, COLUMN() - ($E18 + 5)), 0))
  )
)</f>
        <v>1924.11881988414</v>
      </c>
      <c r="AQ18" s="80" t="n">
        <f aca="false" t="array" ref="AQ18:AQ18">IF(COLUMN() - ($E18 + 5) &lt; 0, 0,
  IF(COLUMN() - ($E18 + 5) = 0, $F18,
    AP18 * (1 - IFERROR(INDEX('Inputs &amp; Assuptions'!$B$13:$B$72, COLUMN() - ($E18 + 5)), 0))
  )
)</f>
        <v>1904.8776316853</v>
      </c>
      <c r="AR18" s="80" t="n">
        <f aca="false" t="array" ref="AR18:AR18">IF(COLUMN() - ($E18 + 5) &lt; 0, 0,
  IF(COLUMN() - ($E18 + 5) = 0, $F18,
    AQ18 * (1 - IFERROR(INDEX('Inputs &amp; Assuptions'!$B$13:$B$72, COLUMN() - ($E18 + 5)), 0))
  )
)</f>
        <v>1885.82885536844</v>
      </c>
      <c r="AS18" s="80" t="n">
        <f aca="false" t="array" ref="AS18:AS18">IF(COLUMN() - ($E18 + 5) &lt; 0, 0,
  IF(COLUMN() - ($E18 + 5) = 0, $F18,
    AR18 * (1 - IFERROR(INDEX('Inputs &amp; Assuptions'!$B$13:$B$72, COLUMN() - ($E18 + 5)), 0))
  )
)</f>
        <v>1866.97056681476</v>
      </c>
      <c r="AT18" s="80" t="n">
        <f aca="false" t="array" ref="AT18:AT18">IF(COLUMN() - ($E18 + 5) &lt; 0, 0,
  IF(COLUMN() - ($E18 + 5) = 0, $F18,
    AS18 * (1 - IFERROR(INDEX('Inputs &amp; Assuptions'!$B$13:$B$72, COLUMN() - ($E18 + 5)), 0))
  )
)</f>
        <v>1848.30086114661</v>
      </c>
      <c r="AU18" s="80" t="n">
        <f aca="false" t="array" ref="AU18:AU18">IF(COLUMN() - ($E18 + 5) &lt; 0, 0,
  IF(COLUMN() - ($E18 + 5) = 0, $F18,
    AT18 * (1 - IFERROR(INDEX('Inputs &amp; Assuptions'!$B$13:$B$72, COLUMN() - ($E18 + 5)), 0))
  )
)</f>
        <v>1829.81785253515</v>
      </c>
      <c r="AV18" s="80" t="n">
        <f aca="false" t="array" ref="AV18:AV18">IF(COLUMN() - ($E18 + 5) &lt; 0, 0,
  IF(COLUMN() - ($E18 + 5) = 0, $F18,
    AU18 * (1 - IFERROR(INDEX('Inputs &amp; Assuptions'!$B$13:$B$72, COLUMN() - ($E18 + 5)), 0))
  )
)</f>
        <v>1811.51967400979</v>
      </c>
      <c r="AW18" s="80" t="n">
        <f aca="false" t="array" ref="AW18:AW18">IF(COLUMN() - ($E18 + 5) &lt; 0, 0,
  IF(COLUMN() - ($E18 + 5) = 0, $F18,
    AV18 * (1 - IFERROR(INDEX('Inputs &amp; Assuptions'!$B$13:$B$72, COLUMN() - ($E18 + 5)), 0))
  )
)</f>
        <v>1793.4044772697</v>
      </c>
      <c r="AX18" s="80" t="n">
        <f aca="false" t="array" ref="AX18:AX18">IF(COLUMN() - ($E18 + 5) &lt; 0, 0,
  IF(COLUMN() - ($E18 + 5) = 0, $F18,
    AW18 * (1 - IFERROR(INDEX('Inputs &amp; Assuptions'!$B$13:$B$72, COLUMN() - ($E18 + 5)), 0))
  )
)</f>
        <v>1775.470432497</v>
      </c>
      <c r="AY18" s="80" t="n">
        <f aca="false" t="array" ref="AY18:AY18">IF(COLUMN() - ($E18 + 5) &lt; 0, 0,
  IF(COLUMN() - ($E18 + 5) = 0, $F18,
    AX18 * (1 - IFERROR(INDEX('Inputs &amp; Assuptions'!$B$13:$B$72, COLUMN() - ($E18 + 5)), 0))
  )
)</f>
        <v>1757.71572817203</v>
      </c>
      <c r="AZ18" s="80" t="n">
        <f aca="false" t="array" ref="AZ18:AZ18">IF(COLUMN() - ($E18 + 5) &lt; 0, 0,
  IF(COLUMN() - ($E18 + 5) = 0, $F18,
    AY18 * (1 - IFERROR(INDEX('Inputs &amp; Assuptions'!$B$13:$B$72, COLUMN() - ($E18 + 5)), 0))
  )
)</f>
        <v>1740.13857089031</v>
      </c>
      <c r="BA18" s="80" t="n">
        <f aca="false" t="array" ref="BA18:BA18">IF(COLUMN() - ($E18 + 5) &lt; 0, 0,
  IF(COLUMN() - ($E18 + 5) = 0, $F18,
    AZ18 * (1 - IFERROR(INDEX('Inputs &amp; Assuptions'!$B$13:$B$72, COLUMN() - ($E18 + 5)), 0))
  )
)</f>
        <v>1722.73718518141</v>
      </c>
      <c r="BB18" s="80" t="n">
        <f aca="false" t="array" ref="BB18:BB18">IF(COLUMN() - ($E18 + 5) &lt; 0, 0,
  IF(COLUMN() - ($E18 + 5) = 0, $F18,
    BA18 * (1 - IFERROR(INDEX('Inputs &amp; Assuptions'!$B$13:$B$72, COLUMN() - ($E18 + 5)), 0))
  )
)</f>
        <v>1705.50981332959</v>
      </c>
      <c r="BC18" s="80" t="n">
        <f aca="false" t="array" ref="BC18:BC18">IF(COLUMN() - ($E18 + 5) &lt; 0, 0,
  IF(COLUMN() - ($E18 + 5) = 0, $F18,
    BB18 * (1 - IFERROR(INDEX('Inputs &amp; Assuptions'!$B$13:$B$72, COLUMN() - ($E18 + 5)), 0))
  )
)</f>
        <v>1688.4547151963</v>
      </c>
      <c r="BD18" s="80" t="n">
        <f aca="false" t="array" ref="BD18:BD18">IF(COLUMN() - ($E18 + 5) &lt; 0, 0,
  IF(COLUMN() - ($E18 + 5) = 0, $F18,
    BC18 * (1 - IFERROR(INDEX('Inputs &amp; Assuptions'!$B$13:$B$72, COLUMN() - ($E18 + 5)), 0))
  )
)</f>
        <v>1671.57016804433</v>
      </c>
      <c r="BE18" s="80" t="n">
        <f aca="false" t="array" ref="BE18:BE18">IF(COLUMN() - ($E18 + 5) &lt; 0, 0,
  IF(COLUMN() - ($E18 + 5) = 0, $F18,
    BD18 * (1 - IFERROR(INDEX('Inputs &amp; Assuptions'!$B$13:$B$72, COLUMN() - ($E18 + 5)), 0))
  )
)</f>
        <v>1654.85446636389</v>
      </c>
      <c r="BF18" s="80" t="n">
        <f aca="false" t="array" ref="BF18:BF18">IF(COLUMN() - ($E18 + 5) &lt; 0, 0,
  IF(COLUMN() - ($E18 + 5) = 0, $F18,
    BE18 * (1 - IFERROR(INDEX('Inputs &amp; Assuptions'!$B$13:$B$72, COLUMN() - ($E18 + 5)), 0))
  )
)</f>
        <v>1638.30592170025</v>
      </c>
      <c r="BG18" s="80" t="n">
        <f aca="false" t="array" ref="BG18:BG18">IF(COLUMN() - ($E18 + 5) &lt; 0, 0,
  IF(COLUMN() - ($E18 + 5) = 0, $F18,
    BF18 * (1 - IFERROR(INDEX('Inputs &amp; Assuptions'!$B$13:$B$72, COLUMN() - ($E18 + 5)), 0))
  )
)</f>
        <v>1621.92286248325</v>
      </c>
      <c r="BH18" s="80" t="n">
        <f aca="false" t="array" ref="BH18:BH18">IF(COLUMN() - ($E18 + 5) &lt; 0, 0,
  IF(COLUMN() - ($E18 + 5) = 0, $F18,
    BG18 * (1 - IFERROR(INDEX('Inputs &amp; Assuptions'!$B$13:$B$72, COLUMN() - ($E18 + 5)), 0))
  )
)</f>
        <v>1605.70363385842</v>
      </c>
      <c r="BI18" s="80" t="n">
        <f aca="false" t="array" ref="BI18:BI18">IF(COLUMN() - ($E18 + 5) &lt; 0, 0,
  IF(COLUMN() - ($E18 + 5) = 0, $F18,
    BH18 * (1 - IFERROR(INDEX('Inputs &amp; Assuptions'!$B$13:$B$72, COLUMN() - ($E18 + 5)), 0))
  )
)</f>
        <v>1589.64659751983</v>
      </c>
      <c r="BJ18" s="80" t="n">
        <f aca="false" t="array" ref="BJ18:BJ18">IF(COLUMN() - ($E18 + 5) &lt; 0, 0,
  IF(COLUMN() - ($E18 + 5) = 0, $F18,
    BI18 * (1 - IFERROR(INDEX('Inputs &amp; Assuptions'!$B$13:$B$72, COLUMN() - ($E18 + 5)), 0))
  )
)</f>
        <v>1573.75013154463</v>
      </c>
      <c r="BK18" s="80" t="n">
        <f aca="false" t="array" ref="BK18:BK18">IF(COLUMN() - ($E18 + 5) &lt; 0, 0,
  IF(COLUMN() - ($E18 + 5) = 0, $F18,
    BJ18 * (1 - IFERROR(INDEX('Inputs &amp; Assuptions'!$B$13:$B$72, COLUMN() - ($E18 + 5)), 0))
  )
)</f>
        <v>1558.01263022919</v>
      </c>
      <c r="BL18" s="80" t="n">
        <f aca="false" t="array" ref="BL18:BL18">IF(COLUMN() - ($E18 + 5) &lt; 0, 0,
  IF(COLUMN() - ($E18 + 5) = 0, $F18,
    BK18 * (1 - IFERROR(INDEX('Inputs &amp; Assuptions'!$B$13:$B$72, COLUMN() - ($E18 + 5)), 0))
  )
)</f>
        <v>1542.4325039269</v>
      </c>
      <c r="BM18" s="81" t="n">
        <f aca="false" t="array" ref="BM18:BM18">IF(COLUMN() - ($E18 + 5) &lt; 0, 0,
  IF(COLUMN() - ($E18 + 5) = 0, $F18,
    BL18 * (1 - IFERROR(INDEX('Inputs &amp; Assuptions'!$B$13:$B$72, COLUMN() - ($E18 + 5)), 0))
  )
)</f>
        <v>1527.00817888763</v>
      </c>
      <c r="BN18" s="76"/>
    </row>
    <row r="19" customFormat="false" ht="14.25" hidden="false" customHeight="false" outlineLevel="0" collapsed="false">
      <c r="A19" s="29" t="n">
        <f aca="false">A18+1</f>
        <v>14</v>
      </c>
      <c r="B19" s="77" t="n">
        <f aca="false">IF(MOD($A19-1, 12) = 0, $B18 * 1.05, $B18)</f>
        <v>6300</v>
      </c>
      <c r="C19" s="78" t="n">
        <f aca="false">$B19*(1-'Inputs &amp; Assuptions'!$B$12)</f>
        <v>3654</v>
      </c>
      <c r="E19" s="29" t="n">
        <f aca="false">E18+1</f>
        <v>14</v>
      </c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 t="n">
        <f aca="false">+$C19</f>
        <v>3654</v>
      </c>
      <c r="T19" s="80" t="n">
        <f aca="false" t="array" ref="T19:T19">IF(COLUMN() - ($E19 + 5) &lt; 0, 0,
  IF(COLUMN() - ($E19 + 5) = 0, $F19,
    S19 * (1 - IFERROR(INDEX('Inputs &amp; Assuptions'!$B$13:$B$72, COLUMN() - ($E19 + 5)), 0))
  )
)</f>
        <v>3270.33</v>
      </c>
      <c r="U19" s="80" t="n">
        <f aca="false" t="array" ref="U19:U19">IF(COLUMN() - ($E19 + 5) &lt; 0, 0,
  IF(COLUMN() - ($E19 + 5) = 0, $F19,
    T19 * (1 - IFERROR(INDEX('Inputs &amp; Assuptions'!$B$13:$B$72, COLUMN() - ($E19 + 5)), 0))
  )
)</f>
        <v>3008.7036</v>
      </c>
      <c r="V19" s="80" t="n">
        <f aca="false" t="array" ref="V19:V19">IF(COLUMN() - ($E19 + 5) &lt; 0, 0,
  IF(COLUMN() - ($E19 + 5) = 0, $F19,
    U19 * (1 - IFERROR(INDEX('Inputs &amp; Assuptions'!$B$13:$B$72, COLUMN() - ($E19 + 5)), 0))
  )
)</f>
        <v>2843.224902</v>
      </c>
      <c r="W19" s="80" t="n">
        <f aca="false" t="array" ref="W19:W19">IF(COLUMN() - ($E19 + 5) &lt; 0, 0,
  IF(COLUMN() - ($E19 + 5) = 0, $F19,
    V19 * (1 - IFERROR(INDEX('Inputs &amp; Assuptions'!$B$13:$B$72, COLUMN() - ($E19 + 5)), 0))
  )
)</f>
        <v>2701.0636569</v>
      </c>
      <c r="X19" s="80" t="n">
        <f aca="false" t="array" ref="X19:X19">IF(COLUMN() - ($E19 + 5) &lt; 0, 0,
  IF(COLUMN() - ($E19 + 5) = 0, $F19,
    W19 * (1 - IFERROR(INDEX('Inputs &amp; Assuptions'!$B$13:$B$72, COLUMN() - ($E19 + 5)), 0))
  )
)</f>
        <v>2579.5157923395</v>
      </c>
      <c r="Y19" s="80" t="n">
        <f aca="false" t="array" ref="Y19:Y19">IF(COLUMN() - ($E19 + 5) &lt; 0, 0,
  IF(COLUMN() - ($E19 + 5) = 0, $F19,
    X19 * (1 - IFERROR(INDEX('Inputs &amp; Assuptions'!$B$13:$B$72, COLUMN() - ($E19 + 5)), 0))
  )
)</f>
        <v>2476.33516064592</v>
      </c>
      <c r="Z19" s="80" t="n">
        <f aca="false" t="array" ref="Z19:Z19">IF(COLUMN() - ($E19 + 5) &lt; 0, 0,
  IF(COLUMN() - ($E19 + 5) = 0, $F19,
    Y19 * (1 - IFERROR(INDEX('Inputs &amp; Assuptions'!$B$13:$B$72, COLUMN() - ($E19 + 5)), 0))
  )
)</f>
        <v>2389.66343002331</v>
      </c>
      <c r="AA19" s="80" t="n">
        <f aca="false" t="array" ref="AA19:AA19">IF(COLUMN() - ($E19 + 5) &lt; 0, 0,
  IF(COLUMN() - ($E19 + 5) = 0, $F19,
    Z19 * (1 - IFERROR(INDEX('Inputs &amp; Assuptions'!$B$13:$B$72, COLUMN() - ($E19 + 5)), 0))
  )
)</f>
        <v>2317.97352712261</v>
      </c>
      <c r="AB19" s="80" t="n">
        <f aca="false" t="array" ref="AB19:AB19">IF(COLUMN() - ($E19 + 5) &lt; 0, 0,
  IF(COLUMN() - ($E19 + 5) = 0, $F19,
    AA19 * (1 - IFERROR(INDEX('Inputs &amp; Assuptions'!$B$13:$B$72, COLUMN() - ($E19 + 5)), 0))
  )
)</f>
        <v>2260.02418894455</v>
      </c>
      <c r="AC19" s="80" t="n">
        <f aca="false" t="array" ref="AC19:AC19">IF(COLUMN() - ($E19 + 5) &lt; 0, 0,
  IF(COLUMN() - ($E19 + 5) = 0, $F19,
    AB19 * (1 - IFERROR(INDEX('Inputs &amp; Assuptions'!$B$13:$B$72, COLUMN() - ($E19 + 5)), 0))
  )
)</f>
        <v>2214.82370516566</v>
      </c>
      <c r="AD19" s="80" t="n">
        <f aca="false" t="array" ref="AD19:AD19">IF(COLUMN() - ($E19 + 5) &lt; 0, 0,
  IF(COLUMN() - ($E19 + 5) = 0, $F19,
    AC19 * (1 - IFERROR(INDEX('Inputs &amp; Assuptions'!$B$13:$B$72, COLUMN() - ($E19 + 5)), 0))
  )
)</f>
        <v>2192.675468114</v>
      </c>
      <c r="AE19" s="80" t="n">
        <f aca="false" t="array" ref="AE19:AE19">IF(COLUMN() - ($E19 + 5) &lt; 0, 0,
  IF(COLUMN() - ($E19 + 5) = 0, $F19,
    AD19 * (1 - IFERROR(INDEX('Inputs &amp; Assuptions'!$B$13:$B$72, COLUMN() - ($E19 + 5)), 0))
  )
)</f>
        <v>2170.74871343286</v>
      </c>
      <c r="AF19" s="80" t="n">
        <f aca="false" t="array" ref="AF19:AF19">IF(COLUMN() - ($E19 + 5) &lt; 0, 0,
  IF(COLUMN() - ($E19 + 5) = 0, $F19,
    AE19 * (1 - IFERROR(INDEX('Inputs &amp; Assuptions'!$B$13:$B$72, COLUMN() - ($E19 + 5)), 0))
  )
)</f>
        <v>2149.04122629853</v>
      </c>
      <c r="AG19" s="80" t="n">
        <f aca="false" t="array" ref="AG19:AG19">IF(COLUMN() - ($E19 + 5) &lt; 0, 0,
  IF(COLUMN() - ($E19 + 5) = 0, $F19,
    AF19 * (1 - IFERROR(INDEX('Inputs &amp; Assuptions'!$B$13:$B$72, COLUMN() - ($E19 + 5)), 0))
  )
)</f>
        <v>2127.55081403555</v>
      </c>
      <c r="AH19" s="80" t="n">
        <f aca="false" t="array" ref="AH19:AH19">IF(COLUMN() - ($E19 + 5) &lt; 0, 0,
  IF(COLUMN() - ($E19 + 5) = 0, $F19,
    AG19 * (1 - IFERROR(INDEX('Inputs &amp; Assuptions'!$B$13:$B$72, COLUMN() - ($E19 + 5)), 0))
  )
)</f>
        <v>2106.27530589519</v>
      </c>
      <c r="AI19" s="80" t="n">
        <f aca="false" t="array" ref="AI19:AI19">IF(COLUMN() - ($E19 + 5) &lt; 0, 0,
  IF(COLUMN() - ($E19 + 5) = 0, $F19,
    AH19 * (1 - IFERROR(INDEX('Inputs &amp; Assuptions'!$B$13:$B$72, COLUMN() - ($E19 + 5)), 0))
  )
)</f>
        <v>2085.21255283624</v>
      </c>
      <c r="AJ19" s="80" t="n">
        <f aca="false" t="array" ref="AJ19:AJ19">IF(COLUMN() - ($E19 + 5) &lt; 0, 0,
  IF(COLUMN() - ($E19 + 5) = 0, $F19,
    AI19 * (1 - IFERROR(INDEX('Inputs &amp; Assuptions'!$B$13:$B$72, COLUMN() - ($E19 + 5)), 0))
  )
)</f>
        <v>2064.36042730788</v>
      </c>
      <c r="AK19" s="80" t="n">
        <f aca="false" t="array" ref="AK19:AK19">IF(COLUMN() - ($E19 + 5) &lt; 0, 0,
  IF(COLUMN() - ($E19 + 5) = 0, $F19,
    AJ19 * (1 - IFERROR(INDEX('Inputs &amp; Assuptions'!$B$13:$B$72, COLUMN() - ($E19 + 5)), 0))
  )
)</f>
        <v>2043.7168230348</v>
      </c>
      <c r="AL19" s="80" t="n">
        <f aca="false" t="array" ref="AL19:AL19">IF(COLUMN() - ($E19 + 5) &lt; 0, 0,
  IF(COLUMN() - ($E19 + 5) = 0, $F19,
    AK19 * (1 - IFERROR(INDEX('Inputs &amp; Assuptions'!$B$13:$B$72, COLUMN() - ($E19 + 5)), 0))
  )
)</f>
        <v>2023.27965480445</v>
      </c>
      <c r="AM19" s="80" t="n">
        <f aca="false" t="array" ref="AM19:AM19">IF(COLUMN() - ($E19 + 5) &lt; 0, 0,
  IF(COLUMN() - ($E19 + 5) = 0, $F19,
    AL19 * (1 - IFERROR(INDEX('Inputs &amp; Assuptions'!$B$13:$B$72, COLUMN() - ($E19 + 5)), 0))
  )
)</f>
        <v>2003.04685825641</v>
      </c>
      <c r="AN19" s="80" t="n">
        <f aca="false" t="array" ref="AN19:AN19">IF(COLUMN() - ($E19 + 5) &lt; 0, 0,
  IF(COLUMN() - ($E19 + 5) = 0, $F19,
    AM19 * (1 - IFERROR(INDEX('Inputs &amp; Assuptions'!$B$13:$B$72, COLUMN() - ($E19 + 5)), 0))
  )
)</f>
        <v>1983.01638967384</v>
      </c>
      <c r="AO19" s="80" t="n">
        <f aca="false" t="array" ref="AO19:AO19">IF(COLUMN() - ($E19 + 5) &lt; 0, 0,
  IF(COLUMN() - ($E19 + 5) = 0, $F19,
    AN19 * (1 - IFERROR(INDEX('Inputs &amp; Assuptions'!$B$13:$B$72, COLUMN() - ($E19 + 5)), 0))
  )
)</f>
        <v>1963.1862257771</v>
      </c>
      <c r="AP19" s="80" t="n">
        <f aca="false" t="array" ref="AP19:AP19">IF(COLUMN() - ($E19 + 5) &lt; 0, 0,
  IF(COLUMN() - ($E19 + 5) = 0, $F19,
    AO19 * (1 - IFERROR(INDEX('Inputs &amp; Assuptions'!$B$13:$B$72, COLUMN() - ($E19 + 5)), 0))
  )
)</f>
        <v>1943.55436351933</v>
      </c>
      <c r="AQ19" s="80" t="n">
        <f aca="false" t="array" ref="AQ19:AQ19">IF(COLUMN() - ($E19 + 5) &lt; 0, 0,
  IF(COLUMN() - ($E19 + 5) = 0, $F19,
    AP19 * (1 - IFERROR(INDEX('Inputs &amp; Assuptions'!$B$13:$B$72, COLUMN() - ($E19 + 5)), 0))
  )
)</f>
        <v>1924.11881988414</v>
      </c>
      <c r="AR19" s="80" t="n">
        <f aca="false" t="array" ref="AR19:AR19">IF(COLUMN() - ($E19 + 5) &lt; 0, 0,
  IF(COLUMN() - ($E19 + 5) = 0, $F19,
    AQ19 * (1 - IFERROR(INDEX('Inputs &amp; Assuptions'!$B$13:$B$72, COLUMN() - ($E19 + 5)), 0))
  )
)</f>
        <v>1904.8776316853</v>
      </c>
      <c r="AS19" s="80" t="n">
        <f aca="false" t="array" ref="AS19:AS19">IF(COLUMN() - ($E19 + 5) &lt; 0, 0,
  IF(COLUMN() - ($E19 + 5) = 0, $F19,
    AR19 * (1 - IFERROR(INDEX('Inputs &amp; Assuptions'!$B$13:$B$72, COLUMN() - ($E19 + 5)), 0))
  )
)</f>
        <v>1885.82885536844</v>
      </c>
      <c r="AT19" s="80" t="n">
        <f aca="false" t="array" ref="AT19:AT19">IF(COLUMN() - ($E19 + 5) &lt; 0, 0,
  IF(COLUMN() - ($E19 + 5) = 0, $F19,
    AS19 * (1 - IFERROR(INDEX('Inputs &amp; Assuptions'!$B$13:$B$72, COLUMN() - ($E19 + 5)), 0))
  )
)</f>
        <v>1866.97056681476</v>
      </c>
      <c r="AU19" s="80" t="n">
        <f aca="false" t="array" ref="AU19:AU19">IF(COLUMN() - ($E19 + 5) &lt; 0, 0,
  IF(COLUMN() - ($E19 + 5) = 0, $F19,
    AT19 * (1 - IFERROR(INDEX('Inputs &amp; Assuptions'!$B$13:$B$72, COLUMN() - ($E19 + 5)), 0))
  )
)</f>
        <v>1848.30086114661</v>
      </c>
      <c r="AV19" s="80" t="n">
        <f aca="false" t="array" ref="AV19:AV19">IF(COLUMN() - ($E19 + 5) &lt; 0, 0,
  IF(COLUMN() - ($E19 + 5) = 0, $F19,
    AU19 * (1 - IFERROR(INDEX('Inputs &amp; Assuptions'!$B$13:$B$72, COLUMN() - ($E19 + 5)), 0))
  )
)</f>
        <v>1829.81785253515</v>
      </c>
      <c r="AW19" s="80" t="n">
        <f aca="false" t="array" ref="AW19:AW19">IF(COLUMN() - ($E19 + 5) &lt; 0, 0,
  IF(COLUMN() - ($E19 + 5) = 0, $F19,
    AV19 * (1 - IFERROR(INDEX('Inputs &amp; Assuptions'!$B$13:$B$72, COLUMN() - ($E19 + 5)), 0))
  )
)</f>
        <v>1811.51967400979</v>
      </c>
      <c r="AX19" s="80" t="n">
        <f aca="false" t="array" ref="AX19:AX19">IF(COLUMN() - ($E19 + 5) &lt; 0, 0,
  IF(COLUMN() - ($E19 + 5) = 0, $F19,
    AW19 * (1 - IFERROR(INDEX('Inputs &amp; Assuptions'!$B$13:$B$72, COLUMN() - ($E19 + 5)), 0))
  )
)</f>
        <v>1793.4044772697</v>
      </c>
      <c r="AY19" s="80" t="n">
        <f aca="false" t="array" ref="AY19:AY19">IF(COLUMN() - ($E19 + 5) &lt; 0, 0,
  IF(COLUMN() - ($E19 + 5) = 0, $F19,
    AX19 * (1 - IFERROR(INDEX('Inputs &amp; Assuptions'!$B$13:$B$72, COLUMN() - ($E19 + 5)), 0))
  )
)</f>
        <v>1775.470432497</v>
      </c>
      <c r="AZ19" s="80" t="n">
        <f aca="false" t="array" ref="AZ19:AZ19">IF(COLUMN() - ($E19 + 5) &lt; 0, 0,
  IF(COLUMN() - ($E19 + 5) = 0, $F19,
    AY19 * (1 - IFERROR(INDEX('Inputs &amp; Assuptions'!$B$13:$B$72, COLUMN() - ($E19 + 5)), 0))
  )
)</f>
        <v>1757.71572817203</v>
      </c>
      <c r="BA19" s="80" t="n">
        <f aca="false" t="array" ref="BA19:BA19">IF(COLUMN() - ($E19 + 5) &lt; 0, 0,
  IF(COLUMN() - ($E19 + 5) = 0, $F19,
    AZ19 * (1 - IFERROR(INDEX('Inputs &amp; Assuptions'!$B$13:$B$72, COLUMN() - ($E19 + 5)), 0))
  )
)</f>
        <v>1740.13857089031</v>
      </c>
      <c r="BB19" s="80" t="n">
        <f aca="false" t="array" ref="BB19:BB19">IF(COLUMN() - ($E19 + 5) &lt; 0, 0,
  IF(COLUMN() - ($E19 + 5) = 0, $F19,
    BA19 * (1 - IFERROR(INDEX('Inputs &amp; Assuptions'!$B$13:$B$72, COLUMN() - ($E19 + 5)), 0))
  )
)</f>
        <v>1722.73718518141</v>
      </c>
      <c r="BC19" s="80" t="n">
        <f aca="false" t="array" ref="BC19:BC19">IF(COLUMN() - ($E19 + 5) &lt; 0, 0,
  IF(COLUMN() - ($E19 + 5) = 0, $F19,
    BB19 * (1 - IFERROR(INDEX('Inputs &amp; Assuptions'!$B$13:$B$72, COLUMN() - ($E19 + 5)), 0))
  )
)</f>
        <v>1705.50981332959</v>
      </c>
      <c r="BD19" s="80" t="n">
        <f aca="false" t="array" ref="BD19:BD19">IF(COLUMN() - ($E19 + 5) &lt; 0, 0,
  IF(COLUMN() - ($E19 + 5) = 0, $F19,
    BC19 * (1 - IFERROR(INDEX('Inputs &amp; Assuptions'!$B$13:$B$72, COLUMN() - ($E19 + 5)), 0))
  )
)</f>
        <v>1688.4547151963</v>
      </c>
      <c r="BE19" s="80" t="n">
        <f aca="false" t="array" ref="BE19:BE19">IF(COLUMN() - ($E19 + 5) &lt; 0, 0,
  IF(COLUMN() - ($E19 + 5) = 0, $F19,
    BD19 * (1 - IFERROR(INDEX('Inputs &amp; Assuptions'!$B$13:$B$72, COLUMN() - ($E19 + 5)), 0))
  )
)</f>
        <v>1671.57016804433</v>
      </c>
      <c r="BF19" s="80" t="n">
        <f aca="false" t="array" ref="BF19:BF19">IF(COLUMN() - ($E19 + 5) &lt; 0, 0,
  IF(COLUMN() - ($E19 + 5) = 0, $F19,
    BE19 * (1 - IFERROR(INDEX('Inputs &amp; Assuptions'!$B$13:$B$72, COLUMN() - ($E19 + 5)), 0))
  )
)</f>
        <v>1654.85446636389</v>
      </c>
      <c r="BG19" s="80" t="n">
        <f aca="false" t="array" ref="BG19:BG19">IF(COLUMN() - ($E19 + 5) &lt; 0, 0,
  IF(COLUMN() - ($E19 + 5) = 0, $F19,
    BF19 * (1 - IFERROR(INDEX('Inputs &amp; Assuptions'!$B$13:$B$72, COLUMN() - ($E19 + 5)), 0))
  )
)</f>
        <v>1638.30592170025</v>
      </c>
      <c r="BH19" s="80" t="n">
        <f aca="false" t="array" ref="BH19:BH19">IF(COLUMN() - ($E19 + 5) &lt; 0, 0,
  IF(COLUMN() - ($E19 + 5) = 0, $F19,
    BG19 * (1 - IFERROR(INDEX('Inputs &amp; Assuptions'!$B$13:$B$72, COLUMN() - ($E19 + 5)), 0))
  )
)</f>
        <v>1621.92286248325</v>
      </c>
      <c r="BI19" s="80" t="n">
        <f aca="false" t="array" ref="BI19:BI19">IF(COLUMN() - ($E19 + 5) &lt; 0, 0,
  IF(COLUMN() - ($E19 + 5) = 0, $F19,
    BH19 * (1 - IFERROR(INDEX('Inputs &amp; Assuptions'!$B$13:$B$72, COLUMN() - ($E19 + 5)), 0))
  )
)</f>
        <v>1605.70363385842</v>
      </c>
      <c r="BJ19" s="80" t="n">
        <f aca="false" t="array" ref="BJ19:BJ19">IF(COLUMN() - ($E19 + 5) &lt; 0, 0,
  IF(COLUMN() - ($E19 + 5) = 0, $F19,
    BI19 * (1 - IFERROR(INDEX('Inputs &amp; Assuptions'!$B$13:$B$72, COLUMN() - ($E19 + 5)), 0))
  )
)</f>
        <v>1589.64659751983</v>
      </c>
      <c r="BK19" s="80" t="n">
        <f aca="false" t="array" ref="BK19:BK19">IF(COLUMN() - ($E19 + 5) &lt; 0, 0,
  IF(COLUMN() - ($E19 + 5) = 0, $F19,
    BJ19 * (1 - IFERROR(INDEX('Inputs &amp; Assuptions'!$B$13:$B$72, COLUMN() - ($E19 + 5)), 0))
  )
)</f>
        <v>1573.75013154463</v>
      </c>
      <c r="BL19" s="80" t="n">
        <f aca="false" t="array" ref="BL19:BL19">IF(COLUMN() - ($E19 + 5) &lt; 0, 0,
  IF(COLUMN() - ($E19 + 5) = 0, $F19,
    BK19 * (1 - IFERROR(INDEX('Inputs &amp; Assuptions'!$B$13:$B$72, COLUMN() - ($E19 + 5)), 0))
  )
)</f>
        <v>1558.01263022919</v>
      </c>
      <c r="BM19" s="81" t="n">
        <f aca="false" t="array" ref="BM19:BM19">IF(COLUMN() - ($E19 + 5) &lt; 0, 0,
  IF(COLUMN() - ($E19 + 5) = 0, $F19,
    BL19 * (1 - IFERROR(INDEX('Inputs &amp; Assuptions'!$B$13:$B$72, COLUMN() - ($E19 + 5)), 0))
  )
)</f>
        <v>1542.4325039269</v>
      </c>
      <c r="BN19" s="76"/>
    </row>
    <row r="20" customFormat="false" ht="14.25" hidden="false" customHeight="false" outlineLevel="0" collapsed="false">
      <c r="A20" s="29" t="n">
        <f aca="false">A19+1</f>
        <v>15</v>
      </c>
      <c r="B20" s="77" t="n">
        <f aca="false">IF(MOD($A20-1, 12) = 0, $B19 * 1.05, $B19)</f>
        <v>6300</v>
      </c>
      <c r="C20" s="78" t="n">
        <f aca="false">$B20*(1-'Inputs &amp; Assuptions'!$B$12)</f>
        <v>3654</v>
      </c>
      <c r="E20" s="29" t="n">
        <f aca="false">E19+1</f>
        <v>15</v>
      </c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 t="n">
        <f aca="false">+$C20</f>
        <v>3654</v>
      </c>
      <c r="U20" s="80" t="n">
        <f aca="false" t="array" ref="U20:U20">IF(COLUMN() - ($E20 + 5) &lt; 0, 0,
  IF(COLUMN() - ($E20 + 5) = 0, $F20,
    T20 * (1 - IFERROR(INDEX('Inputs &amp; Assuptions'!$B$13:$B$72, COLUMN() - ($E20 + 5)), 0))
  )
)</f>
        <v>3270.33</v>
      </c>
      <c r="V20" s="80" t="n">
        <f aca="false" t="array" ref="V20:V20">IF(COLUMN() - ($E20 + 5) &lt; 0, 0,
  IF(COLUMN() - ($E20 + 5) = 0, $F20,
    U20 * (1 - IFERROR(INDEX('Inputs &amp; Assuptions'!$B$13:$B$72, COLUMN() - ($E20 + 5)), 0))
  )
)</f>
        <v>3008.7036</v>
      </c>
      <c r="W20" s="80" t="n">
        <f aca="false" t="array" ref="W20:W20">IF(COLUMN() - ($E20 + 5) &lt; 0, 0,
  IF(COLUMN() - ($E20 + 5) = 0, $F20,
    V20 * (1 - IFERROR(INDEX('Inputs &amp; Assuptions'!$B$13:$B$72, COLUMN() - ($E20 + 5)), 0))
  )
)</f>
        <v>2843.224902</v>
      </c>
      <c r="X20" s="80" t="n">
        <f aca="false" t="array" ref="X20:X20">IF(COLUMN() - ($E20 + 5) &lt; 0, 0,
  IF(COLUMN() - ($E20 + 5) = 0, $F20,
    W20 * (1 - IFERROR(INDEX('Inputs &amp; Assuptions'!$B$13:$B$72, COLUMN() - ($E20 + 5)), 0))
  )
)</f>
        <v>2701.0636569</v>
      </c>
      <c r="Y20" s="80" t="n">
        <f aca="false" t="array" ref="Y20:Y20">IF(COLUMN() - ($E20 + 5) &lt; 0, 0,
  IF(COLUMN() - ($E20 + 5) = 0, $F20,
    X20 * (1 - IFERROR(INDEX('Inputs &amp; Assuptions'!$B$13:$B$72, COLUMN() - ($E20 + 5)), 0))
  )
)</f>
        <v>2579.5157923395</v>
      </c>
      <c r="Z20" s="80" t="n">
        <f aca="false" t="array" ref="Z20:Z20">IF(COLUMN() - ($E20 + 5) &lt; 0, 0,
  IF(COLUMN() - ($E20 + 5) = 0, $F20,
    Y20 * (1 - IFERROR(INDEX('Inputs &amp; Assuptions'!$B$13:$B$72, COLUMN() - ($E20 + 5)), 0))
  )
)</f>
        <v>2476.33516064592</v>
      </c>
      <c r="AA20" s="80" t="n">
        <f aca="false" t="array" ref="AA20:AA20">IF(COLUMN() - ($E20 + 5) &lt; 0, 0,
  IF(COLUMN() - ($E20 + 5) = 0, $F20,
    Z20 * (1 - IFERROR(INDEX('Inputs &amp; Assuptions'!$B$13:$B$72, COLUMN() - ($E20 + 5)), 0))
  )
)</f>
        <v>2389.66343002331</v>
      </c>
      <c r="AB20" s="80" t="n">
        <f aca="false" t="array" ref="AB20:AB20">IF(COLUMN() - ($E20 + 5) &lt; 0, 0,
  IF(COLUMN() - ($E20 + 5) = 0, $F20,
    AA20 * (1 - IFERROR(INDEX('Inputs &amp; Assuptions'!$B$13:$B$72, COLUMN() - ($E20 + 5)), 0))
  )
)</f>
        <v>2317.97352712261</v>
      </c>
      <c r="AC20" s="80" t="n">
        <f aca="false" t="array" ref="AC20:AC20">IF(COLUMN() - ($E20 + 5) &lt; 0, 0,
  IF(COLUMN() - ($E20 + 5) = 0, $F20,
    AB20 * (1 - IFERROR(INDEX('Inputs &amp; Assuptions'!$B$13:$B$72, COLUMN() - ($E20 + 5)), 0))
  )
)</f>
        <v>2260.02418894455</v>
      </c>
      <c r="AD20" s="80" t="n">
        <f aca="false" t="array" ref="AD20:AD20">IF(COLUMN() - ($E20 + 5) &lt; 0, 0,
  IF(COLUMN() - ($E20 + 5) = 0, $F20,
    AC20 * (1 - IFERROR(INDEX('Inputs &amp; Assuptions'!$B$13:$B$72, COLUMN() - ($E20 + 5)), 0))
  )
)</f>
        <v>2214.82370516566</v>
      </c>
      <c r="AE20" s="80" t="n">
        <f aca="false" t="array" ref="AE20:AE20">IF(COLUMN() - ($E20 + 5) &lt; 0, 0,
  IF(COLUMN() - ($E20 + 5) = 0, $F20,
    AD20 * (1 - IFERROR(INDEX('Inputs &amp; Assuptions'!$B$13:$B$72, COLUMN() - ($E20 + 5)), 0))
  )
)</f>
        <v>2192.675468114</v>
      </c>
      <c r="AF20" s="80" t="n">
        <f aca="false" t="array" ref="AF20:AF20">IF(COLUMN() - ($E20 + 5) &lt; 0, 0,
  IF(COLUMN() - ($E20 + 5) = 0, $F20,
    AE20 * (1 - IFERROR(INDEX('Inputs &amp; Assuptions'!$B$13:$B$72, COLUMN() - ($E20 + 5)), 0))
  )
)</f>
        <v>2170.74871343286</v>
      </c>
      <c r="AG20" s="80" t="n">
        <f aca="false" t="array" ref="AG20:AG20">IF(COLUMN() - ($E20 + 5) &lt; 0, 0,
  IF(COLUMN() - ($E20 + 5) = 0, $F20,
    AF20 * (1 - IFERROR(INDEX('Inputs &amp; Assuptions'!$B$13:$B$72, COLUMN() - ($E20 + 5)), 0))
  )
)</f>
        <v>2149.04122629853</v>
      </c>
      <c r="AH20" s="80" t="n">
        <f aca="false" t="array" ref="AH20:AH20">IF(COLUMN() - ($E20 + 5) &lt; 0, 0,
  IF(COLUMN() - ($E20 + 5) = 0, $F20,
    AG20 * (1 - IFERROR(INDEX('Inputs &amp; Assuptions'!$B$13:$B$72, COLUMN() - ($E20 + 5)), 0))
  )
)</f>
        <v>2127.55081403555</v>
      </c>
      <c r="AI20" s="80" t="n">
        <f aca="false" t="array" ref="AI20:AI20">IF(COLUMN() - ($E20 + 5) &lt; 0, 0,
  IF(COLUMN() - ($E20 + 5) = 0, $F20,
    AH20 * (1 - IFERROR(INDEX('Inputs &amp; Assuptions'!$B$13:$B$72, COLUMN() - ($E20 + 5)), 0))
  )
)</f>
        <v>2106.27530589519</v>
      </c>
      <c r="AJ20" s="80" t="n">
        <f aca="false" t="array" ref="AJ20:AJ20">IF(COLUMN() - ($E20 + 5) &lt; 0, 0,
  IF(COLUMN() - ($E20 + 5) = 0, $F20,
    AI20 * (1 - IFERROR(INDEX('Inputs &amp; Assuptions'!$B$13:$B$72, COLUMN() - ($E20 + 5)), 0))
  )
)</f>
        <v>2085.21255283624</v>
      </c>
      <c r="AK20" s="80" t="n">
        <f aca="false" t="array" ref="AK20:AK20">IF(COLUMN() - ($E20 + 5) &lt; 0, 0,
  IF(COLUMN() - ($E20 + 5) = 0, $F20,
    AJ20 * (1 - IFERROR(INDEX('Inputs &amp; Assuptions'!$B$13:$B$72, COLUMN() - ($E20 + 5)), 0))
  )
)</f>
        <v>2064.36042730788</v>
      </c>
      <c r="AL20" s="80" t="n">
        <f aca="false" t="array" ref="AL20:AL20">IF(COLUMN() - ($E20 + 5) &lt; 0, 0,
  IF(COLUMN() - ($E20 + 5) = 0, $F20,
    AK20 * (1 - IFERROR(INDEX('Inputs &amp; Assuptions'!$B$13:$B$72, COLUMN() - ($E20 + 5)), 0))
  )
)</f>
        <v>2043.7168230348</v>
      </c>
      <c r="AM20" s="80" t="n">
        <f aca="false" t="array" ref="AM20:AM20">IF(COLUMN() - ($E20 + 5) &lt; 0, 0,
  IF(COLUMN() - ($E20 + 5) = 0, $F20,
    AL20 * (1 - IFERROR(INDEX('Inputs &amp; Assuptions'!$B$13:$B$72, COLUMN() - ($E20 + 5)), 0))
  )
)</f>
        <v>2023.27965480445</v>
      </c>
      <c r="AN20" s="80" t="n">
        <f aca="false" t="array" ref="AN20:AN20">IF(COLUMN() - ($E20 + 5) &lt; 0, 0,
  IF(COLUMN() - ($E20 + 5) = 0, $F20,
    AM20 * (1 - IFERROR(INDEX('Inputs &amp; Assuptions'!$B$13:$B$72, COLUMN() - ($E20 + 5)), 0))
  )
)</f>
        <v>2003.04685825641</v>
      </c>
      <c r="AO20" s="80" t="n">
        <f aca="false" t="array" ref="AO20:AO20">IF(COLUMN() - ($E20 + 5) &lt; 0, 0,
  IF(COLUMN() - ($E20 + 5) = 0, $F20,
    AN20 * (1 - IFERROR(INDEX('Inputs &amp; Assuptions'!$B$13:$B$72, COLUMN() - ($E20 + 5)), 0))
  )
)</f>
        <v>1983.01638967384</v>
      </c>
      <c r="AP20" s="80" t="n">
        <f aca="false" t="array" ref="AP20:AP20">IF(COLUMN() - ($E20 + 5) &lt; 0, 0,
  IF(COLUMN() - ($E20 + 5) = 0, $F20,
    AO20 * (1 - IFERROR(INDEX('Inputs &amp; Assuptions'!$B$13:$B$72, COLUMN() - ($E20 + 5)), 0))
  )
)</f>
        <v>1963.1862257771</v>
      </c>
      <c r="AQ20" s="80" t="n">
        <f aca="false" t="array" ref="AQ20:AQ20">IF(COLUMN() - ($E20 + 5) &lt; 0, 0,
  IF(COLUMN() - ($E20 + 5) = 0, $F20,
    AP20 * (1 - IFERROR(INDEX('Inputs &amp; Assuptions'!$B$13:$B$72, COLUMN() - ($E20 + 5)), 0))
  )
)</f>
        <v>1943.55436351933</v>
      </c>
      <c r="AR20" s="80" t="n">
        <f aca="false" t="array" ref="AR20:AR20">IF(COLUMN() - ($E20 + 5) &lt; 0, 0,
  IF(COLUMN() - ($E20 + 5) = 0, $F20,
    AQ20 * (1 - IFERROR(INDEX('Inputs &amp; Assuptions'!$B$13:$B$72, COLUMN() - ($E20 + 5)), 0))
  )
)</f>
        <v>1924.11881988414</v>
      </c>
      <c r="AS20" s="80" t="n">
        <f aca="false" t="array" ref="AS20:AS20">IF(COLUMN() - ($E20 + 5) &lt; 0, 0,
  IF(COLUMN() - ($E20 + 5) = 0, $F20,
    AR20 * (1 - IFERROR(INDEX('Inputs &amp; Assuptions'!$B$13:$B$72, COLUMN() - ($E20 + 5)), 0))
  )
)</f>
        <v>1904.8776316853</v>
      </c>
      <c r="AT20" s="80" t="n">
        <f aca="false" t="array" ref="AT20:AT20">IF(COLUMN() - ($E20 + 5) &lt; 0, 0,
  IF(COLUMN() - ($E20 + 5) = 0, $F20,
    AS20 * (1 - IFERROR(INDEX('Inputs &amp; Assuptions'!$B$13:$B$72, COLUMN() - ($E20 + 5)), 0))
  )
)</f>
        <v>1885.82885536844</v>
      </c>
      <c r="AU20" s="80" t="n">
        <f aca="false" t="array" ref="AU20:AU20">IF(COLUMN() - ($E20 + 5) &lt; 0, 0,
  IF(COLUMN() - ($E20 + 5) = 0, $F20,
    AT20 * (1 - IFERROR(INDEX('Inputs &amp; Assuptions'!$B$13:$B$72, COLUMN() - ($E20 + 5)), 0))
  )
)</f>
        <v>1866.97056681476</v>
      </c>
      <c r="AV20" s="80" t="n">
        <f aca="false" t="array" ref="AV20:AV20">IF(COLUMN() - ($E20 + 5) &lt; 0, 0,
  IF(COLUMN() - ($E20 + 5) = 0, $F20,
    AU20 * (1 - IFERROR(INDEX('Inputs &amp; Assuptions'!$B$13:$B$72, COLUMN() - ($E20 + 5)), 0))
  )
)</f>
        <v>1848.30086114661</v>
      </c>
      <c r="AW20" s="80" t="n">
        <f aca="false" t="array" ref="AW20:AW20">IF(COLUMN() - ($E20 + 5) &lt; 0, 0,
  IF(COLUMN() - ($E20 + 5) = 0, $F20,
    AV20 * (1 - IFERROR(INDEX('Inputs &amp; Assuptions'!$B$13:$B$72, COLUMN() - ($E20 + 5)), 0))
  )
)</f>
        <v>1829.81785253515</v>
      </c>
      <c r="AX20" s="80" t="n">
        <f aca="false" t="array" ref="AX20:AX20">IF(COLUMN() - ($E20 + 5) &lt; 0, 0,
  IF(COLUMN() - ($E20 + 5) = 0, $F20,
    AW20 * (1 - IFERROR(INDEX('Inputs &amp; Assuptions'!$B$13:$B$72, COLUMN() - ($E20 + 5)), 0))
  )
)</f>
        <v>1811.51967400979</v>
      </c>
      <c r="AY20" s="80" t="n">
        <f aca="false" t="array" ref="AY20:AY20">IF(COLUMN() - ($E20 + 5) &lt; 0, 0,
  IF(COLUMN() - ($E20 + 5) = 0, $F20,
    AX20 * (1 - IFERROR(INDEX('Inputs &amp; Assuptions'!$B$13:$B$72, COLUMN() - ($E20 + 5)), 0))
  )
)</f>
        <v>1793.4044772697</v>
      </c>
      <c r="AZ20" s="80" t="n">
        <f aca="false" t="array" ref="AZ20:AZ20">IF(COLUMN() - ($E20 + 5) &lt; 0, 0,
  IF(COLUMN() - ($E20 + 5) = 0, $F20,
    AY20 * (1 - IFERROR(INDEX('Inputs &amp; Assuptions'!$B$13:$B$72, COLUMN() - ($E20 + 5)), 0))
  )
)</f>
        <v>1775.470432497</v>
      </c>
      <c r="BA20" s="80" t="n">
        <f aca="false" t="array" ref="BA20:BA20">IF(COLUMN() - ($E20 + 5) &lt; 0, 0,
  IF(COLUMN() - ($E20 + 5) = 0, $F20,
    AZ20 * (1 - IFERROR(INDEX('Inputs &amp; Assuptions'!$B$13:$B$72, COLUMN() - ($E20 + 5)), 0))
  )
)</f>
        <v>1757.71572817203</v>
      </c>
      <c r="BB20" s="80" t="n">
        <f aca="false" t="array" ref="BB20:BB20">IF(COLUMN() - ($E20 + 5) &lt; 0, 0,
  IF(COLUMN() - ($E20 + 5) = 0, $F20,
    BA20 * (1 - IFERROR(INDEX('Inputs &amp; Assuptions'!$B$13:$B$72, COLUMN() - ($E20 + 5)), 0))
  )
)</f>
        <v>1740.13857089031</v>
      </c>
      <c r="BC20" s="80" t="n">
        <f aca="false" t="array" ref="BC20:BC20">IF(COLUMN() - ($E20 + 5) &lt; 0, 0,
  IF(COLUMN() - ($E20 + 5) = 0, $F20,
    BB20 * (1 - IFERROR(INDEX('Inputs &amp; Assuptions'!$B$13:$B$72, COLUMN() - ($E20 + 5)), 0))
  )
)</f>
        <v>1722.73718518141</v>
      </c>
      <c r="BD20" s="80" t="n">
        <f aca="false" t="array" ref="BD20:BD20">IF(COLUMN() - ($E20 + 5) &lt; 0, 0,
  IF(COLUMN() - ($E20 + 5) = 0, $F20,
    BC20 * (1 - IFERROR(INDEX('Inputs &amp; Assuptions'!$B$13:$B$72, COLUMN() - ($E20 + 5)), 0))
  )
)</f>
        <v>1705.50981332959</v>
      </c>
      <c r="BE20" s="80" t="n">
        <f aca="false" t="array" ref="BE20:BE20">IF(COLUMN() - ($E20 + 5) &lt; 0, 0,
  IF(COLUMN() - ($E20 + 5) = 0, $F20,
    BD20 * (1 - IFERROR(INDEX('Inputs &amp; Assuptions'!$B$13:$B$72, COLUMN() - ($E20 + 5)), 0))
  )
)</f>
        <v>1688.4547151963</v>
      </c>
      <c r="BF20" s="80" t="n">
        <f aca="false" t="array" ref="BF20:BF20">IF(COLUMN() - ($E20 + 5) &lt; 0, 0,
  IF(COLUMN() - ($E20 + 5) = 0, $F20,
    BE20 * (1 - IFERROR(INDEX('Inputs &amp; Assuptions'!$B$13:$B$72, COLUMN() - ($E20 + 5)), 0))
  )
)</f>
        <v>1671.57016804433</v>
      </c>
      <c r="BG20" s="80" t="n">
        <f aca="false" t="array" ref="BG20:BG20">IF(COLUMN() - ($E20 + 5) &lt; 0, 0,
  IF(COLUMN() - ($E20 + 5) = 0, $F20,
    BF20 * (1 - IFERROR(INDEX('Inputs &amp; Assuptions'!$B$13:$B$72, COLUMN() - ($E20 + 5)), 0))
  )
)</f>
        <v>1654.85446636389</v>
      </c>
      <c r="BH20" s="80" t="n">
        <f aca="false" t="array" ref="BH20:BH20">IF(COLUMN() - ($E20 + 5) &lt; 0, 0,
  IF(COLUMN() - ($E20 + 5) = 0, $F20,
    BG20 * (1 - IFERROR(INDEX('Inputs &amp; Assuptions'!$B$13:$B$72, COLUMN() - ($E20 + 5)), 0))
  )
)</f>
        <v>1638.30592170025</v>
      </c>
      <c r="BI20" s="80" t="n">
        <f aca="false" t="array" ref="BI20:BI20">IF(COLUMN() - ($E20 + 5) &lt; 0, 0,
  IF(COLUMN() - ($E20 + 5) = 0, $F20,
    BH20 * (1 - IFERROR(INDEX('Inputs &amp; Assuptions'!$B$13:$B$72, COLUMN() - ($E20 + 5)), 0))
  )
)</f>
        <v>1621.92286248325</v>
      </c>
      <c r="BJ20" s="80" t="n">
        <f aca="false" t="array" ref="BJ20:BJ20">IF(COLUMN() - ($E20 + 5) &lt; 0, 0,
  IF(COLUMN() - ($E20 + 5) = 0, $F20,
    BI20 * (1 - IFERROR(INDEX('Inputs &amp; Assuptions'!$B$13:$B$72, COLUMN() - ($E20 + 5)), 0))
  )
)</f>
        <v>1605.70363385842</v>
      </c>
      <c r="BK20" s="80" t="n">
        <f aca="false" t="array" ref="BK20:BK20">IF(COLUMN() - ($E20 + 5) &lt; 0, 0,
  IF(COLUMN() - ($E20 + 5) = 0, $F20,
    BJ20 * (1 - IFERROR(INDEX('Inputs &amp; Assuptions'!$B$13:$B$72, COLUMN() - ($E20 + 5)), 0))
  )
)</f>
        <v>1589.64659751983</v>
      </c>
      <c r="BL20" s="80" t="n">
        <f aca="false" t="array" ref="BL20:BL20">IF(COLUMN() - ($E20 + 5) &lt; 0, 0,
  IF(COLUMN() - ($E20 + 5) = 0, $F20,
    BK20 * (1 - IFERROR(INDEX('Inputs &amp; Assuptions'!$B$13:$B$72, COLUMN() - ($E20 + 5)), 0))
  )
)</f>
        <v>1573.75013154463</v>
      </c>
      <c r="BM20" s="81" t="n">
        <f aca="false" t="array" ref="BM20:BM20">IF(COLUMN() - ($E20 + 5) &lt; 0, 0,
  IF(COLUMN() - ($E20 + 5) = 0, $F20,
    BL20 * (1 - IFERROR(INDEX('Inputs &amp; Assuptions'!$B$13:$B$72, COLUMN() - ($E20 + 5)), 0))
  )
)</f>
        <v>1558.01263022919</v>
      </c>
      <c r="BN20" s="76"/>
    </row>
    <row r="21" customFormat="false" ht="14.25" hidden="false" customHeight="false" outlineLevel="0" collapsed="false">
      <c r="A21" s="29" t="n">
        <f aca="false">A20+1</f>
        <v>16</v>
      </c>
      <c r="B21" s="77" t="n">
        <f aca="false">IF(MOD($A21-1, 12) = 0, $B20 * 1.05, $B20)</f>
        <v>6300</v>
      </c>
      <c r="C21" s="78" t="n">
        <f aca="false">$B21*(1-'Inputs &amp; Assuptions'!$B$12)</f>
        <v>3654</v>
      </c>
      <c r="E21" s="29" t="n">
        <f aca="false">E20+1</f>
        <v>16</v>
      </c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 t="n">
        <f aca="false">+$C21</f>
        <v>3654</v>
      </c>
      <c r="V21" s="80" t="n">
        <f aca="false" t="array" ref="V21:V21">IF(COLUMN() - ($E21 + 5) &lt; 0, 0,
  IF(COLUMN() - ($E21 + 5) = 0, $F21,
    U21 * (1 - IFERROR(INDEX('Inputs &amp; Assuptions'!$B$13:$B$72, COLUMN() - ($E21 + 5)), 0))
  )
)</f>
        <v>3270.33</v>
      </c>
      <c r="W21" s="80" t="n">
        <f aca="false" t="array" ref="W21:W21">IF(COLUMN() - ($E21 + 5) &lt; 0, 0,
  IF(COLUMN() - ($E21 + 5) = 0, $F21,
    V21 * (1 - IFERROR(INDEX('Inputs &amp; Assuptions'!$B$13:$B$72, COLUMN() - ($E21 + 5)), 0))
  )
)</f>
        <v>3008.7036</v>
      </c>
      <c r="X21" s="80" t="n">
        <f aca="false" t="array" ref="X21:X21">IF(COLUMN() - ($E21 + 5) &lt; 0, 0,
  IF(COLUMN() - ($E21 + 5) = 0, $F21,
    W21 * (1 - IFERROR(INDEX('Inputs &amp; Assuptions'!$B$13:$B$72, COLUMN() - ($E21 + 5)), 0))
  )
)</f>
        <v>2843.224902</v>
      </c>
      <c r="Y21" s="80" t="n">
        <f aca="false" t="array" ref="Y21:Y21">IF(COLUMN() - ($E21 + 5) &lt; 0, 0,
  IF(COLUMN() - ($E21 + 5) = 0, $F21,
    X21 * (1 - IFERROR(INDEX('Inputs &amp; Assuptions'!$B$13:$B$72, COLUMN() - ($E21 + 5)), 0))
  )
)</f>
        <v>2701.0636569</v>
      </c>
      <c r="Z21" s="80" t="n">
        <f aca="false" t="array" ref="Z21:Z21">IF(COLUMN() - ($E21 + 5) &lt; 0, 0,
  IF(COLUMN() - ($E21 + 5) = 0, $F21,
    Y21 * (1 - IFERROR(INDEX('Inputs &amp; Assuptions'!$B$13:$B$72, COLUMN() - ($E21 + 5)), 0))
  )
)</f>
        <v>2579.5157923395</v>
      </c>
      <c r="AA21" s="80" t="n">
        <f aca="false" t="array" ref="AA21:AA21">IF(COLUMN() - ($E21 + 5) &lt; 0, 0,
  IF(COLUMN() - ($E21 + 5) = 0, $F21,
    Z21 * (1 - IFERROR(INDEX('Inputs &amp; Assuptions'!$B$13:$B$72, COLUMN() - ($E21 + 5)), 0))
  )
)</f>
        <v>2476.33516064592</v>
      </c>
      <c r="AB21" s="80" t="n">
        <f aca="false" t="array" ref="AB21:AB21">IF(COLUMN() - ($E21 + 5) &lt; 0, 0,
  IF(COLUMN() - ($E21 + 5) = 0, $F21,
    AA21 * (1 - IFERROR(INDEX('Inputs &amp; Assuptions'!$B$13:$B$72, COLUMN() - ($E21 + 5)), 0))
  )
)</f>
        <v>2389.66343002331</v>
      </c>
      <c r="AC21" s="80" t="n">
        <f aca="false" t="array" ref="AC21:AC21">IF(COLUMN() - ($E21 + 5) &lt; 0, 0,
  IF(COLUMN() - ($E21 + 5) = 0, $F21,
    AB21 * (1 - IFERROR(INDEX('Inputs &amp; Assuptions'!$B$13:$B$72, COLUMN() - ($E21 + 5)), 0))
  )
)</f>
        <v>2317.97352712261</v>
      </c>
      <c r="AD21" s="80" t="n">
        <f aca="false" t="array" ref="AD21:AD21">IF(COLUMN() - ($E21 + 5) &lt; 0, 0,
  IF(COLUMN() - ($E21 + 5) = 0, $F21,
    AC21 * (1 - IFERROR(INDEX('Inputs &amp; Assuptions'!$B$13:$B$72, COLUMN() - ($E21 + 5)), 0))
  )
)</f>
        <v>2260.02418894455</v>
      </c>
      <c r="AE21" s="80" t="n">
        <f aca="false" t="array" ref="AE21:AE21">IF(COLUMN() - ($E21 + 5) &lt; 0, 0,
  IF(COLUMN() - ($E21 + 5) = 0, $F21,
    AD21 * (1 - IFERROR(INDEX('Inputs &amp; Assuptions'!$B$13:$B$72, COLUMN() - ($E21 + 5)), 0))
  )
)</f>
        <v>2214.82370516566</v>
      </c>
      <c r="AF21" s="80" t="n">
        <f aca="false" t="array" ref="AF21:AF21">IF(COLUMN() - ($E21 + 5) &lt; 0, 0,
  IF(COLUMN() - ($E21 + 5) = 0, $F21,
    AE21 * (1 - IFERROR(INDEX('Inputs &amp; Assuptions'!$B$13:$B$72, COLUMN() - ($E21 + 5)), 0))
  )
)</f>
        <v>2192.675468114</v>
      </c>
      <c r="AG21" s="80" t="n">
        <f aca="false" t="array" ref="AG21:AG21">IF(COLUMN() - ($E21 + 5) &lt; 0, 0,
  IF(COLUMN() - ($E21 + 5) = 0, $F21,
    AF21 * (1 - IFERROR(INDEX('Inputs &amp; Assuptions'!$B$13:$B$72, COLUMN() - ($E21 + 5)), 0))
  )
)</f>
        <v>2170.74871343286</v>
      </c>
      <c r="AH21" s="80" t="n">
        <f aca="false" t="array" ref="AH21:AH21">IF(COLUMN() - ($E21 + 5) &lt; 0, 0,
  IF(COLUMN() - ($E21 + 5) = 0, $F21,
    AG21 * (1 - IFERROR(INDEX('Inputs &amp; Assuptions'!$B$13:$B$72, COLUMN() - ($E21 + 5)), 0))
  )
)</f>
        <v>2149.04122629853</v>
      </c>
      <c r="AI21" s="80" t="n">
        <f aca="false" t="array" ref="AI21:AI21">IF(COLUMN() - ($E21 + 5) &lt; 0, 0,
  IF(COLUMN() - ($E21 + 5) = 0, $F21,
    AH21 * (1 - IFERROR(INDEX('Inputs &amp; Assuptions'!$B$13:$B$72, COLUMN() - ($E21 + 5)), 0))
  )
)</f>
        <v>2127.55081403555</v>
      </c>
      <c r="AJ21" s="80" t="n">
        <f aca="false" t="array" ref="AJ21:AJ21">IF(COLUMN() - ($E21 + 5) &lt; 0, 0,
  IF(COLUMN() - ($E21 + 5) = 0, $F21,
    AI21 * (1 - IFERROR(INDEX('Inputs &amp; Assuptions'!$B$13:$B$72, COLUMN() - ($E21 + 5)), 0))
  )
)</f>
        <v>2106.27530589519</v>
      </c>
      <c r="AK21" s="80" t="n">
        <f aca="false" t="array" ref="AK21:AK21">IF(COLUMN() - ($E21 + 5) &lt; 0, 0,
  IF(COLUMN() - ($E21 + 5) = 0, $F21,
    AJ21 * (1 - IFERROR(INDEX('Inputs &amp; Assuptions'!$B$13:$B$72, COLUMN() - ($E21 + 5)), 0))
  )
)</f>
        <v>2085.21255283624</v>
      </c>
      <c r="AL21" s="80" t="n">
        <f aca="false" t="array" ref="AL21:AL21">IF(COLUMN() - ($E21 + 5) &lt; 0, 0,
  IF(COLUMN() - ($E21 + 5) = 0, $F21,
    AK21 * (1 - IFERROR(INDEX('Inputs &amp; Assuptions'!$B$13:$B$72, COLUMN() - ($E21 + 5)), 0))
  )
)</f>
        <v>2064.36042730788</v>
      </c>
      <c r="AM21" s="80" t="n">
        <f aca="false" t="array" ref="AM21:AM21">IF(COLUMN() - ($E21 + 5) &lt; 0, 0,
  IF(COLUMN() - ($E21 + 5) = 0, $F21,
    AL21 * (1 - IFERROR(INDEX('Inputs &amp; Assuptions'!$B$13:$B$72, COLUMN() - ($E21 + 5)), 0))
  )
)</f>
        <v>2043.7168230348</v>
      </c>
      <c r="AN21" s="80" t="n">
        <f aca="false" t="array" ref="AN21:AN21">IF(COLUMN() - ($E21 + 5) &lt; 0, 0,
  IF(COLUMN() - ($E21 + 5) = 0, $F21,
    AM21 * (1 - IFERROR(INDEX('Inputs &amp; Assuptions'!$B$13:$B$72, COLUMN() - ($E21 + 5)), 0))
  )
)</f>
        <v>2023.27965480445</v>
      </c>
      <c r="AO21" s="80" t="n">
        <f aca="false" t="array" ref="AO21:AO21">IF(COLUMN() - ($E21 + 5) &lt; 0, 0,
  IF(COLUMN() - ($E21 + 5) = 0, $F21,
    AN21 * (1 - IFERROR(INDEX('Inputs &amp; Assuptions'!$B$13:$B$72, COLUMN() - ($E21 + 5)), 0))
  )
)</f>
        <v>2003.04685825641</v>
      </c>
      <c r="AP21" s="80" t="n">
        <f aca="false" t="array" ref="AP21:AP21">IF(COLUMN() - ($E21 + 5) &lt; 0, 0,
  IF(COLUMN() - ($E21 + 5) = 0, $F21,
    AO21 * (1 - IFERROR(INDEX('Inputs &amp; Assuptions'!$B$13:$B$72, COLUMN() - ($E21 + 5)), 0))
  )
)</f>
        <v>1983.01638967384</v>
      </c>
      <c r="AQ21" s="80" t="n">
        <f aca="false" t="array" ref="AQ21:AQ21">IF(COLUMN() - ($E21 + 5) &lt; 0, 0,
  IF(COLUMN() - ($E21 + 5) = 0, $F21,
    AP21 * (1 - IFERROR(INDEX('Inputs &amp; Assuptions'!$B$13:$B$72, COLUMN() - ($E21 + 5)), 0))
  )
)</f>
        <v>1963.1862257771</v>
      </c>
      <c r="AR21" s="80" t="n">
        <f aca="false" t="array" ref="AR21:AR21">IF(COLUMN() - ($E21 + 5) &lt; 0, 0,
  IF(COLUMN() - ($E21 + 5) = 0, $F21,
    AQ21 * (1 - IFERROR(INDEX('Inputs &amp; Assuptions'!$B$13:$B$72, COLUMN() - ($E21 + 5)), 0))
  )
)</f>
        <v>1943.55436351933</v>
      </c>
      <c r="AS21" s="80" t="n">
        <f aca="false" t="array" ref="AS21:AS21">IF(COLUMN() - ($E21 + 5) &lt; 0, 0,
  IF(COLUMN() - ($E21 + 5) = 0, $F21,
    AR21 * (1 - IFERROR(INDEX('Inputs &amp; Assuptions'!$B$13:$B$72, COLUMN() - ($E21 + 5)), 0))
  )
)</f>
        <v>1924.11881988414</v>
      </c>
      <c r="AT21" s="80" t="n">
        <f aca="false" t="array" ref="AT21:AT21">IF(COLUMN() - ($E21 + 5) &lt; 0, 0,
  IF(COLUMN() - ($E21 + 5) = 0, $F21,
    AS21 * (1 - IFERROR(INDEX('Inputs &amp; Assuptions'!$B$13:$B$72, COLUMN() - ($E21 + 5)), 0))
  )
)</f>
        <v>1904.8776316853</v>
      </c>
      <c r="AU21" s="80" t="n">
        <f aca="false" t="array" ref="AU21:AU21">IF(COLUMN() - ($E21 + 5) &lt; 0, 0,
  IF(COLUMN() - ($E21 + 5) = 0, $F21,
    AT21 * (1 - IFERROR(INDEX('Inputs &amp; Assuptions'!$B$13:$B$72, COLUMN() - ($E21 + 5)), 0))
  )
)</f>
        <v>1885.82885536844</v>
      </c>
      <c r="AV21" s="80" t="n">
        <f aca="false" t="array" ref="AV21:AV21">IF(COLUMN() - ($E21 + 5) &lt; 0, 0,
  IF(COLUMN() - ($E21 + 5) = 0, $F21,
    AU21 * (1 - IFERROR(INDEX('Inputs &amp; Assuptions'!$B$13:$B$72, COLUMN() - ($E21 + 5)), 0))
  )
)</f>
        <v>1866.97056681476</v>
      </c>
      <c r="AW21" s="80" t="n">
        <f aca="false" t="array" ref="AW21:AW21">IF(COLUMN() - ($E21 + 5) &lt; 0, 0,
  IF(COLUMN() - ($E21 + 5) = 0, $F21,
    AV21 * (1 - IFERROR(INDEX('Inputs &amp; Assuptions'!$B$13:$B$72, COLUMN() - ($E21 + 5)), 0))
  )
)</f>
        <v>1848.30086114661</v>
      </c>
      <c r="AX21" s="80" t="n">
        <f aca="false" t="array" ref="AX21:AX21">IF(COLUMN() - ($E21 + 5) &lt; 0, 0,
  IF(COLUMN() - ($E21 + 5) = 0, $F21,
    AW21 * (1 - IFERROR(INDEX('Inputs &amp; Assuptions'!$B$13:$B$72, COLUMN() - ($E21 + 5)), 0))
  )
)</f>
        <v>1829.81785253515</v>
      </c>
      <c r="AY21" s="80" t="n">
        <f aca="false" t="array" ref="AY21:AY21">IF(COLUMN() - ($E21 + 5) &lt; 0, 0,
  IF(COLUMN() - ($E21 + 5) = 0, $F21,
    AX21 * (1 - IFERROR(INDEX('Inputs &amp; Assuptions'!$B$13:$B$72, COLUMN() - ($E21 + 5)), 0))
  )
)</f>
        <v>1811.51967400979</v>
      </c>
      <c r="AZ21" s="80" t="n">
        <f aca="false" t="array" ref="AZ21:AZ21">IF(COLUMN() - ($E21 + 5) &lt; 0, 0,
  IF(COLUMN() - ($E21 + 5) = 0, $F21,
    AY21 * (1 - IFERROR(INDEX('Inputs &amp; Assuptions'!$B$13:$B$72, COLUMN() - ($E21 + 5)), 0))
  )
)</f>
        <v>1793.4044772697</v>
      </c>
      <c r="BA21" s="80" t="n">
        <f aca="false" t="array" ref="BA21:BA21">IF(COLUMN() - ($E21 + 5) &lt; 0, 0,
  IF(COLUMN() - ($E21 + 5) = 0, $F21,
    AZ21 * (1 - IFERROR(INDEX('Inputs &amp; Assuptions'!$B$13:$B$72, COLUMN() - ($E21 + 5)), 0))
  )
)</f>
        <v>1775.470432497</v>
      </c>
      <c r="BB21" s="80" t="n">
        <f aca="false" t="array" ref="BB21:BB21">IF(COLUMN() - ($E21 + 5) &lt; 0, 0,
  IF(COLUMN() - ($E21 + 5) = 0, $F21,
    BA21 * (1 - IFERROR(INDEX('Inputs &amp; Assuptions'!$B$13:$B$72, COLUMN() - ($E21 + 5)), 0))
  )
)</f>
        <v>1757.71572817203</v>
      </c>
      <c r="BC21" s="80" t="n">
        <f aca="false" t="array" ref="BC21:BC21">IF(COLUMN() - ($E21 + 5) &lt; 0, 0,
  IF(COLUMN() - ($E21 + 5) = 0, $F21,
    BB21 * (1 - IFERROR(INDEX('Inputs &amp; Assuptions'!$B$13:$B$72, COLUMN() - ($E21 + 5)), 0))
  )
)</f>
        <v>1740.13857089031</v>
      </c>
      <c r="BD21" s="80" t="n">
        <f aca="false" t="array" ref="BD21:BD21">IF(COLUMN() - ($E21 + 5) &lt; 0, 0,
  IF(COLUMN() - ($E21 + 5) = 0, $F21,
    BC21 * (1 - IFERROR(INDEX('Inputs &amp; Assuptions'!$B$13:$B$72, COLUMN() - ($E21 + 5)), 0))
  )
)</f>
        <v>1722.73718518141</v>
      </c>
      <c r="BE21" s="80" t="n">
        <f aca="false" t="array" ref="BE21:BE21">IF(COLUMN() - ($E21 + 5) &lt; 0, 0,
  IF(COLUMN() - ($E21 + 5) = 0, $F21,
    BD21 * (1 - IFERROR(INDEX('Inputs &amp; Assuptions'!$B$13:$B$72, COLUMN() - ($E21 + 5)), 0))
  )
)</f>
        <v>1705.50981332959</v>
      </c>
      <c r="BF21" s="80" t="n">
        <f aca="false" t="array" ref="BF21:BF21">IF(COLUMN() - ($E21 + 5) &lt; 0, 0,
  IF(COLUMN() - ($E21 + 5) = 0, $F21,
    BE21 * (1 - IFERROR(INDEX('Inputs &amp; Assuptions'!$B$13:$B$72, COLUMN() - ($E21 + 5)), 0))
  )
)</f>
        <v>1688.4547151963</v>
      </c>
      <c r="BG21" s="80" t="n">
        <f aca="false" t="array" ref="BG21:BG21">IF(COLUMN() - ($E21 + 5) &lt; 0, 0,
  IF(COLUMN() - ($E21 + 5) = 0, $F21,
    BF21 * (1 - IFERROR(INDEX('Inputs &amp; Assuptions'!$B$13:$B$72, COLUMN() - ($E21 + 5)), 0))
  )
)</f>
        <v>1671.57016804433</v>
      </c>
      <c r="BH21" s="80" t="n">
        <f aca="false" t="array" ref="BH21:BH21">IF(COLUMN() - ($E21 + 5) &lt; 0, 0,
  IF(COLUMN() - ($E21 + 5) = 0, $F21,
    BG21 * (1 - IFERROR(INDEX('Inputs &amp; Assuptions'!$B$13:$B$72, COLUMN() - ($E21 + 5)), 0))
  )
)</f>
        <v>1654.85446636389</v>
      </c>
      <c r="BI21" s="80" t="n">
        <f aca="false" t="array" ref="BI21:BI21">IF(COLUMN() - ($E21 + 5) &lt; 0, 0,
  IF(COLUMN() - ($E21 + 5) = 0, $F21,
    BH21 * (1 - IFERROR(INDEX('Inputs &amp; Assuptions'!$B$13:$B$72, COLUMN() - ($E21 + 5)), 0))
  )
)</f>
        <v>1638.30592170025</v>
      </c>
      <c r="BJ21" s="80" t="n">
        <f aca="false" t="array" ref="BJ21:BJ21">IF(COLUMN() - ($E21 + 5) &lt; 0, 0,
  IF(COLUMN() - ($E21 + 5) = 0, $F21,
    BI21 * (1 - IFERROR(INDEX('Inputs &amp; Assuptions'!$B$13:$B$72, COLUMN() - ($E21 + 5)), 0))
  )
)</f>
        <v>1621.92286248325</v>
      </c>
      <c r="BK21" s="80" t="n">
        <f aca="false" t="array" ref="BK21:BK21">IF(COLUMN() - ($E21 + 5) &lt; 0, 0,
  IF(COLUMN() - ($E21 + 5) = 0, $F21,
    BJ21 * (1 - IFERROR(INDEX('Inputs &amp; Assuptions'!$B$13:$B$72, COLUMN() - ($E21 + 5)), 0))
  )
)</f>
        <v>1605.70363385842</v>
      </c>
      <c r="BL21" s="80" t="n">
        <f aca="false" t="array" ref="BL21:BL21">IF(COLUMN() - ($E21 + 5) &lt; 0, 0,
  IF(COLUMN() - ($E21 + 5) = 0, $F21,
    BK21 * (1 - IFERROR(INDEX('Inputs &amp; Assuptions'!$B$13:$B$72, COLUMN() - ($E21 + 5)), 0))
  )
)</f>
        <v>1589.64659751983</v>
      </c>
      <c r="BM21" s="81" t="n">
        <f aca="false" t="array" ref="BM21:BM21">IF(COLUMN() - ($E21 + 5) &lt; 0, 0,
  IF(COLUMN() - ($E21 + 5) = 0, $F21,
    BL21 * (1 - IFERROR(INDEX('Inputs &amp; Assuptions'!$B$13:$B$72, COLUMN() - ($E21 + 5)), 0))
  )
)</f>
        <v>1573.75013154463</v>
      </c>
      <c r="BN21" s="76"/>
    </row>
    <row r="22" customFormat="false" ht="14.25" hidden="false" customHeight="false" outlineLevel="0" collapsed="false">
      <c r="A22" s="29" t="n">
        <f aca="false">A21+1</f>
        <v>17</v>
      </c>
      <c r="B22" s="77" t="n">
        <f aca="false">IF(MOD($A22-1, 12) = 0, $B21 * 1.05, $B21)</f>
        <v>6300</v>
      </c>
      <c r="C22" s="78" t="n">
        <f aca="false">$B22*(1-'Inputs &amp; Assuptions'!$B$12)</f>
        <v>3654</v>
      </c>
      <c r="E22" s="29" t="n">
        <f aca="false">E21+1</f>
        <v>17</v>
      </c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 t="n">
        <f aca="false">+$C22</f>
        <v>3654</v>
      </c>
      <c r="W22" s="80" t="n">
        <f aca="false" t="array" ref="W22:W22">IF(COLUMN() - ($E22 + 5) &lt; 0, 0,
  IF(COLUMN() - ($E22 + 5) = 0, $F22,
    V22 * (1 - IFERROR(INDEX('Inputs &amp; Assuptions'!$B$13:$B$72, COLUMN() - ($E22 + 5)), 0))
  )
)</f>
        <v>3270.33</v>
      </c>
      <c r="X22" s="80" t="n">
        <f aca="false" t="array" ref="X22:X22">IF(COLUMN() - ($E22 + 5) &lt; 0, 0,
  IF(COLUMN() - ($E22 + 5) = 0, $F22,
    W22 * (1 - IFERROR(INDEX('Inputs &amp; Assuptions'!$B$13:$B$72, COLUMN() - ($E22 + 5)), 0))
  )
)</f>
        <v>3008.7036</v>
      </c>
      <c r="Y22" s="80" t="n">
        <f aca="false" t="array" ref="Y22:Y22">IF(COLUMN() - ($E22 + 5) &lt; 0, 0,
  IF(COLUMN() - ($E22 + 5) = 0, $F22,
    X22 * (1 - IFERROR(INDEX('Inputs &amp; Assuptions'!$B$13:$B$72, COLUMN() - ($E22 + 5)), 0))
  )
)</f>
        <v>2843.224902</v>
      </c>
      <c r="Z22" s="80" t="n">
        <f aca="false" t="array" ref="Z22:Z22">IF(COLUMN() - ($E22 + 5) &lt; 0, 0,
  IF(COLUMN() - ($E22 + 5) = 0, $F22,
    Y22 * (1 - IFERROR(INDEX('Inputs &amp; Assuptions'!$B$13:$B$72, COLUMN() - ($E22 + 5)), 0))
  )
)</f>
        <v>2701.0636569</v>
      </c>
      <c r="AA22" s="80" t="n">
        <f aca="false" t="array" ref="AA22:AA22">IF(COLUMN() - ($E22 + 5) &lt; 0, 0,
  IF(COLUMN() - ($E22 + 5) = 0, $F22,
    Z22 * (1 - IFERROR(INDEX('Inputs &amp; Assuptions'!$B$13:$B$72, COLUMN() - ($E22 + 5)), 0))
  )
)</f>
        <v>2579.5157923395</v>
      </c>
      <c r="AB22" s="80" t="n">
        <f aca="false" t="array" ref="AB22:AB22">IF(COLUMN() - ($E22 + 5) &lt; 0, 0,
  IF(COLUMN() - ($E22 + 5) = 0, $F22,
    AA22 * (1 - IFERROR(INDEX('Inputs &amp; Assuptions'!$B$13:$B$72, COLUMN() - ($E22 + 5)), 0))
  )
)</f>
        <v>2476.33516064592</v>
      </c>
      <c r="AC22" s="80" t="n">
        <f aca="false" t="array" ref="AC22:AC22">IF(COLUMN() - ($E22 + 5) &lt; 0, 0,
  IF(COLUMN() - ($E22 + 5) = 0, $F22,
    AB22 * (1 - IFERROR(INDEX('Inputs &amp; Assuptions'!$B$13:$B$72, COLUMN() - ($E22 + 5)), 0))
  )
)</f>
        <v>2389.66343002331</v>
      </c>
      <c r="AD22" s="80" t="n">
        <f aca="false" t="array" ref="AD22:AD22">IF(COLUMN() - ($E22 + 5) &lt; 0, 0,
  IF(COLUMN() - ($E22 + 5) = 0, $F22,
    AC22 * (1 - IFERROR(INDEX('Inputs &amp; Assuptions'!$B$13:$B$72, COLUMN() - ($E22 + 5)), 0))
  )
)</f>
        <v>2317.97352712261</v>
      </c>
      <c r="AE22" s="80" t="n">
        <f aca="false" t="array" ref="AE22:AE22">IF(COLUMN() - ($E22 + 5) &lt; 0, 0,
  IF(COLUMN() - ($E22 + 5) = 0, $F22,
    AD22 * (1 - IFERROR(INDEX('Inputs &amp; Assuptions'!$B$13:$B$72, COLUMN() - ($E22 + 5)), 0))
  )
)</f>
        <v>2260.02418894455</v>
      </c>
      <c r="AF22" s="80" t="n">
        <f aca="false" t="array" ref="AF22:AF22">IF(COLUMN() - ($E22 + 5) &lt; 0, 0,
  IF(COLUMN() - ($E22 + 5) = 0, $F22,
    AE22 * (1 - IFERROR(INDEX('Inputs &amp; Assuptions'!$B$13:$B$72, COLUMN() - ($E22 + 5)), 0))
  )
)</f>
        <v>2214.82370516566</v>
      </c>
      <c r="AG22" s="80" t="n">
        <f aca="false" t="array" ref="AG22:AG22">IF(COLUMN() - ($E22 + 5) &lt; 0, 0,
  IF(COLUMN() - ($E22 + 5) = 0, $F22,
    AF22 * (1 - IFERROR(INDEX('Inputs &amp; Assuptions'!$B$13:$B$72, COLUMN() - ($E22 + 5)), 0))
  )
)</f>
        <v>2192.675468114</v>
      </c>
      <c r="AH22" s="80" t="n">
        <f aca="false" t="array" ref="AH22:AH22">IF(COLUMN() - ($E22 + 5) &lt; 0, 0,
  IF(COLUMN() - ($E22 + 5) = 0, $F22,
    AG22 * (1 - IFERROR(INDEX('Inputs &amp; Assuptions'!$B$13:$B$72, COLUMN() - ($E22 + 5)), 0))
  )
)</f>
        <v>2170.74871343286</v>
      </c>
      <c r="AI22" s="80" t="n">
        <f aca="false" t="array" ref="AI22:AI22">IF(COLUMN() - ($E22 + 5) &lt; 0, 0,
  IF(COLUMN() - ($E22 + 5) = 0, $F22,
    AH22 * (1 - IFERROR(INDEX('Inputs &amp; Assuptions'!$B$13:$B$72, COLUMN() - ($E22 + 5)), 0))
  )
)</f>
        <v>2149.04122629853</v>
      </c>
      <c r="AJ22" s="80" t="n">
        <f aca="false" t="array" ref="AJ22:AJ22">IF(COLUMN() - ($E22 + 5) &lt; 0, 0,
  IF(COLUMN() - ($E22 + 5) = 0, $F22,
    AI22 * (1 - IFERROR(INDEX('Inputs &amp; Assuptions'!$B$13:$B$72, COLUMN() - ($E22 + 5)), 0))
  )
)</f>
        <v>2127.55081403555</v>
      </c>
      <c r="AK22" s="80" t="n">
        <f aca="false" t="array" ref="AK22:AK22">IF(COLUMN() - ($E22 + 5) &lt; 0, 0,
  IF(COLUMN() - ($E22 + 5) = 0, $F22,
    AJ22 * (1 - IFERROR(INDEX('Inputs &amp; Assuptions'!$B$13:$B$72, COLUMN() - ($E22 + 5)), 0))
  )
)</f>
        <v>2106.27530589519</v>
      </c>
      <c r="AL22" s="80" t="n">
        <f aca="false" t="array" ref="AL22:AL22">IF(COLUMN() - ($E22 + 5) &lt; 0, 0,
  IF(COLUMN() - ($E22 + 5) = 0, $F22,
    AK22 * (1 - IFERROR(INDEX('Inputs &amp; Assuptions'!$B$13:$B$72, COLUMN() - ($E22 + 5)), 0))
  )
)</f>
        <v>2085.21255283624</v>
      </c>
      <c r="AM22" s="80" t="n">
        <f aca="false" t="array" ref="AM22:AM22">IF(COLUMN() - ($E22 + 5) &lt; 0, 0,
  IF(COLUMN() - ($E22 + 5) = 0, $F22,
    AL22 * (1 - IFERROR(INDEX('Inputs &amp; Assuptions'!$B$13:$B$72, COLUMN() - ($E22 + 5)), 0))
  )
)</f>
        <v>2064.36042730788</v>
      </c>
      <c r="AN22" s="80" t="n">
        <f aca="false" t="array" ref="AN22:AN22">IF(COLUMN() - ($E22 + 5) &lt; 0, 0,
  IF(COLUMN() - ($E22 + 5) = 0, $F22,
    AM22 * (1 - IFERROR(INDEX('Inputs &amp; Assuptions'!$B$13:$B$72, COLUMN() - ($E22 + 5)), 0))
  )
)</f>
        <v>2043.7168230348</v>
      </c>
      <c r="AO22" s="80" t="n">
        <f aca="false" t="array" ref="AO22:AO22">IF(COLUMN() - ($E22 + 5) &lt; 0, 0,
  IF(COLUMN() - ($E22 + 5) = 0, $F22,
    AN22 * (1 - IFERROR(INDEX('Inputs &amp; Assuptions'!$B$13:$B$72, COLUMN() - ($E22 + 5)), 0))
  )
)</f>
        <v>2023.27965480445</v>
      </c>
      <c r="AP22" s="80" t="n">
        <f aca="false" t="array" ref="AP22:AP22">IF(COLUMN() - ($E22 + 5) &lt; 0, 0,
  IF(COLUMN() - ($E22 + 5) = 0, $F22,
    AO22 * (1 - IFERROR(INDEX('Inputs &amp; Assuptions'!$B$13:$B$72, COLUMN() - ($E22 + 5)), 0))
  )
)</f>
        <v>2003.04685825641</v>
      </c>
      <c r="AQ22" s="80" t="n">
        <f aca="false" t="array" ref="AQ22:AQ22">IF(COLUMN() - ($E22 + 5) &lt; 0, 0,
  IF(COLUMN() - ($E22 + 5) = 0, $F22,
    AP22 * (1 - IFERROR(INDEX('Inputs &amp; Assuptions'!$B$13:$B$72, COLUMN() - ($E22 + 5)), 0))
  )
)</f>
        <v>1983.01638967384</v>
      </c>
      <c r="AR22" s="80" t="n">
        <f aca="false" t="array" ref="AR22:AR22">IF(COLUMN() - ($E22 + 5) &lt; 0, 0,
  IF(COLUMN() - ($E22 + 5) = 0, $F22,
    AQ22 * (1 - IFERROR(INDEX('Inputs &amp; Assuptions'!$B$13:$B$72, COLUMN() - ($E22 + 5)), 0))
  )
)</f>
        <v>1963.1862257771</v>
      </c>
      <c r="AS22" s="80" t="n">
        <f aca="false" t="array" ref="AS22:AS22">IF(COLUMN() - ($E22 + 5) &lt; 0, 0,
  IF(COLUMN() - ($E22 + 5) = 0, $F22,
    AR22 * (1 - IFERROR(INDEX('Inputs &amp; Assuptions'!$B$13:$B$72, COLUMN() - ($E22 + 5)), 0))
  )
)</f>
        <v>1943.55436351933</v>
      </c>
      <c r="AT22" s="80" t="n">
        <f aca="false" t="array" ref="AT22:AT22">IF(COLUMN() - ($E22 + 5) &lt; 0, 0,
  IF(COLUMN() - ($E22 + 5) = 0, $F22,
    AS22 * (1 - IFERROR(INDEX('Inputs &amp; Assuptions'!$B$13:$B$72, COLUMN() - ($E22 + 5)), 0))
  )
)</f>
        <v>1924.11881988414</v>
      </c>
      <c r="AU22" s="80" t="n">
        <f aca="false" t="array" ref="AU22:AU22">IF(COLUMN() - ($E22 + 5) &lt; 0, 0,
  IF(COLUMN() - ($E22 + 5) = 0, $F22,
    AT22 * (1 - IFERROR(INDEX('Inputs &amp; Assuptions'!$B$13:$B$72, COLUMN() - ($E22 + 5)), 0))
  )
)</f>
        <v>1904.8776316853</v>
      </c>
      <c r="AV22" s="80" t="n">
        <f aca="false" t="array" ref="AV22:AV22">IF(COLUMN() - ($E22 + 5) &lt; 0, 0,
  IF(COLUMN() - ($E22 + 5) = 0, $F22,
    AU22 * (1 - IFERROR(INDEX('Inputs &amp; Assuptions'!$B$13:$B$72, COLUMN() - ($E22 + 5)), 0))
  )
)</f>
        <v>1885.82885536844</v>
      </c>
      <c r="AW22" s="80" t="n">
        <f aca="false" t="array" ref="AW22:AW22">IF(COLUMN() - ($E22 + 5) &lt; 0, 0,
  IF(COLUMN() - ($E22 + 5) = 0, $F22,
    AV22 * (1 - IFERROR(INDEX('Inputs &amp; Assuptions'!$B$13:$B$72, COLUMN() - ($E22 + 5)), 0))
  )
)</f>
        <v>1866.97056681476</v>
      </c>
      <c r="AX22" s="80" t="n">
        <f aca="false" t="array" ref="AX22:AX22">IF(COLUMN() - ($E22 + 5) &lt; 0, 0,
  IF(COLUMN() - ($E22 + 5) = 0, $F22,
    AW22 * (1 - IFERROR(INDEX('Inputs &amp; Assuptions'!$B$13:$B$72, COLUMN() - ($E22 + 5)), 0))
  )
)</f>
        <v>1848.30086114661</v>
      </c>
      <c r="AY22" s="80" t="n">
        <f aca="false" t="array" ref="AY22:AY22">IF(COLUMN() - ($E22 + 5) &lt; 0, 0,
  IF(COLUMN() - ($E22 + 5) = 0, $F22,
    AX22 * (1 - IFERROR(INDEX('Inputs &amp; Assuptions'!$B$13:$B$72, COLUMN() - ($E22 + 5)), 0))
  )
)</f>
        <v>1829.81785253515</v>
      </c>
      <c r="AZ22" s="80" t="n">
        <f aca="false" t="array" ref="AZ22:AZ22">IF(COLUMN() - ($E22 + 5) &lt; 0, 0,
  IF(COLUMN() - ($E22 + 5) = 0, $F22,
    AY22 * (1 - IFERROR(INDEX('Inputs &amp; Assuptions'!$B$13:$B$72, COLUMN() - ($E22 + 5)), 0))
  )
)</f>
        <v>1811.51967400979</v>
      </c>
      <c r="BA22" s="80" t="n">
        <f aca="false" t="array" ref="BA22:BA22">IF(COLUMN() - ($E22 + 5) &lt; 0, 0,
  IF(COLUMN() - ($E22 + 5) = 0, $F22,
    AZ22 * (1 - IFERROR(INDEX('Inputs &amp; Assuptions'!$B$13:$B$72, COLUMN() - ($E22 + 5)), 0))
  )
)</f>
        <v>1793.4044772697</v>
      </c>
      <c r="BB22" s="80" t="n">
        <f aca="false" t="array" ref="BB22:BB22">IF(COLUMN() - ($E22 + 5) &lt; 0, 0,
  IF(COLUMN() - ($E22 + 5) = 0, $F22,
    BA22 * (1 - IFERROR(INDEX('Inputs &amp; Assuptions'!$B$13:$B$72, COLUMN() - ($E22 + 5)), 0))
  )
)</f>
        <v>1775.470432497</v>
      </c>
      <c r="BC22" s="80" t="n">
        <f aca="false" t="array" ref="BC22:BC22">IF(COLUMN() - ($E22 + 5) &lt; 0, 0,
  IF(COLUMN() - ($E22 + 5) = 0, $F22,
    BB22 * (1 - IFERROR(INDEX('Inputs &amp; Assuptions'!$B$13:$B$72, COLUMN() - ($E22 + 5)), 0))
  )
)</f>
        <v>1757.71572817203</v>
      </c>
      <c r="BD22" s="80" t="n">
        <f aca="false" t="array" ref="BD22:BD22">IF(COLUMN() - ($E22 + 5) &lt; 0, 0,
  IF(COLUMN() - ($E22 + 5) = 0, $F22,
    BC22 * (1 - IFERROR(INDEX('Inputs &amp; Assuptions'!$B$13:$B$72, COLUMN() - ($E22 + 5)), 0))
  )
)</f>
        <v>1740.13857089031</v>
      </c>
      <c r="BE22" s="80" t="n">
        <f aca="false" t="array" ref="BE22:BE22">IF(COLUMN() - ($E22 + 5) &lt; 0, 0,
  IF(COLUMN() - ($E22 + 5) = 0, $F22,
    BD22 * (1 - IFERROR(INDEX('Inputs &amp; Assuptions'!$B$13:$B$72, COLUMN() - ($E22 + 5)), 0))
  )
)</f>
        <v>1722.73718518141</v>
      </c>
      <c r="BF22" s="80" t="n">
        <f aca="false" t="array" ref="BF22:BF22">IF(COLUMN() - ($E22 + 5) &lt; 0, 0,
  IF(COLUMN() - ($E22 + 5) = 0, $F22,
    BE22 * (1 - IFERROR(INDEX('Inputs &amp; Assuptions'!$B$13:$B$72, COLUMN() - ($E22 + 5)), 0))
  )
)</f>
        <v>1705.50981332959</v>
      </c>
      <c r="BG22" s="80" t="n">
        <f aca="false" t="array" ref="BG22:BG22">IF(COLUMN() - ($E22 + 5) &lt; 0, 0,
  IF(COLUMN() - ($E22 + 5) = 0, $F22,
    BF22 * (1 - IFERROR(INDEX('Inputs &amp; Assuptions'!$B$13:$B$72, COLUMN() - ($E22 + 5)), 0))
  )
)</f>
        <v>1688.4547151963</v>
      </c>
      <c r="BH22" s="80" t="n">
        <f aca="false" t="array" ref="BH22:BH22">IF(COLUMN() - ($E22 + 5) &lt; 0, 0,
  IF(COLUMN() - ($E22 + 5) = 0, $F22,
    BG22 * (1 - IFERROR(INDEX('Inputs &amp; Assuptions'!$B$13:$B$72, COLUMN() - ($E22 + 5)), 0))
  )
)</f>
        <v>1671.57016804433</v>
      </c>
      <c r="BI22" s="80" t="n">
        <f aca="false" t="array" ref="BI22:BI22">IF(COLUMN() - ($E22 + 5) &lt; 0, 0,
  IF(COLUMN() - ($E22 + 5) = 0, $F22,
    BH22 * (1 - IFERROR(INDEX('Inputs &amp; Assuptions'!$B$13:$B$72, COLUMN() - ($E22 + 5)), 0))
  )
)</f>
        <v>1654.85446636389</v>
      </c>
      <c r="BJ22" s="80" t="n">
        <f aca="false" t="array" ref="BJ22:BJ22">IF(COLUMN() - ($E22 + 5) &lt; 0, 0,
  IF(COLUMN() - ($E22 + 5) = 0, $F22,
    BI22 * (1 - IFERROR(INDEX('Inputs &amp; Assuptions'!$B$13:$B$72, COLUMN() - ($E22 + 5)), 0))
  )
)</f>
        <v>1638.30592170025</v>
      </c>
      <c r="BK22" s="80" t="n">
        <f aca="false" t="array" ref="BK22:BK22">IF(COLUMN() - ($E22 + 5) &lt; 0, 0,
  IF(COLUMN() - ($E22 + 5) = 0, $F22,
    BJ22 * (1 - IFERROR(INDEX('Inputs &amp; Assuptions'!$B$13:$B$72, COLUMN() - ($E22 + 5)), 0))
  )
)</f>
        <v>1621.92286248325</v>
      </c>
      <c r="BL22" s="80" t="n">
        <f aca="false" t="array" ref="BL22:BL22">IF(COLUMN() - ($E22 + 5) &lt; 0, 0,
  IF(COLUMN() - ($E22 + 5) = 0, $F22,
    BK22 * (1 - IFERROR(INDEX('Inputs &amp; Assuptions'!$B$13:$B$72, COLUMN() - ($E22 + 5)), 0))
  )
)</f>
        <v>1605.70363385842</v>
      </c>
      <c r="BM22" s="81" t="n">
        <f aca="false" t="array" ref="BM22:BM22">IF(COLUMN() - ($E22 + 5) &lt; 0, 0,
  IF(COLUMN() - ($E22 + 5) = 0, $F22,
    BL22 * (1 - IFERROR(INDEX('Inputs &amp; Assuptions'!$B$13:$B$72, COLUMN() - ($E22 + 5)), 0))
  )
)</f>
        <v>1589.64659751983</v>
      </c>
      <c r="BN22" s="76"/>
    </row>
    <row r="23" customFormat="false" ht="14.25" hidden="false" customHeight="false" outlineLevel="0" collapsed="false">
      <c r="A23" s="29" t="n">
        <f aca="false">A22+1</f>
        <v>18</v>
      </c>
      <c r="B23" s="77" t="n">
        <f aca="false">IF(MOD($A23-1, 12) = 0, $B22 * 1.05, $B22)</f>
        <v>6300</v>
      </c>
      <c r="C23" s="78" t="n">
        <f aca="false">$B23*(1-'Inputs &amp; Assuptions'!$B$12)</f>
        <v>3654</v>
      </c>
      <c r="E23" s="29" t="n">
        <f aca="false">E22+1</f>
        <v>18</v>
      </c>
      <c r="F23" s="79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 t="n">
        <f aca="false">+$C23</f>
        <v>3654</v>
      </c>
      <c r="X23" s="80" t="n">
        <f aca="false" t="array" ref="X23:X23">IF(COLUMN() - ($E23 + 5) &lt; 0, 0,
  IF(COLUMN() - ($E23 + 5) = 0, $F23,
    W23 * (1 - IFERROR(INDEX('Inputs &amp; Assuptions'!$B$13:$B$72, COLUMN() - ($E23 + 5)), 0))
  )
)</f>
        <v>3270.33</v>
      </c>
      <c r="Y23" s="80" t="n">
        <f aca="false" t="array" ref="Y23:Y23">IF(COLUMN() - ($E23 + 5) &lt; 0, 0,
  IF(COLUMN() - ($E23 + 5) = 0, $F23,
    X23 * (1 - IFERROR(INDEX('Inputs &amp; Assuptions'!$B$13:$B$72, COLUMN() - ($E23 + 5)), 0))
  )
)</f>
        <v>3008.7036</v>
      </c>
      <c r="Z23" s="80" t="n">
        <f aca="false" t="array" ref="Z23:Z23">IF(COLUMN() - ($E23 + 5) &lt; 0, 0,
  IF(COLUMN() - ($E23 + 5) = 0, $F23,
    Y23 * (1 - IFERROR(INDEX('Inputs &amp; Assuptions'!$B$13:$B$72, COLUMN() - ($E23 + 5)), 0))
  )
)</f>
        <v>2843.224902</v>
      </c>
      <c r="AA23" s="80" t="n">
        <f aca="false" t="array" ref="AA23:AA23">IF(COLUMN() - ($E23 + 5) &lt; 0, 0,
  IF(COLUMN() - ($E23 + 5) = 0, $F23,
    Z23 * (1 - IFERROR(INDEX('Inputs &amp; Assuptions'!$B$13:$B$72, COLUMN() - ($E23 + 5)), 0))
  )
)</f>
        <v>2701.0636569</v>
      </c>
      <c r="AB23" s="80" t="n">
        <f aca="false" t="array" ref="AB23:AB23">IF(COLUMN() - ($E23 + 5) &lt; 0, 0,
  IF(COLUMN() - ($E23 + 5) = 0, $F23,
    AA23 * (1 - IFERROR(INDEX('Inputs &amp; Assuptions'!$B$13:$B$72, COLUMN() - ($E23 + 5)), 0))
  )
)</f>
        <v>2579.5157923395</v>
      </c>
      <c r="AC23" s="80" t="n">
        <f aca="false" t="array" ref="AC23:AC23">IF(COLUMN() - ($E23 + 5) &lt; 0, 0,
  IF(COLUMN() - ($E23 + 5) = 0, $F23,
    AB23 * (1 - IFERROR(INDEX('Inputs &amp; Assuptions'!$B$13:$B$72, COLUMN() - ($E23 + 5)), 0))
  )
)</f>
        <v>2476.33516064592</v>
      </c>
      <c r="AD23" s="80" t="n">
        <f aca="false" t="array" ref="AD23:AD23">IF(COLUMN() - ($E23 + 5) &lt; 0, 0,
  IF(COLUMN() - ($E23 + 5) = 0, $F23,
    AC23 * (1 - IFERROR(INDEX('Inputs &amp; Assuptions'!$B$13:$B$72, COLUMN() - ($E23 + 5)), 0))
  )
)</f>
        <v>2389.66343002331</v>
      </c>
      <c r="AE23" s="80" t="n">
        <f aca="false" t="array" ref="AE23:AE23">IF(COLUMN() - ($E23 + 5) &lt; 0, 0,
  IF(COLUMN() - ($E23 + 5) = 0, $F23,
    AD23 * (1 - IFERROR(INDEX('Inputs &amp; Assuptions'!$B$13:$B$72, COLUMN() - ($E23 + 5)), 0))
  )
)</f>
        <v>2317.97352712261</v>
      </c>
      <c r="AF23" s="80" t="n">
        <f aca="false" t="array" ref="AF23:AF23">IF(COLUMN() - ($E23 + 5) &lt; 0, 0,
  IF(COLUMN() - ($E23 + 5) = 0, $F23,
    AE23 * (1 - IFERROR(INDEX('Inputs &amp; Assuptions'!$B$13:$B$72, COLUMN() - ($E23 + 5)), 0))
  )
)</f>
        <v>2260.02418894455</v>
      </c>
      <c r="AG23" s="80" t="n">
        <f aca="false" t="array" ref="AG23:AG23">IF(COLUMN() - ($E23 + 5) &lt; 0, 0,
  IF(COLUMN() - ($E23 + 5) = 0, $F23,
    AF23 * (1 - IFERROR(INDEX('Inputs &amp; Assuptions'!$B$13:$B$72, COLUMN() - ($E23 + 5)), 0))
  )
)</f>
        <v>2214.82370516566</v>
      </c>
      <c r="AH23" s="80" t="n">
        <f aca="false" t="array" ref="AH23:AH23">IF(COLUMN() - ($E23 + 5) &lt; 0, 0,
  IF(COLUMN() - ($E23 + 5) = 0, $F23,
    AG23 * (1 - IFERROR(INDEX('Inputs &amp; Assuptions'!$B$13:$B$72, COLUMN() - ($E23 + 5)), 0))
  )
)</f>
        <v>2192.675468114</v>
      </c>
      <c r="AI23" s="80" t="n">
        <f aca="false" t="array" ref="AI23:AI23">IF(COLUMN() - ($E23 + 5) &lt; 0, 0,
  IF(COLUMN() - ($E23 + 5) = 0, $F23,
    AH23 * (1 - IFERROR(INDEX('Inputs &amp; Assuptions'!$B$13:$B$72, COLUMN() - ($E23 + 5)), 0))
  )
)</f>
        <v>2170.74871343286</v>
      </c>
      <c r="AJ23" s="80" t="n">
        <f aca="false" t="array" ref="AJ23:AJ23">IF(COLUMN() - ($E23 + 5) &lt; 0, 0,
  IF(COLUMN() - ($E23 + 5) = 0, $F23,
    AI23 * (1 - IFERROR(INDEX('Inputs &amp; Assuptions'!$B$13:$B$72, COLUMN() - ($E23 + 5)), 0))
  )
)</f>
        <v>2149.04122629853</v>
      </c>
      <c r="AK23" s="80" t="n">
        <f aca="false" t="array" ref="AK23:AK23">IF(COLUMN() - ($E23 + 5) &lt; 0, 0,
  IF(COLUMN() - ($E23 + 5) = 0, $F23,
    AJ23 * (1 - IFERROR(INDEX('Inputs &amp; Assuptions'!$B$13:$B$72, COLUMN() - ($E23 + 5)), 0))
  )
)</f>
        <v>2127.55081403555</v>
      </c>
      <c r="AL23" s="80" t="n">
        <f aca="false" t="array" ref="AL23:AL23">IF(COLUMN() - ($E23 + 5) &lt; 0, 0,
  IF(COLUMN() - ($E23 + 5) = 0, $F23,
    AK23 * (1 - IFERROR(INDEX('Inputs &amp; Assuptions'!$B$13:$B$72, COLUMN() - ($E23 + 5)), 0))
  )
)</f>
        <v>2106.27530589519</v>
      </c>
      <c r="AM23" s="80" t="n">
        <f aca="false" t="array" ref="AM23:AM23">IF(COLUMN() - ($E23 + 5) &lt; 0, 0,
  IF(COLUMN() - ($E23 + 5) = 0, $F23,
    AL23 * (1 - IFERROR(INDEX('Inputs &amp; Assuptions'!$B$13:$B$72, COLUMN() - ($E23 + 5)), 0))
  )
)</f>
        <v>2085.21255283624</v>
      </c>
      <c r="AN23" s="80" t="n">
        <f aca="false" t="array" ref="AN23:AN23">IF(COLUMN() - ($E23 + 5) &lt; 0, 0,
  IF(COLUMN() - ($E23 + 5) = 0, $F23,
    AM23 * (1 - IFERROR(INDEX('Inputs &amp; Assuptions'!$B$13:$B$72, COLUMN() - ($E23 + 5)), 0))
  )
)</f>
        <v>2064.36042730788</v>
      </c>
      <c r="AO23" s="80" t="n">
        <f aca="false" t="array" ref="AO23:AO23">IF(COLUMN() - ($E23 + 5) &lt; 0, 0,
  IF(COLUMN() - ($E23 + 5) = 0, $F23,
    AN23 * (1 - IFERROR(INDEX('Inputs &amp; Assuptions'!$B$13:$B$72, COLUMN() - ($E23 + 5)), 0))
  )
)</f>
        <v>2043.7168230348</v>
      </c>
      <c r="AP23" s="80" t="n">
        <f aca="false" t="array" ref="AP23:AP23">IF(COLUMN() - ($E23 + 5) &lt; 0, 0,
  IF(COLUMN() - ($E23 + 5) = 0, $F23,
    AO23 * (1 - IFERROR(INDEX('Inputs &amp; Assuptions'!$B$13:$B$72, COLUMN() - ($E23 + 5)), 0))
  )
)</f>
        <v>2023.27965480445</v>
      </c>
      <c r="AQ23" s="80" t="n">
        <f aca="false" t="array" ref="AQ23:AQ23">IF(COLUMN() - ($E23 + 5) &lt; 0, 0,
  IF(COLUMN() - ($E23 + 5) = 0, $F23,
    AP23 * (1 - IFERROR(INDEX('Inputs &amp; Assuptions'!$B$13:$B$72, COLUMN() - ($E23 + 5)), 0))
  )
)</f>
        <v>2003.04685825641</v>
      </c>
      <c r="AR23" s="80" t="n">
        <f aca="false" t="array" ref="AR23:AR23">IF(COLUMN() - ($E23 + 5) &lt; 0, 0,
  IF(COLUMN() - ($E23 + 5) = 0, $F23,
    AQ23 * (1 - IFERROR(INDEX('Inputs &amp; Assuptions'!$B$13:$B$72, COLUMN() - ($E23 + 5)), 0))
  )
)</f>
        <v>1983.01638967384</v>
      </c>
      <c r="AS23" s="80" t="n">
        <f aca="false" t="array" ref="AS23:AS23">IF(COLUMN() - ($E23 + 5) &lt; 0, 0,
  IF(COLUMN() - ($E23 + 5) = 0, $F23,
    AR23 * (1 - IFERROR(INDEX('Inputs &amp; Assuptions'!$B$13:$B$72, COLUMN() - ($E23 + 5)), 0))
  )
)</f>
        <v>1963.1862257771</v>
      </c>
      <c r="AT23" s="80" t="n">
        <f aca="false" t="array" ref="AT23:AT23">IF(COLUMN() - ($E23 + 5) &lt; 0, 0,
  IF(COLUMN() - ($E23 + 5) = 0, $F23,
    AS23 * (1 - IFERROR(INDEX('Inputs &amp; Assuptions'!$B$13:$B$72, COLUMN() - ($E23 + 5)), 0))
  )
)</f>
        <v>1943.55436351933</v>
      </c>
      <c r="AU23" s="80" t="n">
        <f aca="false" t="array" ref="AU23:AU23">IF(COLUMN() - ($E23 + 5) &lt; 0, 0,
  IF(COLUMN() - ($E23 + 5) = 0, $F23,
    AT23 * (1 - IFERROR(INDEX('Inputs &amp; Assuptions'!$B$13:$B$72, COLUMN() - ($E23 + 5)), 0))
  )
)</f>
        <v>1924.11881988414</v>
      </c>
      <c r="AV23" s="80" t="n">
        <f aca="false" t="array" ref="AV23:AV23">IF(COLUMN() - ($E23 + 5) &lt; 0, 0,
  IF(COLUMN() - ($E23 + 5) = 0, $F23,
    AU23 * (1 - IFERROR(INDEX('Inputs &amp; Assuptions'!$B$13:$B$72, COLUMN() - ($E23 + 5)), 0))
  )
)</f>
        <v>1904.8776316853</v>
      </c>
      <c r="AW23" s="80" t="n">
        <f aca="false" t="array" ref="AW23:AW23">IF(COLUMN() - ($E23 + 5) &lt; 0, 0,
  IF(COLUMN() - ($E23 + 5) = 0, $F23,
    AV23 * (1 - IFERROR(INDEX('Inputs &amp; Assuptions'!$B$13:$B$72, COLUMN() - ($E23 + 5)), 0))
  )
)</f>
        <v>1885.82885536844</v>
      </c>
      <c r="AX23" s="80" t="n">
        <f aca="false" t="array" ref="AX23:AX23">IF(COLUMN() - ($E23 + 5) &lt; 0, 0,
  IF(COLUMN() - ($E23 + 5) = 0, $F23,
    AW23 * (1 - IFERROR(INDEX('Inputs &amp; Assuptions'!$B$13:$B$72, COLUMN() - ($E23 + 5)), 0))
  )
)</f>
        <v>1866.97056681476</v>
      </c>
      <c r="AY23" s="80" t="n">
        <f aca="false" t="array" ref="AY23:AY23">IF(COLUMN() - ($E23 + 5) &lt; 0, 0,
  IF(COLUMN() - ($E23 + 5) = 0, $F23,
    AX23 * (1 - IFERROR(INDEX('Inputs &amp; Assuptions'!$B$13:$B$72, COLUMN() - ($E23 + 5)), 0))
  )
)</f>
        <v>1848.30086114661</v>
      </c>
      <c r="AZ23" s="80" t="n">
        <f aca="false" t="array" ref="AZ23:AZ23">IF(COLUMN() - ($E23 + 5) &lt; 0, 0,
  IF(COLUMN() - ($E23 + 5) = 0, $F23,
    AY23 * (1 - IFERROR(INDEX('Inputs &amp; Assuptions'!$B$13:$B$72, COLUMN() - ($E23 + 5)), 0))
  )
)</f>
        <v>1829.81785253515</v>
      </c>
      <c r="BA23" s="80" t="n">
        <f aca="false" t="array" ref="BA23:BA23">IF(COLUMN() - ($E23 + 5) &lt; 0, 0,
  IF(COLUMN() - ($E23 + 5) = 0, $F23,
    AZ23 * (1 - IFERROR(INDEX('Inputs &amp; Assuptions'!$B$13:$B$72, COLUMN() - ($E23 + 5)), 0))
  )
)</f>
        <v>1811.51967400979</v>
      </c>
      <c r="BB23" s="80" t="n">
        <f aca="false" t="array" ref="BB23:BB23">IF(COLUMN() - ($E23 + 5) &lt; 0, 0,
  IF(COLUMN() - ($E23 + 5) = 0, $F23,
    BA23 * (1 - IFERROR(INDEX('Inputs &amp; Assuptions'!$B$13:$B$72, COLUMN() - ($E23 + 5)), 0))
  )
)</f>
        <v>1793.4044772697</v>
      </c>
      <c r="BC23" s="80" t="n">
        <f aca="false" t="array" ref="BC23:BC23">IF(COLUMN() - ($E23 + 5) &lt; 0, 0,
  IF(COLUMN() - ($E23 + 5) = 0, $F23,
    BB23 * (1 - IFERROR(INDEX('Inputs &amp; Assuptions'!$B$13:$B$72, COLUMN() - ($E23 + 5)), 0))
  )
)</f>
        <v>1775.470432497</v>
      </c>
      <c r="BD23" s="80" t="n">
        <f aca="false" t="array" ref="BD23:BD23">IF(COLUMN() - ($E23 + 5) &lt; 0, 0,
  IF(COLUMN() - ($E23 + 5) = 0, $F23,
    BC23 * (1 - IFERROR(INDEX('Inputs &amp; Assuptions'!$B$13:$B$72, COLUMN() - ($E23 + 5)), 0))
  )
)</f>
        <v>1757.71572817203</v>
      </c>
      <c r="BE23" s="80" t="n">
        <f aca="false" t="array" ref="BE23:BE23">IF(COLUMN() - ($E23 + 5) &lt; 0, 0,
  IF(COLUMN() - ($E23 + 5) = 0, $F23,
    BD23 * (1 - IFERROR(INDEX('Inputs &amp; Assuptions'!$B$13:$B$72, COLUMN() - ($E23 + 5)), 0))
  )
)</f>
        <v>1740.13857089031</v>
      </c>
      <c r="BF23" s="80" t="n">
        <f aca="false" t="array" ref="BF23:BF23">IF(COLUMN() - ($E23 + 5) &lt; 0, 0,
  IF(COLUMN() - ($E23 + 5) = 0, $F23,
    BE23 * (1 - IFERROR(INDEX('Inputs &amp; Assuptions'!$B$13:$B$72, COLUMN() - ($E23 + 5)), 0))
  )
)</f>
        <v>1722.73718518141</v>
      </c>
      <c r="BG23" s="80" t="n">
        <f aca="false" t="array" ref="BG23:BG23">IF(COLUMN() - ($E23 + 5) &lt; 0, 0,
  IF(COLUMN() - ($E23 + 5) = 0, $F23,
    BF23 * (1 - IFERROR(INDEX('Inputs &amp; Assuptions'!$B$13:$B$72, COLUMN() - ($E23 + 5)), 0))
  )
)</f>
        <v>1705.50981332959</v>
      </c>
      <c r="BH23" s="80" t="n">
        <f aca="false" t="array" ref="BH23:BH23">IF(COLUMN() - ($E23 + 5) &lt; 0, 0,
  IF(COLUMN() - ($E23 + 5) = 0, $F23,
    BG23 * (1 - IFERROR(INDEX('Inputs &amp; Assuptions'!$B$13:$B$72, COLUMN() - ($E23 + 5)), 0))
  )
)</f>
        <v>1688.4547151963</v>
      </c>
      <c r="BI23" s="80" t="n">
        <f aca="false" t="array" ref="BI23:BI23">IF(COLUMN() - ($E23 + 5) &lt; 0, 0,
  IF(COLUMN() - ($E23 + 5) = 0, $F23,
    BH23 * (1 - IFERROR(INDEX('Inputs &amp; Assuptions'!$B$13:$B$72, COLUMN() - ($E23 + 5)), 0))
  )
)</f>
        <v>1671.57016804433</v>
      </c>
      <c r="BJ23" s="80" t="n">
        <f aca="false" t="array" ref="BJ23:BJ23">IF(COLUMN() - ($E23 + 5) &lt; 0, 0,
  IF(COLUMN() - ($E23 + 5) = 0, $F23,
    BI23 * (1 - IFERROR(INDEX('Inputs &amp; Assuptions'!$B$13:$B$72, COLUMN() - ($E23 + 5)), 0))
  )
)</f>
        <v>1654.85446636389</v>
      </c>
      <c r="BK23" s="80" t="n">
        <f aca="false" t="array" ref="BK23:BK23">IF(COLUMN() - ($E23 + 5) &lt; 0, 0,
  IF(COLUMN() - ($E23 + 5) = 0, $F23,
    BJ23 * (1 - IFERROR(INDEX('Inputs &amp; Assuptions'!$B$13:$B$72, COLUMN() - ($E23 + 5)), 0))
  )
)</f>
        <v>1638.30592170025</v>
      </c>
      <c r="BL23" s="80" t="n">
        <f aca="false" t="array" ref="BL23:BL23">IF(COLUMN() - ($E23 + 5) &lt; 0, 0,
  IF(COLUMN() - ($E23 + 5) = 0, $F23,
    BK23 * (1 - IFERROR(INDEX('Inputs &amp; Assuptions'!$B$13:$B$72, COLUMN() - ($E23 + 5)), 0))
  )
)</f>
        <v>1621.92286248325</v>
      </c>
      <c r="BM23" s="81" t="n">
        <f aca="false" t="array" ref="BM23:BM23">IF(COLUMN() - ($E23 + 5) &lt; 0, 0,
  IF(COLUMN() - ($E23 + 5) = 0, $F23,
    BL23 * (1 - IFERROR(INDEX('Inputs &amp; Assuptions'!$B$13:$B$72, COLUMN() - ($E23 + 5)), 0))
  )
)</f>
        <v>1605.70363385842</v>
      </c>
      <c r="BN23" s="76"/>
    </row>
    <row r="24" customFormat="false" ht="14.25" hidden="false" customHeight="false" outlineLevel="0" collapsed="false">
      <c r="A24" s="29" t="n">
        <f aca="false">A23+1</f>
        <v>19</v>
      </c>
      <c r="B24" s="77" t="n">
        <f aca="false">IF(MOD($A24-1, 12) = 0, $B23 * 1.05, $B23)</f>
        <v>6300</v>
      </c>
      <c r="C24" s="78" t="n">
        <f aca="false">$B24*(1-'Inputs &amp; Assuptions'!$B$12)</f>
        <v>3654</v>
      </c>
      <c r="E24" s="29" t="n">
        <f aca="false">E23+1</f>
        <v>19</v>
      </c>
      <c r="F24" s="79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 t="n">
        <f aca="false">+$C24</f>
        <v>3654</v>
      </c>
      <c r="Y24" s="80" t="n">
        <f aca="false" t="array" ref="Y24:Y24">IF(COLUMN() - ($E24 + 5) &lt; 0, 0,
  IF(COLUMN() - ($E24 + 5) = 0, $F24,
    X24 * (1 - IFERROR(INDEX('Inputs &amp; Assuptions'!$B$13:$B$72, COLUMN() - ($E24 + 5)), 0))
  )
)</f>
        <v>3270.33</v>
      </c>
      <c r="Z24" s="80" t="n">
        <f aca="false" t="array" ref="Z24:Z24">IF(COLUMN() - ($E24 + 5) &lt; 0, 0,
  IF(COLUMN() - ($E24 + 5) = 0, $F24,
    Y24 * (1 - IFERROR(INDEX('Inputs &amp; Assuptions'!$B$13:$B$72, COLUMN() - ($E24 + 5)), 0))
  )
)</f>
        <v>3008.7036</v>
      </c>
      <c r="AA24" s="80" t="n">
        <f aca="false" t="array" ref="AA24:AA24">IF(COLUMN() - ($E24 + 5) &lt; 0, 0,
  IF(COLUMN() - ($E24 + 5) = 0, $F24,
    Z24 * (1 - IFERROR(INDEX('Inputs &amp; Assuptions'!$B$13:$B$72, COLUMN() - ($E24 + 5)), 0))
  )
)</f>
        <v>2843.224902</v>
      </c>
      <c r="AB24" s="80" t="n">
        <f aca="false" t="array" ref="AB24:AB24">IF(COLUMN() - ($E24 + 5) &lt; 0, 0,
  IF(COLUMN() - ($E24 + 5) = 0, $F24,
    AA24 * (1 - IFERROR(INDEX('Inputs &amp; Assuptions'!$B$13:$B$72, COLUMN() - ($E24 + 5)), 0))
  )
)</f>
        <v>2701.0636569</v>
      </c>
      <c r="AC24" s="80" t="n">
        <f aca="false" t="array" ref="AC24:AC24">IF(COLUMN() - ($E24 + 5) &lt; 0, 0,
  IF(COLUMN() - ($E24 + 5) = 0, $F24,
    AB24 * (1 - IFERROR(INDEX('Inputs &amp; Assuptions'!$B$13:$B$72, COLUMN() - ($E24 + 5)), 0))
  )
)</f>
        <v>2579.5157923395</v>
      </c>
      <c r="AD24" s="80" t="n">
        <f aca="false" t="array" ref="AD24:AD24">IF(COLUMN() - ($E24 + 5) &lt; 0, 0,
  IF(COLUMN() - ($E24 + 5) = 0, $F24,
    AC24 * (1 - IFERROR(INDEX('Inputs &amp; Assuptions'!$B$13:$B$72, COLUMN() - ($E24 + 5)), 0))
  )
)</f>
        <v>2476.33516064592</v>
      </c>
      <c r="AE24" s="80" t="n">
        <f aca="false" t="array" ref="AE24:AE24">IF(COLUMN() - ($E24 + 5) &lt; 0, 0,
  IF(COLUMN() - ($E24 + 5) = 0, $F24,
    AD24 * (1 - IFERROR(INDEX('Inputs &amp; Assuptions'!$B$13:$B$72, COLUMN() - ($E24 + 5)), 0))
  )
)</f>
        <v>2389.66343002331</v>
      </c>
      <c r="AF24" s="80" t="n">
        <f aca="false" t="array" ref="AF24:AF24">IF(COLUMN() - ($E24 + 5) &lt; 0, 0,
  IF(COLUMN() - ($E24 + 5) = 0, $F24,
    AE24 * (1 - IFERROR(INDEX('Inputs &amp; Assuptions'!$B$13:$B$72, COLUMN() - ($E24 + 5)), 0))
  )
)</f>
        <v>2317.97352712261</v>
      </c>
      <c r="AG24" s="80" t="n">
        <f aca="false" t="array" ref="AG24:AG24">IF(COLUMN() - ($E24 + 5) &lt; 0, 0,
  IF(COLUMN() - ($E24 + 5) = 0, $F24,
    AF24 * (1 - IFERROR(INDEX('Inputs &amp; Assuptions'!$B$13:$B$72, COLUMN() - ($E24 + 5)), 0))
  )
)</f>
        <v>2260.02418894455</v>
      </c>
      <c r="AH24" s="80" t="n">
        <f aca="false" t="array" ref="AH24:AH24">IF(COLUMN() - ($E24 + 5) &lt; 0, 0,
  IF(COLUMN() - ($E24 + 5) = 0, $F24,
    AG24 * (1 - IFERROR(INDEX('Inputs &amp; Assuptions'!$B$13:$B$72, COLUMN() - ($E24 + 5)), 0))
  )
)</f>
        <v>2214.82370516566</v>
      </c>
      <c r="AI24" s="80" t="n">
        <f aca="false" t="array" ref="AI24:AI24">IF(COLUMN() - ($E24 + 5) &lt; 0, 0,
  IF(COLUMN() - ($E24 + 5) = 0, $F24,
    AH24 * (1 - IFERROR(INDEX('Inputs &amp; Assuptions'!$B$13:$B$72, COLUMN() - ($E24 + 5)), 0))
  )
)</f>
        <v>2192.675468114</v>
      </c>
      <c r="AJ24" s="80" t="n">
        <f aca="false" t="array" ref="AJ24:AJ24">IF(COLUMN() - ($E24 + 5) &lt; 0, 0,
  IF(COLUMN() - ($E24 + 5) = 0, $F24,
    AI24 * (1 - IFERROR(INDEX('Inputs &amp; Assuptions'!$B$13:$B$72, COLUMN() - ($E24 + 5)), 0))
  )
)</f>
        <v>2170.74871343286</v>
      </c>
      <c r="AK24" s="80" t="n">
        <f aca="false" t="array" ref="AK24:AK24">IF(COLUMN() - ($E24 + 5) &lt; 0, 0,
  IF(COLUMN() - ($E24 + 5) = 0, $F24,
    AJ24 * (1 - IFERROR(INDEX('Inputs &amp; Assuptions'!$B$13:$B$72, COLUMN() - ($E24 + 5)), 0))
  )
)</f>
        <v>2149.04122629853</v>
      </c>
      <c r="AL24" s="80" t="n">
        <f aca="false" t="array" ref="AL24:AL24">IF(COLUMN() - ($E24 + 5) &lt; 0, 0,
  IF(COLUMN() - ($E24 + 5) = 0, $F24,
    AK24 * (1 - IFERROR(INDEX('Inputs &amp; Assuptions'!$B$13:$B$72, COLUMN() - ($E24 + 5)), 0))
  )
)</f>
        <v>2127.55081403555</v>
      </c>
      <c r="AM24" s="80" t="n">
        <f aca="false" t="array" ref="AM24:AM24">IF(COLUMN() - ($E24 + 5) &lt; 0, 0,
  IF(COLUMN() - ($E24 + 5) = 0, $F24,
    AL24 * (1 - IFERROR(INDEX('Inputs &amp; Assuptions'!$B$13:$B$72, COLUMN() - ($E24 + 5)), 0))
  )
)</f>
        <v>2106.27530589519</v>
      </c>
      <c r="AN24" s="80" t="n">
        <f aca="false" t="array" ref="AN24:AN24">IF(COLUMN() - ($E24 + 5) &lt; 0, 0,
  IF(COLUMN() - ($E24 + 5) = 0, $F24,
    AM24 * (1 - IFERROR(INDEX('Inputs &amp; Assuptions'!$B$13:$B$72, COLUMN() - ($E24 + 5)), 0))
  )
)</f>
        <v>2085.21255283624</v>
      </c>
      <c r="AO24" s="80" t="n">
        <f aca="false" t="array" ref="AO24:AO24">IF(COLUMN() - ($E24 + 5) &lt; 0, 0,
  IF(COLUMN() - ($E24 + 5) = 0, $F24,
    AN24 * (1 - IFERROR(INDEX('Inputs &amp; Assuptions'!$B$13:$B$72, COLUMN() - ($E24 + 5)), 0))
  )
)</f>
        <v>2064.36042730788</v>
      </c>
      <c r="AP24" s="80" t="n">
        <f aca="false" t="array" ref="AP24:AP24">IF(COLUMN() - ($E24 + 5) &lt; 0, 0,
  IF(COLUMN() - ($E24 + 5) = 0, $F24,
    AO24 * (1 - IFERROR(INDEX('Inputs &amp; Assuptions'!$B$13:$B$72, COLUMN() - ($E24 + 5)), 0))
  )
)</f>
        <v>2043.7168230348</v>
      </c>
      <c r="AQ24" s="80" t="n">
        <f aca="false" t="array" ref="AQ24:AQ24">IF(COLUMN() - ($E24 + 5) &lt; 0, 0,
  IF(COLUMN() - ($E24 + 5) = 0, $F24,
    AP24 * (1 - IFERROR(INDEX('Inputs &amp; Assuptions'!$B$13:$B$72, COLUMN() - ($E24 + 5)), 0))
  )
)</f>
        <v>2023.27965480445</v>
      </c>
      <c r="AR24" s="80" t="n">
        <f aca="false" t="array" ref="AR24:AR24">IF(COLUMN() - ($E24 + 5) &lt; 0, 0,
  IF(COLUMN() - ($E24 + 5) = 0, $F24,
    AQ24 * (1 - IFERROR(INDEX('Inputs &amp; Assuptions'!$B$13:$B$72, COLUMN() - ($E24 + 5)), 0))
  )
)</f>
        <v>2003.04685825641</v>
      </c>
      <c r="AS24" s="80" t="n">
        <f aca="false" t="array" ref="AS24:AS24">IF(COLUMN() - ($E24 + 5) &lt; 0, 0,
  IF(COLUMN() - ($E24 + 5) = 0, $F24,
    AR24 * (1 - IFERROR(INDEX('Inputs &amp; Assuptions'!$B$13:$B$72, COLUMN() - ($E24 + 5)), 0))
  )
)</f>
        <v>1983.01638967384</v>
      </c>
      <c r="AT24" s="80" t="n">
        <f aca="false" t="array" ref="AT24:AT24">IF(COLUMN() - ($E24 + 5) &lt; 0, 0,
  IF(COLUMN() - ($E24 + 5) = 0, $F24,
    AS24 * (1 - IFERROR(INDEX('Inputs &amp; Assuptions'!$B$13:$B$72, COLUMN() - ($E24 + 5)), 0))
  )
)</f>
        <v>1963.1862257771</v>
      </c>
      <c r="AU24" s="80" t="n">
        <f aca="false" t="array" ref="AU24:AU24">IF(COLUMN() - ($E24 + 5) &lt; 0, 0,
  IF(COLUMN() - ($E24 + 5) = 0, $F24,
    AT24 * (1 - IFERROR(INDEX('Inputs &amp; Assuptions'!$B$13:$B$72, COLUMN() - ($E24 + 5)), 0))
  )
)</f>
        <v>1943.55436351933</v>
      </c>
      <c r="AV24" s="80" t="n">
        <f aca="false" t="array" ref="AV24:AV24">IF(COLUMN() - ($E24 + 5) &lt; 0, 0,
  IF(COLUMN() - ($E24 + 5) = 0, $F24,
    AU24 * (1 - IFERROR(INDEX('Inputs &amp; Assuptions'!$B$13:$B$72, COLUMN() - ($E24 + 5)), 0))
  )
)</f>
        <v>1924.11881988414</v>
      </c>
      <c r="AW24" s="80" t="n">
        <f aca="false" t="array" ref="AW24:AW24">IF(COLUMN() - ($E24 + 5) &lt; 0, 0,
  IF(COLUMN() - ($E24 + 5) = 0, $F24,
    AV24 * (1 - IFERROR(INDEX('Inputs &amp; Assuptions'!$B$13:$B$72, COLUMN() - ($E24 + 5)), 0))
  )
)</f>
        <v>1904.8776316853</v>
      </c>
      <c r="AX24" s="80" t="n">
        <f aca="false" t="array" ref="AX24:AX24">IF(COLUMN() - ($E24 + 5) &lt; 0, 0,
  IF(COLUMN() - ($E24 + 5) = 0, $F24,
    AW24 * (1 - IFERROR(INDEX('Inputs &amp; Assuptions'!$B$13:$B$72, COLUMN() - ($E24 + 5)), 0))
  )
)</f>
        <v>1885.82885536844</v>
      </c>
      <c r="AY24" s="80" t="n">
        <f aca="false" t="array" ref="AY24:AY24">IF(COLUMN() - ($E24 + 5) &lt; 0, 0,
  IF(COLUMN() - ($E24 + 5) = 0, $F24,
    AX24 * (1 - IFERROR(INDEX('Inputs &amp; Assuptions'!$B$13:$B$72, COLUMN() - ($E24 + 5)), 0))
  )
)</f>
        <v>1866.97056681476</v>
      </c>
      <c r="AZ24" s="80" t="n">
        <f aca="false" t="array" ref="AZ24:AZ24">IF(COLUMN() - ($E24 + 5) &lt; 0, 0,
  IF(COLUMN() - ($E24 + 5) = 0, $F24,
    AY24 * (1 - IFERROR(INDEX('Inputs &amp; Assuptions'!$B$13:$B$72, COLUMN() - ($E24 + 5)), 0))
  )
)</f>
        <v>1848.30086114661</v>
      </c>
      <c r="BA24" s="80" t="n">
        <f aca="false" t="array" ref="BA24:BA24">IF(COLUMN() - ($E24 + 5) &lt; 0, 0,
  IF(COLUMN() - ($E24 + 5) = 0, $F24,
    AZ24 * (1 - IFERROR(INDEX('Inputs &amp; Assuptions'!$B$13:$B$72, COLUMN() - ($E24 + 5)), 0))
  )
)</f>
        <v>1829.81785253515</v>
      </c>
      <c r="BB24" s="80" t="n">
        <f aca="false" t="array" ref="BB24:BB24">IF(COLUMN() - ($E24 + 5) &lt; 0, 0,
  IF(COLUMN() - ($E24 + 5) = 0, $F24,
    BA24 * (1 - IFERROR(INDEX('Inputs &amp; Assuptions'!$B$13:$B$72, COLUMN() - ($E24 + 5)), 0))
  )
)</f>
        <v>1811.51967400979</v>
      </c>
      <c r="BC24" s="80" t="n">
        <f aca="false" t="array" ref="BC24:BC24">IF(COLUMN() - ($E24 + 5) &lt; 0, 0,
  IF(COLUMN() - ($E24 + 5) = 0, $F24,
    BB24 * (1 - IFERROR(INDEX('Inputs &amp; Assuptions'!$B$13:$B$72, COLUMN() - ($E24 + 5)), 0))
  )
)</f>
        <v>1793.4044772697</v>
      </c>
      <c r="BD24" s="80" t="n">
        <f aca="false" t="array" ref="BD24:BD24">IF(COLUMN() - ($E24 + 5) &lt; 0, 0,
  IF(COLUMN() - ($E24 + 5) = 0, $F24,
    BC24 * (1 - IFERROR(INDEX('Inputs &amp; Assuptions'!$B$13:$B$72, COLUMN() - ($E24 + 5)), 0))
  )
)</f>
        <v>1775.470432497</v>
      </c>
      <c r="BE24" s="80" t="n">
        <f aca="false" t="array" ref="BE24:BE24">IF(COLUMN() - ($E24 + 5) &lt; 0, 0,
  IF(COLUMN() - ($E24 + 5) = 0, $F24,
    BD24 * (1 - IFERROR(INDEX('Inputs &amp; Assuptions'!$B$13:$B$72, COLUMN() - ($E24 + 5)), 0))
  )
)</f>
        <v>1757.71572817203</v>
      </c>
      <c r="BF24" s="80" t="n">
        <f aca="false" t="array" ref="BF24:BF24">IF(COLUMN() - ($E24 + 5) &lt; 0, 0,
  IF(COLUMN() - ($E24 + 5) = 0, $F24,
    BE24 * (1 - IFERROR(INDEX('Inputs &amp; Assuptions'!$B$13:$B$72, COLUMN() - ($E24 + 5)), 0))
  )
)</f>
        <v>1740.13857089031</v>
      </c>
      <c r="BG24" s="80" t="n">
        <f aca="false" t="array" ref="BG24:BG24">IF(COLUMN() - ($E24 + 5) &lt; 0, 0,
  IF(COLUMN() - ($E24 + 5) = 0, $F24,
    BF24 * (1 - IFERROR(INDEX('Inputs &amp; Assuptions'!$B$13:$B$72, COLUMN() - ($E24 + 5)), 0))
  )
)</f>
        <v>1722.73718518141</v>
      </c>
      <c r="BH24" s="80" t="n">
        <f aca="false" t="array" ref="BH24:BH24">IF(COLUMN() - ($E24 + 5) &lt; 0, 0,
  IF(COLUMN() - ($E24 + 5) = 0, $F24,
    BG24 * (1 - IFERROR(INDEX('Inputs &amp; Assuptions'!$B$13:$B$72, COLUMN() - ($E24 + 5)), 0))
  )
)</f>
        <v>1705.50981332959</v>
      </c>
      <c r="BI24" s="80" t="n">
        <f aca="false" t="array" ref="BI24:BI24">IF(COLUMN() - ($E24 + 5) &lt; 0, 0,
  IF(COLUMN() - ($E24 + 5) = 0, $F24,
    BH24 * (1 - IFERROR(INDEX('Inputs &amp; Assuptions'!$B$13:$B$72, COLUMN() - ($E24 + 5)), 0))
  )
)</f>
        <v>1688.4547151963</v>
      </c>
      <c r="BJ24" s="80" t="n">
        <f aca="false" t="array" ref="BJ24:BJ24">IF(COLUMN() - ($E24 + 5) &lt; 0, 0,
  IF(COLUMN() - ($E24 + 5) = 0, $F24,
    BI24 * (1 - IFERROR(INDEX('Inputs &amp; Assuptions'!$B$13:$B$72, COLUMN() - ($E24 + 5)), 0))
  )
)</f>
        <v>1671.57016804433</v>
      </c>
      <c r="BK24" s="80" t="n">
        <f aca="false" t="array" ref="BK24:BK24">IF(COLUMN() - ($E24 + 5) &lt; 0, 0,
  IF(COLUMN() - ($E24 + 5) = 0, $F24,
    BJ24 * (1 - IFERROR(INDEX('Inputs &amp; Assuptions'!$B$13:$B$72, COLUMN() - ($E24 + 5)), 0))
  )
)</f>
        <v>1654.85446636389</v>
      </c>
      <c r="BL24" s="80" t="n">
        <f aca="false" t="array" ref="BL24:BL24">IF(COLUMN() - ($E24 + 5) &lt; 0, 0,
  IF(COLUMN() - ($E24 + 5) = 0, $F24,
    BK24 * (1 - IFERROR(INDEX('Inputs &amp; Assuptions'!$B$13:$B$72, COLUMN() - ($E24 + 5)), 0))
  )
)</f>
        <v>1638.30592170025</v>
      </c>
      <c r="BM24" s="81" t="n">
        <f aca="false" t="array" ref="BM24:BM24">IF(COLUMN() - ($E24 + 5) &lt; 0, 0,
  IF(COLUMN() - ($E24 + 5) = 0, $F24,
    BL24 * (1 - IFERROR(INDEX('Inputs &amp; Assuptions'!$B$13:$B$72, COLUMN() - ($E24 + 5)), 0))
  )
)</f>
        <v>1621.92286248325</v>
      </c>
      <c r="BN24" s="76"/>
    </row>
    <row r="25" customFormat="false" ht="14.25" hidden="false" customHeight="false" outlineLevel="0" collapsed="false">
      <c r="A25" s="29" t="n">
        <f aca="false">A24+1</f>
        <v>20</v>
      </c>
      <c r="B25" s="77" t="n">
        <f aca="false">IF(MOD($A25-1, 12) = 0, $B24 * 1.05, $B24)</f>
        <v>6300</v>
      </c>
      <c r="C25" s="78" t="n">
        <f aca="false">$B25*(1-'Inputs &amp; Assuptions'!$B$12)</f>
        <v>3654</v>
      </c>
      <c r="E25" s="29" t="n">
        <f aca="false">E24+1</f>
        <v>20</v>
      </c>
      <c r="F25" s="7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 t="n">
        <f aca="false">+$C25</f>
        <v>3654</v>
      </c>
      <c r="Z25" s="80" t="n">
        <f aca="false" t="array" ref="Z25:Z25">IF(COLUMN() - ($E25 + 5) &lt; 0, 0,
  IF(COLUMN() - ($E25 + 5) = 0, $F25,
    Y25 * (1 - IFERROR(INDEX('Inputs &amp; Assuptions'!$B$13:$B$72, COLUMN() - ($E25 + 5)), 0))
  )
)</f>
        <v>3270.33</v>
      </c>
      <c r="AA25" s="80" t="n">
        <f aca="false" t="array" ref="AA25:AA25">IF(COLUMN() - ($E25 + 5) &lt; 0, 0,
  IF(COLUMN() - ($E25 + 5) = 0, $F25,
    Z25 * (1 - IFERROR(INDEX('Inputs &amp; Assuptions'!$B$13:$B$72, COLUMN() - ($E25 + 5)), 0))
  )
)</f>
        <v>3008.7036</v>
      </c>
      <c r="AB25" s="80" t="n">
        <f aca="false" t="array" ref="AB25:AB25">IF(COLUMN() - ($E25 + 5) &lt; 0, 0,
  IF(COLUMN() - ($E25 + 5) = 0, $F25,
    AA25 * (1 - IFERROR(INDEX('Inputs &amp; Assuptions'!$B$13:$B$72, COLUMN() - ($E25 + 5)), 0))
  )
)</f>
        <v>2843.224902</v>
      </c>
      <c r="AC25" s="80" t="n">
        <f aca="false" t="array" ref="AC25:AC25">IF(COLUMN() - ($E25 + 5) &lt; 0, 0,
  IF(COLUMN() - ($E25 + 5) = 0, $F25,
    AB25 * (1 - IFERROR(INDEX('Inputs &amp; Assuptions'!$B$13:$B$72, COLUMN() - ($E25 + 5)), 0))
  )
)</f>
        <v>2701.0636569</v>
      </c>
      <c r="AD25" s="80" t="n">
        <f aca="false" t="array" ref="AD25:AD25">IF(COLUMN() - ($E25 + 5) &lt; 0, 0,
  IF(COLUMN() - ($E25 + 5) = 0, $F25,
    AC25 * (1 - IFERROR(INDEX('Inputs &amp; Assuptions'!$B$13:$B$72, COLUMN() - ($E25 + 5)), 0))
  )
)</f>
        <v>2579.5157923395</v>
      </c>
      <c r="AE25" s="80" t="n">
        <f aca="false" t="array" ref="AE25:AE25">IF(COLUMN() - ($E25 + 5) &lt; 0, 0,
  IF(COLUMN() - ($E25 + 5) = 0, $F25,
    AD25 * (1 - IFERROR(INDEX('Inputs &amp; Assuptions'!$B$13:$B$72, COLUMN() - ($E25 + 5)), 0))
  )
)</f>
        <v>2476.33516064592</v>
      </c>
      <c r="AF25" s="80" t="n">
        <f aca="false" t="array" ref="AF25:AF25">IF(COLUMN() - ($E25 + 5) &lt; 0, 0,
  IF(COLUMN() - ($E25 + 5) = 0, $F25,
    AE25 * (1 - IFERROR(INDEX('Inputs &amp; Assuptions'!$B$13:$B$72, COLUMN() - ($E25 + 5)), 0))
  )
)</f>
        <v>2389.66343002331</v>
      </c>
      <c r="AG25" s="80" t="n">
        <f aca="false" t="array" ref="AG25:AG25">IF(COLUMN() - ($E25 + 5) &lt; 0, 0,
  IF(COLUMN() - ($E25 + 5) = 0, $F25,
    AF25 * (1 - IFERROR(INDEX('Inputs &amp; Assuptions'!$B$13:$B$72, COLUMN() - ($E25 + 5)), 0))
  )
)</f>
        <v>2317.97352712261</v>
      </c>
      <c r="AH25" s="80" t="n">
        <f aca="false" t="array" ref="AH25:AH25">IF(COLUMN() - ($E25 + 5) &lt; 0, 0,
  IF(COLUMN() - ($E25 + 5) = 0, $F25,
    AG25 * (1 - IFERROR(INDEX('Inputs &amp; Assuptions'!$B$13:$B$72, COLUMN() - ($E25 + 5)), 0))
  )
)</f>
        <v>2260.02418894455</v>
      </c>
      <c r="AI25" s="80" t="n">
        <f aca="false" t="array" ref="AI25:AI25">IF(COLUMN() - ($E25 + 5) &lt; 0, 0,
  IF(COLUMN() - ($E25 + 5) = 0, $F25,
    AH25 * (1 - IFERROR(INDEX('Inputs &amp; Assuptions'!$B$13:$B$72, COLUMN() - ($E25 + 5)), 0))
  )
)</f>
        <v>2214.82370516566</v>
      </c>
      <c r="AJ25" s="80" t="n">
        <f aca="false" t="array" ref="AJ25:AJ25">IF(COLUMN() - ($E25 + 5) &lt; 0, 0,
  IF(COLUMN() - ($E25 + 5) = 0, $F25,
    AI25 * (1 - IFERROR(INDEX('Inputs &amp; Assuptions'!$B$13:$B$72, COLUMN() - ($E25 + 5)), 0))
  )
)</f>
        <v>2192.675468114</v>
      </c>
      <c r="AK25" s="80" t="n">
        <f aca="false" t="array" ref="AK25:AK25">IF(COLUMN() - ($E25 + 5) &lt; 0, 0,
  IF(COLUMN() - ($E25 + 5) = 0, $F25,
    AJ25 * (1 - IFERROR(INDEX('Inputs &amp; Assuptions'!$B$13:$B$72, COLUMN() - ($E25 + 5)), 0))
  )
)</f>
        <v>2170.74871343286</v>
      </c>
      <c r="AL25" s="80" t="n">
        <f aca="false" t="array" ref="AL25:AL25">IF(COLUMN() - ($E25 + 5) &lt; 0, 0,
  IF(COLUMN() - ($E25 + 5) = 0, $F25,
    AK25 * (1 - IFERROR(INDEX('Inputs &amp; Assuptions'!$B$13:$B$72, COLUMN() - ($E25 + 5)), 0))
  )
)</f>
        <v>2149.04122629853</v>
      </c>
      <c r="AM25" s="80" t="n">
        <f aca="false" t="array" ref="AM25:AM25">IF(COLUMN() - ($E25 + 5) &lt; 0, 0,
  IF(COLUMN() - ($E25 + 5) = 0, $F25,
    AL25 * (1 - IFERROR(INDEX('Inputs &amp; Assuptions'!$B$13:$B$72, COLUMN() - ($E25 + 5)), 0))
  )
)</f>
        <v>2127.55081403555</v>
      </c>
      <c r="AN25" s="80" t="n">
        <f aca="false" t="array" ref="AN25:AN25">IF(COLUMN() - ($E25 + 5) &lt; 0, 0,
  IF(COLUMN() - ($E25 + 5) = 0, $F25,
    AM25 * (1 - IFERROR(INDEX('Inputs &amp; Assuptions'!$B$13:$B$72, COLUMN() - ($E25 + 5)), 0))
  )
)</f>
        <v>2106.27530589519</v>
      </c>
      <c r="AO25" s="80" t="n">
        <f aca="false" t="array" ref="AO25:AO25">IF(COLUMN() - ($E25 + 5) &lt; 0, 0,
  IF(COLUMN() - ($E25 + 5) = 0, $F25,
    AN25 * (1 - IFERROR(INDEX('Inputs &amp; Assuptions'!$B$13:$B$72, COLUMN() - ($E25 + 5)), 0))
  )
)</f>
        <v>2085.21255283624</v>
      </c>
      <c r="AP25" s="80" t="n">
        <f aca="false" t="array" ref="AP25:AP25">IF(COLUMN() - ($E25 + 5) &lt; 0, 0,
  IF(COLUMN() - ($E25 + 5) = 0, $F25,
    AO25 * (1 - IFERROR(INDEX('Inputs &amp; Assuptions'!$B$13:$B$72, COLUMN() - ($E25 + 5)), 0))
  )
)</f>
        <v>2064.36042730788</v>
      </c>
      <c r="AQ25" s="80" t="n">
        <f aca="false" t="array" ref="AQ25:AQ25">IF(COLUMN() - ($E25 + 5) &lt; 0, 0,
  IF(COLUMN() - ($E25 + 5) = 0, $F25,
    AP25 * (1 - IFERROR(INDEX('Inputs &amp; Assuptions'!$B$13:$B$72, COLUMN() - ($E25 + 5)), 0))
  )
)</f>
        <v>2043.7168230348</v>
      </c>
      <c r="AR25" s="80" t="n">
        <f aca="false" t="array" ref="AR25:AR25">IF(COLUMN() - ($E25 + 5) &lt; 0, 0,
  IF(COLUMN() - ($E25 + 5) = 0, $F25,
    AQ25 * (1 - IFERROR(INDEX('Inputs &amp; Assuptions'!$B$13:$B$72, COLUMN() - ($E25 + 5)), 0))
  )
)</f>
        <v>2023.27965480445</v>
      </c>
      <c r="AS25" s="80" t="n">
        <f aca="false" t="array" ref="AS25:AS25">IF(COLUMN() - ($E25 + 5) &lt; 0, 0,
  IF(COLUMN() - ($E25 + 5) = 0, $F25,
    AR25 * (1 - IFERROR(INDEX('Inputs &amp; Assuptions'!$B$13:$B$72, COLUMN() - ($E25 + 5)), 0))
  )
)</f>
        <v>2003.04685825641</v>
      </c>
      <c r="AT25" s="80" t="n">
        <f aca="false" t="array" ref="AT25:AT25">IF(COLUMN() - ($E25 + 5) &lt; 0, 0,
  IF(COLUMN() - ($E25 + 5) = 0, $F25,
    AS25 * (1 - IFERROR(INDEX('Inputs &amp; Assuptions'!$B$13:$B$72, COLUMN() - ($E25 + 5)), 0))
  )
)</f>
        <v>1983.01638967384</v>
      </c>
      <c r="AU25" s="80" t="n">
        <f aca="false" t="array" ref="AU25:AU25">IF(COLUMN() - ($E25 + 5) &lt; 0, 0,
  IF(COLUMN() - ($E25 + 5) = 0, $F25,
    AT25 * (1 - IFERROR(INDEX('Inputs &amp; Assuptions'!$B$13:$B$72, COLUMN() - ($E25 + 5)), 0))
  )
)</f>
        <v>1963.1862257771</v>
      </c>
      <c r="AV25" s="80" t="n">
        <f aca="false" t="array" ref="AV25:AV25">IF(COLUMN() - ($E25 + 5) &lt; 0, 0,
  IF(COLUMN() - ($E25 + 5) = 0, $F25,
    AU25 * (1 - IFERROR(INDEX('Inputs &amp; Assuptions'!$B$13:$B$72, COLUMN() - ($E25 + 5)), 0))
  )
)</f>
        <v>1943.55436351933</v>
      </c>
      <c r="AW25" s="80" t="n">
        <f aca="false" t="array" ref="AW25:AW25">IF(COLUMN() - ($E25 + 5) &lt; 0, 0,
  IF(COLUMN() - ($E25 + 5) = 0, $F25,
    AV25 * (1 - IFERROR(INDEX('Inputs &amp; Assuptions'!$B$13:$B$72, COLUMN() - ($E25 + 5)), 0))
  )
)</f>
        <v>1924.11881988414</v>
      </c>
      <c r="AX25" s="80" t="n">
        <f aca="false" t="array" ref="AX25:AX25">IF(COLUMN() - ($E25 + 5) &lt; 0, 0,
  IF(COLUMN() - ($E25 + 5) = 0, $F25,
    AW25 * (1 - IFERROR(INDEX('Inputs &amp; Assuptions'!$B$13:$B$72, COLUMN() - ($E25 + 5)), 0))
  )
)</f>
        <v>1904.8776316853</v>
      </c>
      <c r="AY25" s="80" t="n">
        <f aca="false" t="array" ref="AY25:AY25">IF(COLUMN() - ($E25 + 5) &lt; 0, 0,
  IF(COLUMN() - ($E25 + 5) = 0, $F25,
    AX25 * (1 - IFERROR(INDEX('Inputs &amp; Assuptions'!$B$13:$B$72, COLUMN() - ($E25 + 5)), 0))
  )
)</f>
        <v>1885.82885536844</v>
      </c>
      <c r="AZ25" s="80" t="n">
        <f aca="false" t="array" ref="AZ25:AZ25">IF(COLUMN() - ($E25 + 5) &lt; 0, 0,
  IF(COLUMN() - ($E25 + 5) = 0, $F25,
    AY25 * (1 - IFERROR(INDEX('Inputs &amp; Assuptions'!$B$13:$B$72, COLUMN() - ($E25 + 5)), 0))
  )
)</f>
        <v>1866.97056681476</v>
      </c>
      <c r="BA25" s="80" t="n">
        <f aca="false" t="array" ref="BA25:BA25">IF(COLUMN() - ($E25 + 5) &lt; 0, 0,
  IF(COLUMN() - ($E25 + 5) = 0, $F25,
    AZ25 * (1 - IFERROR(INDEX('Inputs &amp; Assuptions'!$B$13:$B$72, COLUMN() - ($E25 + 5)), 0))
  )
)</f>
        <v>1848.30086114661</v>
      </c>
      <c r="BB25" s="80" t="n">
        <f aca="false" t="array" ref="BB25:BB25">IF(COLUMN() - ($E25 + 5) &lt; 0, 0,
  IF(COLUMN() - ($E25 + 5) = 0, $F25,
    BA25 * (1 - IFERROR(INDEX('Inputs &amp; Assuptions'!$B$13:$B$72, COLUMN() - ($E25 + 5)), 0))
  )
)</f>
        <v>1829.81785253515</v>
      </c>
      <c r="BC25" s="80" t="n">
        <f aca="false" t="array" ref="BC25:BC25">IF(COLUMN() - ($E25 + 5) &lt; 0, 0,
  IF(COLUMN() - ($E25 + 5) = 0, $F25,
    BB25 * (1 - IFERROR(INDEX('Inputs &amp; Assuptions'!$B$13:$B$72, COLUMN() - ($E25 + 5)), 0))
  )
)</f>
        <v>1811.51967400979</v>
      </c>
      <c r="BD25" s="80" t="n">
        <f aca="false" t="array" ref="BD25:BD25">IF(COLUMN() - ($E25 + 5) &lt; 0, 0,
  IF(COLUMN() - ($E25 + 5) = 0, $F25,
    BC25 * (1 - IFERROR(INDEX('Inputs &amp; Assuptions'!$B$13:$B$72, COLUMN() - ($E25 + 5)), 0))
  )
)</f>
        <v>1793.4044772697</v>
      </c>
      <c r="BE25" s="80" t="n">
        <f aca="false" t="array" ref="BE25:BE25">IF(COLUMN() - ($E25 + 5) &lt; 0, 0,
  IF(COLUMN() - ($E25 + 5) = 0, $F25,
    BD25 * (1 - IFERROR(INDEX('Inputs &amp; Assuptions'!$B$13:$B$72, COLUMN() - ($E25 + 5)), 0))
  )
)</f>
        <v>1775.470432497</v>
      </c>
      <c r="BF25" s="80" t="n">
        <f aca="false" t="array" ref="BF25:BF25">IF(COLUMN() - ($E25 + 5) &lt; 0, 0,
  IF(COLUMN() - ($E25 + 5) = 0, $F25,
    BE25 * (1 - IFERROR(INDEX('Inputs &amp; Assuptions'!$B$13:$B$72, COLUMN() - ($E25 + 5)), 0))
  )
)</f>
        <v>1757.71572817203</v>
      </c>
      <c r="BG25" s="80" t="n">
        <f aca="false" t="array" ref="BG25:BG25">IF(COLUMN() - ($E25 + 5) &lt; 0, 0,
  IF(COLUMN() - ($E25 + 5) = 0, $F25,
    BF25 * (1 - IFERROR(INDEX('Inputs &amp; Assuptions'!$B$13:$B$72, COLUMN() - ($E25 + 5)), 0))
  )
)</f>
        <v>1740.13857089031</v>
      </c>
      <c r="BH25" s="80" t="n">
        <f aca="false" t="array" ref="BH25:BH25">IF(COLUMN() - ($E25 + 5) &lt; 0, 0,
  IF(COLUMN() - ($E25 + 5) = 0, $F25,
    BG25 * (1 - IFERROR(INDEX('Inputs &amp; Assuptions'!$B$13:$B$72, COLUMN() - ($E25 + 5)), 0))
  )
)</f>
        <v>1722.73718518141</v>
      </c>
      <c r="BI25" s="80" t="n">
        <f aca="false" t="array" ref="BI25:BI25">IF(COLUMN() - ($E25 + 5) &lt; 0, 0,
  IF(COLUMN() - ($E25 + 5) = 0, $F25,
    BH25 * (1 - IFERROR(INDEX('Inputs &amp; Assuptions'!$B$13:$B$72, COLUMN() - ($E25 + 5)), 0))
  )
)</f>
        <v>1705.50981332959</v>
      </c>
      <c r="BJ25" s="80" t="n">
        <f aca="false" t="array" ref="BJ25:BJ25">IF(COLUMN() - ($E25 + 5) &lt; 0, 0,
  IF(COLUMN() - ($E25 + 5) = 0, $F25,
    BI25 * (1 - IFERROR(INDEX('Inputs &amp; Assuptions'!$B$13:$B$72, COLUMN() - ($E25 + 5)), 0))
  )
)</f>
        <v>1688.4547151963</v>
      </c>
      <c r="BK25" s="80" t="n">
        <f aca="false" t="array" ref="BK25:BK25">IF(COLUMN() - ($E25 + 5) &lt; 0, 0,
  IF(COLUMN() - ($E25 + 5) = 0, $F25,
    BJ25 * (1 - IFERROR(INDEX('Inputs &amp; Assuptions'!$B$13:$B$72, COLUMN() - ($E25 + 5)), 0))
  )
)</f>
        <v>1671.57016804433</v>
      </c>
      <c r="BL25" s="80" t="n">
        <f aca="false" t="array" ref="BL25:BL25">IF(COLUMN() - ($E25 + 5) &lt; 0, 0,
  IF(COLUMN() - ($E25 + 5) = 0, $F25,
    BK25 * (1 - IFERROR(INDEX('Inputs &amp; Assuptions'!$B$13:$B$72, COLUMN() - ($E25 + 5)), 0))
  )
)</f>
        <v>1654.85446636389</v>
      </c>
      <c r="BM25" s="81" t="n">
        <f aca="false" t="array" ref="BM25:BM25">IF(COLUMN() - ($E25 + 5) &lt; 0, 0,
  IF(COLUMN() - ($E25 + 5) = 0, $F25,
    BL25 * (1 - IFERROR(INDEX('Inputs &amp; Assuptions'!$B$13:$B$72, COLUMN() - ($E25 + 5)), 0))
  )
)</f>
        <v>1638.30592170025</v>
      </c>
      <c r="BN25" s="76"/>
    </row>
    <row r="26" customFormat="false" ht="14.25" hidden="false" customHeight="false" outlineLevel="0" collapsed="false">
      <c r="A26" s="29" t="n">
        <f aca="false">A25+1</f>
        <v>21</v>
      </c>
      <c r="B26" s="77" t="n">
        <f aca="false">IF(MOD($A26-1, 12) = 0, $B25 * 1.05, $B25)</f>
        <v>6300</v>
      </c>
      <c r="C26" s="78" t="n">
        <f aca="false">$B26*(1-'Inputs &amp; Assuptions'!$B$12)</f>
        <v>3654</v>
      </c>
      <c r="E26" s="29" t="n">
        <f aca="false">E25+1</f>
        <v>21</v>
      </c>
      <c r="F26" s="79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 t="n">
        <f aca="false">+$C26</f>
        <v>3654</v>
      </c>
      <c r="AA26" s="80" t="n">
        <f aca="false" t="array" ref="AA26:AA26">IF(COLUMN() - ($E26 + 5) &lt; 0, 0,
  IF(COLUMN() - ($E26 + 5) = 0, $F26,
    Z26 * (1 - IFERROR(INDEX('Inputs &amp; Assuptions'!$B$13:$B$72, COLUMN() - ($E26 + 5)), 0))
  )
)</f>
        <v>3270.33</v>
      </c>
      <c r="AB26" s="80" t="n">
        <f aca="false" t="array" ref="AB26:AB26">IF(COLUMN() - ($E26 + 5) &lt; 0, 0,
  IF(COLUMN() - ($E26 + 5) = 0, $F26,
    AA26 * (1 - IFERROR(INDEX('Inputs &amp; Assuptions'!$B$13:$B$72, COLUMN() - ($E26 + 5)), 0))
  )
)</f>
        <v>3008.7036</v>
      </c>
      <c r="AC26" s="80" t="n">
        <f aca="false" t="array" ref="AC26:AC26">IF(COLUMN() - ($E26 + 5) &lt; 0, 0,
  IF(COLUMN() - ($E26 + 5) = 0, $F26,
    AB26 * (1 - IFERROR(INDEX('Inputs &amp; Assuptions'!$B$13:$B$72, COLUMN() - ($E26 + 5)), 0))
  )
)</f>
        <v>2843.224902</v>
      </c>
      <c r="AD26" s="80" t="n">
        <f aca="false" t="array" ref="AD26:AD26">IF(COLUMN() - ($E26 + 5) &lt; 0, 0,
  IF(COLUMN() - ($E26 + 5) = 0, $F26,
    AC26 * (1 - IFERROR(INDEX('Inputs &amp; Assuptions'!$B$13:$B$72, COLUMN() - ($E26 + 5)), 0))
  )
)</f>
        <v>2701.0636569</v>
      </c>
      <c r="AE26" s="80" t="n">
        <f aca="false" t="array" ref="AE26:AE26">IF(COLUMN() - ($E26 + 5) &lt; 0, 0,
  IF(COLUMN() - ($E26 + 5) = 0, $F26,
    AD26 * (1 - IFERROR(INDEX('Inputs &amp; Assuptions'!$B$13:$B$72, COLUMN() - ($E26 + 5)), 0))
  )
)</f>
        <v>2579.5157923395</v>
      </c>
      <c r="AF26" s="80" t="n">
        <f aca="false" t="array" ref="AF26:AF26">IF(COLUMN() - ($E26 + 5) &lt; 0, 0,
  IF(COLUMN() - ($E26 + 5) = 0, $F26,
    AE26 * (1 - IFERROR(INDEX('Inputs &amp; Assuptions'!$B$13:$B$72, COLUMN() - ($E26 + 5)), 0))
  )
)</f>
        <v>2476.33516064592</v>
      </c>
      <c r="AG26" s="80" t="n">
        <f aca="false" t="array" ref="AG26:AG26">IF(COLUMN() - ($E26 + 5) &lt; 0, 0,
  IF(COLUMN() - ($E26 + 5) = 0, $F26,
    AF26 * (1 - IFERROR(INDEX('Inputs &amp; Assuptions'!$B$13:$B$72, COLUMN() - ($E26 + 5)), 0))
  )
)</f>
        <v>2389.66343002331</v>
      </c>
      <c r="AH26" s="80" t="n">
        <f aca="false" t="array" ref="AH26:AH26">IF(COLUMN() - ($E26 + 5) &lt; 0, 0,
  IF(COLUMN() - ($E26 + 5) = 0, $F26,
    AG26 * (1 - IFERROR(INDEX('Inputs &amp; Assuptions'!$B$13:$B$72, COLUMN() - ($E26 + 5)), 0))
  )
)</f>
        <v>2317.97352712261</v>
      </c>
      <c r="AI26" s="80" t="n">
        <f aca="false" t="array" ref="AI26:AI26">IF(COLUMN() - ($E26 + 5) &lt; 0, 0,
  IF(COLUMN() - ($E26 + 5) = 0, $F26,
    AH26 * (1 - IFERROR(INDEX('Inputs &amp; Assuptions'!$B$13:$B$72, COLUMN() - ($E26 + 5)), 0))
  )
)</f>
        <v>2260.02418894455</v>
      </c>
      <c r="AJ26" s="80" t="n">
        <f aca="false" t="array" ref="AJ26:AJ26">IF(COLUMN() - ($E26 + 5) &lt; 0, 0,
  IF(COLUMN() - ($E26 + 5) = 0, $F26,
    AI26 * (1 - IFERROR(INDEX('Inputs &amp; Assuptions'!$B$13:$B$72, COLUMN() - ($E26 + 5)), 0))
  )
)</f>
        <v>2214.82370516566</v>
      </c>
      <c r="AK26" s="80" t="n">
        <f aca="false" t="array" ref="AK26:AK26">IF(COLUMN() - ($E26 + 5) &lt; 0, 0,
  IF(COLUMN() - ($E26 + 5) = 0, $F26,
    AJ26 * (1 - IFERROR(INDEX('Inputs &amp; Assuptions'!$B$13:$B$72, COLUMN() - ($E26 + 5)), 0))
  )
)</f>
        <v>2192.675468114</v>
      </c>
      <c r="AL26" s="80" t="n">
        <f aca="false" t="array" ref="AL26:AL26">IF(COLUMN() - ($E26 + 5) &lt; 0, 0,
  IF(COLUMN() - ($E26 + 5) = 0, $F26,
    AK26 * (1 - IFERROR(INDEX('Inputs &amp; Assuptions'!$B$13:$B$72, COLUMN() - ($E26 + 5)), 0))
  )
)</f>
        <v>2170.74871343286</v>
      </c>
      <c r="AM26" s="80" t="n">
        <f aca="false" t="array" ref="AM26:AM26">IF(COLUMN() - ($E26 + 5) &lt; 0, 0,
  IF(COLUMN() - ($E26 + 5) = 0, $F26,
    AL26 * (1 - IFERROR(INDEX('Inputs &amp; Assuptions'!$B$13:$B$72, COLUMN() - ($E26 + 5)), 0))
  )
)</f>
        <v>2149.04122629853</v>
      </c>
      <c r="AN26" s="80" t="n">
        <f aca="false" t="array" ref="AN26:AN26">IF(COLUMN() - ($E26 + 5) &lt; 0, 0,
  IF(COLUMN() - ($E26 + 5) = 0, $F26,
    AM26 * (1 - IFERROR(INDEX('Inputs &amp; Assuptions'!$B$13:$B$72, COLUMN() - ($E26 + 5)), 0))
  )
)</f>
        <v>2127.55081403555</v>
      </c>
      <c r="AO26" s="80" t="n">
        <f aca="false" t="array" ref="AO26:AO26">IF(COLUMN() - ($E26 + 5) &lt; 0, 0,
  IF(COLUMN() - ($E26 + 5) = 0, $F26,
    AN26 * (1 - IFERROR(INDEX('Inputs &amp; Assuptions'!$B$13:$B$72, COLUMN() - ($E26 + 5)), 0))
  )
)</f>
        <v>2106.27530589519</v>
      </c>
      <c r="AP26" s="80" t="n">
        <f aca="false" t="array" ref="AP26:AP26">IF(COLUMN() - ($E26 + 5) &lt; 0, 0,
  IF(COLUMN() - ($E26 + 5) = 0, $F26,
    AO26 * (1 - IFERROR(INDEX('Inputs &amp; Assuptions'!$B$13:$B$72, COLUMN() - ($E26 + 5)), 0))
  )
)</f>
        <v>2085.21255283624</v>
      </c>
      <c r="AQ26" s="80" t="n">
        <f aca="false" t="array" ref="AQ26:AQ26">IF(COLUMN() - ($E26 + 5) &lt; 0, 0,
  IF(COLUMN() - ($E26 + 5) = 0, $F26,
    AP26 * (1 - IFERROR(INDEX('Inputs &amp; Assuptions'!$B$13:$B$72, COLUMN() - ($E26 + 5)), 0))
  )
)</f>
        <v>2064.36042730788</v>
      </c>
      <c r="AR26" s="80" t="n">
        <f aca="false" t="array" ref="AR26:AR26">IF(COLUMN() - ($E26 + 5) &lt; 0, 0,
  IF(COLUMN() - ($E26 + 5) = 0, $F26,
    AQ26 * (1 - IFERROR(INDEX('Inputs &amp; Assuptions'!$B$13:$B$72, COLUMN() - ($E26 + 5)), 0))
  )
)</f>
        <v>2043.7168230348</v>
      </c>
      <c r="AS26" s="80" t="n">
        <f aca="false" t="array" ref="AS26:AS26">IF(COLUMN() - ($E26 + 5) &lt; 0, 0,
  IF(COLUMN() - ($E26 + 5) = 0, $F26,
    AR26 * (1 - IFERROR(INDEX('Inputs &amp; Assuptions'!$B$13:$B$72, COLUMN() - ($E26 + 5)), 0))
  )
)</f>
        <v>2023.27965480445</v>
      </c>
      <c r="AT26" s="80" t="n">
        <f aca="false" t="array" ref="AT26:AT26">IF(COLUMN() - ($E26 + 5) &lt; 0, 0,
  IF(COLUMN() - ($E26 + 5) = 0, $F26,
    AS26 * (1 - IFERROR(INDEX('Inputs &amp; Assuptions'!$B$13:$B$72, COLUMN() - ($E26 + 5)), 0))
  )
)</f>
        <v>2003.04685825641</v>
      </c>
      <c r="AU26" s="80" t="n">
        <f aca="false" t="array" ref="AU26:AU26">IF(COLUMN() - ($E26 + 5) &lt; 0, 0,
  IF(COLUMN() - ($E26 + 5) = 0, $F26,
    AT26 * (1 - IFERROR(INDEX('Inputs &amp; Assuptions'!$B$13:$B$72, COLUMN() - ($E26 + 5)), 0))
  )
)</f>
        <v>1983.01638967384</v>
      </c>
      <c r="AV26" s="80" t="n">
        <f aca="false" t="array" ref="AV26:AV26">IF(COLUMN() - ($E26 + 5) &lt; 0, 0,
  IF(COLUMN() - ($E26 + 5) = 0, $F26,
    AU26 * (1 - IFERROR(INDEX('Inputs &amp; Assuptions'!$B$13:$B$72, COLUMN() - ($E26 + 5)), 0))
  )
)</f>
        <v>1963.1862257771</v>
      </c>
      <c r="AW26" s="80" t="n">
        <f aca="false" t="array" ref="AW26:AW26">IF(COLUMN() - ($E26 + 5) &lt; 0, 0,
  IF(COLUMN() - ($E26 + 5) = 0, $F26,
    AV26 * (1 - IFERROR(INDEX('Inputs &amp; Assuptions'!$B$13:$B$72, COLUMN() - ($E26 + 5)), 0))
  )
)</f>
        <v>1943.55436351933</v>
      </c>
      <c r="AX26" s="80" t="n">
        <f aca="false" t="array" ref="AX26:AX26">IF(COLUMN() - ($E26 + 5) &lt; 0, 0,
  IF(COLUMN() - ($E26 + 5) = 0, $F26,
    AW26 * (1 - IFERROR(INDEX('Inputs &amp; Assuptions'!$B$13:$B$72, COLUMN() - ($E26 + 5)), 0))
  )
)</f>
        <v>1924.11881988414</v>
      </c>
      <c r="AY26" s="80" t="n">
        <f aca="false" t="array" ref="AY26:AY26">IF(COLUMN() - ($E26 + 5) &lt; 0, 0,
  IF(COLUMN() - ($E26 + 5) = 0, $F26,
    AX26 * (1 - IFERROR(INDEX('Inputs &amp; Assuptions'!$B$13:$B$72, COLUMN() - ($E26 + 5)), 0))
  )
)</f>
        <v>1904.8776316853</v>
      </c>
      <c r="AZ26" s="80" t="n">
        <f aca="false" t="array" ref="AZ26:AZ26">IF(COLUMN() - ($E26 + 5) &lt; 0, 0,
  IF(COLUMN() - ($E26 + 5) = 0, $F26,
    AY26 * (1 - IFERROR(INDEX('Inputs &amp; Assuptions'!$B$13:$B$72, COLUMN() - ($E26 + 5)), 0))
  )
)</f>
        <v>1885.82885536844</v>
      </c>
      <c r="BA26" s="80" t="n">
        <f aca="false" t="array" ref="BA26:BA26">IF(COLUMN() - ($E26 + 5) &lt; 0, 0,
  IF(COLUMN() - ($E26 + 5) = 0, $F26,
    AZ26 * (1 - IFERROR(INDEX('Inputs &amp; Assuptions'!$B$13:$B$72, COLUMN() - ($E26 + 5)), 0))
  )
)</f>
        <v>1866.97056681476</v>
      </c>
      <c r="BB26" s="80" t="n">
        <f aca="false" t="array" ref="BB26:BB26">IF(COLUMN() - ($E26 + 5) &lt; 0, 0,
  IF(COLUMN() - ($E26 + 5) = 0, $F26,
    BA26 * (1 - IFERROR(INDEX('Inputs &amp; Assuptions'!$B$13:$B$72, COLUMN() - ($E26 + 5)), 0))
  )
)</f>
        <v>1848.30086114661</v>
      </c>
      <c r="BC26" s="80" t="n">
        <f aca="false" t="array" ref="BC26:BC26">IF(COLUMN() - ($E26 + 5) &lt; 0, 0,
  IF(COLUMN() - ($E26 + 5) = 0, $F26,
    BB26 * (1 - IFERROR(INDEX('Inputs &amp; Assuptions'!$B$13:$B$72, COLUMN() - ($E26 + 5)), 0))
  )
)</f>
        <v>1829.81785253515</v>
      </c>
      <c r="BD26" s="80" t="n">
        <f aca="false" t="array" ref="BD26:BD26">IF(COLUMN() - ($E26 + 5) &lt; 0, 0,
  IF(COLUMN() - ($E26 + 5) = 0, $F26,
    BC26 * (1 - IFERROR(INDEX('Inputs &amp; Assuptions'!$B$13:$B$72, COLUMN() - ($E26 + 5)), 0))
  )
)</f>
        <v>1811.51967400979</v>
      </c>
      <c r="BE26" s="80" t="n">
        <f aca="false" t="array" ref="BE26:BE26">IF(COLUMN() - ($E26 + 5) &lt; 0, 0,
  IF(COLUMN() - ($E26 + 5) = 0, $F26,
    BD26 * (1 - IFERROR(INDEX('Inputs &amp; Assuptions'!$B$13:$B$72, COLUMN() - ($E26 + 5)), 0))
  )
)</f>
        <v>1793.4044772697</v>
      </c>
      <c r="BF26" s="80" t="n">
        <f aca="false" t="array" ref="BF26:BF26">IF(COLUMN() - ($E26 + 5) &lt; 0, 0,
  IF(COLUMN() - ($E26 + 5) = 0, $F26,
    BE26 * (1 - IFERROR(INDEX('Inputs &amp; Assuptions'!$B$13:$B$72, COLUMN() - ($E26 + 5)), 0))
  )
)</f>
        <v>1775.470432497</v>
      </c>
      <c r="BG26" s="80" t="n">
        <f aca="false" t="array" ref="BG26:BG26">IF(COLUMN() - ($E26 + 5) &lt; 0, 0,
  IF(COLUMN() - ($E26 + 5) = 0, $F26,
    BF26 * (1 - IFERROR(INDEX('Inputs &amp; Assuptions'!$B$13:$B$72, COLUMN() - ($E26 + 5)), 0))
  )
)</f>
        <v>1757.71572817203</v>
      </c>
      <c r="BH26" s="80" t="n">
        <f aca="false" t="array" ref="BH26:BH26">IF(COLUMN() - ($E26 + 5) &lt; 0, 0,
  IF(COLUMN() - ($E26 + 5) = 0, $F26,
    BG26 * (1 - IFERROR(INDEX('Inputs &amp; Assuptions'!$B$13:$B$72, COLUMN() - ($E26 + 5)), 0))
  )
)</f>
        <v>1740.13857089031</v>
      </c>
      <c r="BI26" s="80" t="n">
        <f aca="false" t="array" ref="BI26:BI26">IF(COLUMN() - ($E26 + 5) &lt; 0, 0,
  IF(COLUMN() - ($E26 + 5) = 0, $F26,
    BH26 * (1 - IFERROR(INDEX('Inputs &amp; Assuptions'!$B$13:$B$72, COLUMN() - ($E26 + 5)), 0))
  )
)</f>
        <v>1722.73718518141</v>
      </c>
      <c r="BJ26" s="80" t="n">
        <f aca="false" t="array" ref="BJ26:BJ26">IF(COLUMN() - ($E26 + 5) &lt; 0, 0,
  IF(COLUMN() - ($E26 + 5) = 0, $F26,
    BI26 * (1 - IFERROR(INDEX('Inputs &amp; Assuptions'!$B$13:$B$72, COLUMN() - ($E26 + 5)), 0))
  )
)</f>
        <v>1705.50981332959</v>
      </c>
      <c r="BK26" s="80" t="n">
        <f aca="false" t="array" ref="BK26:BK26">IF(COLUMN() - ($E26 + 5) &lt; 0, 0,
  IF(COLUMN() - ($E26 + 5) = 0, $F26,
    BJ26 * (1 - IFERROR(INDEX('Inputs &amp; Assuptions'!$B$13:$B$72, COLUMN() - ($E26 + 5)), 0))
  )
)</f>
        <v>1688.4547151963</v>
      </c>
      <c r="BL26" s="80" t="n">
        <f aca="false" t="array" ref="BL26:BL26">IF(COLUMN() - ($E26 + 5) &lt; 0, 0,
  IF(COLUMN() - ($E26 + 5) = 0, $F26,
    BK26 * (1 - IFERROR(INDEX('Inputs &amp; Assuptions'!$B$13:$B$72, COLUMN() - ($E26 + 5)), 0))
  )
)</f>
        <v>1671.57016804433</v>
      </c>
      <c r="BM26" s="81" t="n">
        <f aca="false" t="array" ref="BM26:BM26">IF(COLUMN() - ($E26 + 5) &lt; 0, 0,
  IF(COLUMN() - ($E26 + 5) = 0, $F26,
    BL26 * (1 - IFERROR(INDEX('Inputs &amp; Assuptions'!$B$13:$B$72, COLUMN() - ($E26 + 5)), 0))
  )
)</f>
        <v>1654.85446636389</v>
      </c>
      <c r="BN26" s="76"/>
    </row>
    <row r="27" customFormat="false" ht="14.25" hidden="false" customHeight="false" outlineLevel="0" collapsed="false">
      <c r="A27" s="29" t="n">
        <f aca="false">A26+1</f>
        <v>22</v>
      </c>
      <c r="B27" s="77" t="n">
        <f aca="false">IF(MOD($A27-1, 12) = 0, $B26 * 1.05, $B26)</f>
        <v>6300</v>
      </c>
      <c r="C27" s="78" t="n">
        <f aca="false">$B27*(1-'Inputs &amp; Assuptions'!$B$12)</f>
        <v>3654</v>
      </c>
      <c r="E27" s="29" t="n">
        <f aca="false">E26+1</f>
        <v>22</v>
      </c>
      <c r="F27" s="79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 t="n">
        <f aca="false">+$C27</f>
        <v>3654</v>
      </c>
      <c r="AB27" s="80" t="n">
        <f aca="false" t="array" ref="AB27:AB27">IF(COLUMN() - ($E27 + 5) &lt; 0, 0,
  IF(COLUMN() - ($E27 + 5) = 0, $F27,
    AA27 * (1 - IFERROR(INDEX('Inputs &amp; Assuptions'!$B$13:$B$72, COLUMN() - ($E27 + 5)), 0))
  )
)</f>
        <v>3270.33</v>
      </c>
      <c r="AC27" s="80" t="n">
        <f aca="false" t="array" ref="AC27:AC27">IF(COLUMN() - ($E27 + 5) &lt; 0, 0,
  IF(COLUMN() - ($E27 + 5) = 0, $F27,
    AB27 * (1 - IFERROR(INDEX('Inputs &amp; Assuptions'!$B$13:$B$72, COLUMN() - ($E27 + 5)), 0))
  )
)</f>
        <v>3008.7036</v>
      </c>
      <c r="AD27" s="80" t="n">
        <f aca="false" t="array" ref="AD27:AD27">IF(COLUMN() - ($E27 + 5) &lt; 0, 0,
  IF(COLUMN() - ($E27 + 5) = 0, $F27,
    AC27 * (1 - IFERROR(INDEX('Inputs &amp; Assuptions'!$B$13:$B$72, COLUMN() - ($E27 + 5)), 0))
  )
)</f>
        <v>2843.224902</v>
      </c>
      <c r="AE27" s="80" t="n">
        <f aca="false" t="array" ref="AE27:AE27">IF(COLUMN() - ($E27 + 5) &lt; 0, 0,
  IF(COLUMN() - ($E27 + 5) = 0, $F27,
    AD27 * (1 - IFERROR(INDEX('Inputs &amp; Assuptions'!$B$13:$B$72, COLUMN() - ($E27 + 5)), 0))
  )
)</f>
        <v>2701.0636569</v>
      </c>
      <c r="AF27" s="80" t="n">
        <f aca="false" t="array" ref="AF27:AF27">IF(COLUMN() - ($E27 + 5) &lt; 0, 0,
  IF(COLUMN() - ($E27 + 5) = 0, $F27,
    AE27 * (1 - IFERROR(INDEX('Inputs &amp; Assuptions'!$B$13:$B$72, COLUMN() - ($E27 + 5)), 0))
  )
)</f>
        <v>2579.5157923395</v>
      </c>
      <c r="AG27" s="80" t="n">
        <f aca="false" t="array" ref="AG27:AG27">IF(COLUMN() - ($E27 + 5) &lt; 0, 0,
  IF(COLUMN() - ($E27 + 5) = 0, $F27,
    AF27 * (1 - IFERROR(INDEX('Inputs &amp; Assuptions'!$B$13:$B$72, COLUMN() - ($E27 + 5)), 0))
  )
)</f>
        <v>2476.33516064592</v>
      </c>
      <c r="AH27" s="80" t="n">
        <f aca="false" t="array" ref="AH27:AH27">IF(COLUMN() - ($E27 + 5) &lt; 0, 0,
  IF(COLUMN() - ($E27 + 5) = 0, $F27,
    AG27 * (1 - IFERROR(INDEX('Inputs &amp; Assuptions'!$B$13:$B$72, COLUMN() - ($E27 + 5)), 0))
  )
)</f>
        <v>2389.66343002331</v>
      </c>
      <c r="AI27" s="80" t="n">
        <f aca="false" t="array" ref="AI27:AI27">IF(COLUMN() - ($E27 + 5) &lt; 0, 0,
  IF(COLUMN() - ($E27 + 5) = 0, $F27,
    AH27 * (1 - IFERROR(INDEX('Inputs &amp; Assuptions'!$B$13:$B$72, COLUMN() - ($E27 + 5)), 0))
  )
)</f>
        <v>2317.97352712261</v>
      </c>
      <c r="AJ27" s="80" t="n">
        <f aca="false" t="array" ref="AJ27:AJ27">IF(COLUMN() - ($E27 + 5) &lt; 0, 0,
  IF(COLUMN() - ($E27 + 5) = 0, $F27,
    AI27 * (1 - IFERROR(INDEX('Inputs &amp; Assuptions'!$B$13:$B$72, COLUMN() - ($E27 + 5)), 0))
  )
)</f>
        <v>2260.02418894455</v>
      </c>
      <c r="AK27" s="80" t="n">
        <f aca="false" t="array" ref="AK27:AK27">IF(COLUMN() - ($E27 + 5) &lt; 0, 0,
  IF(COLUMN() - ($E27 + 5) = 0, $F27,
    AJ27 * (1 - IFERROR(INDEX('Inputs &amp; Assuptions'!$B$13:$B$72, COLUMN() - ($E27 + 5)), 0))
  )
)</f>
        <v>2214.82370516566</v>
      </c>
      <c r="AL27" s="80" t="n">
        <f aca="false" t="array" ref="AL27:AL27">IF(COLUMN() - ($E27 + 5) &lt; 0, 0,
  IF(COLUMN() - ($E27 + 5) = 0, $F27,
    AK27 * (1 - IFERROR(INDEX('Inputs &amp; Assuptions'!$B$13:$B$72, COLUMN() - ($E27 + 5)), 0))
  )
)</f>
        <v>2192.675468114</v>
      </c>
      <c r="AM27" s="80" t="n">
        <f aca="false" t="array" ref="AM27:AM27">IF(COLUMN() - ($E27 + 5) &lt; 0, 0,
  IF(COLUMN() - ($E27 + 5) = 0, $F27,
    AL27 * (1 - IFERROR(INDEX('Inputs &amp; Assuptions'!$B$13:$B$72, COLUMN() - ($E27 + 5)), 0))
  )
)</f>
        <v>2170.74871343286</v>
      </c>
      <c r="AN27" s="80" t="n">
        <f aca="false" t="array" ref="AN27:AN27">IF(COLUMN() - ($E27 + 5) &lt; 0, 0,
  IF(COLUMN() - ($E27 + 5) = 0, $F27,
    AM27 * (1 - IFERROR(INDEX('Inputs &amp; Assuptions'!$B$13:$B$72, COLUMN() - ($E27 + 5)), 0))
  )
)</f>
        <v>2149.04122629853</v>
      </c>
      <c r="AO27" s="80" t="n">
        <f aca="false" t="array" ref="AO27:AO27">IF(COLUMN() - ($E27 + 5) &lt; 0, 0,
  IF(COLUMN() - ($E27 + 5) = 0, $F27,
    AN27 * (1 - IFERROR(INDEX('Inputs &amp; Assuptions'!$B$13:$B$72, COLUMN() - ($E27 + 5)), 0))
  )
)</f>
        <v>2127.55081403555</v>
      </c>
      <c r="AP27" s="80" t="n">
        <f aca="false" t="array" ref="AP27:AP27">IF(COLUMN() - ($E27 + 5) &lt; 0, 0,
  IF(COLUMN() - ($E27 + 5) = 0, $F27,
    AO27 * (1 - IFERROR(INDEX('Inputs &amp; Assuptions'!$B$13:$B$72, COLUMN() - ($E27 + 5)), 0))
  )
)</f>
        <v>2106.27530589519</v>
      </c>
      <c r="AQ27" s="80" t="n">
        <f aca="false" t="array" ref="AQ27:AQ27">IF(COLUMN() - ($E27 + 5) &lt; 0, 0,
  IF(COLUMN() - ($E27 + 5) = 0, $F27,
    AP27 * (1 - IFERROR(INDEX('Inputs &amp; Assuptions'!$B$13:$B$72, COLUMN() - ($E27 + 5)), 0))
  )
)</f>
        <v>2085.21255283624</v>
      </c>
      <c r="AR27" s="80" t="n">
        <f aca="false" t="array" ref="AR27:AR27">IF(COLUMN() - ($E27 + 5) &lt; 0, 0,
  IF(COLUMN() - ($E27 + 5) = 0, $F27,
    AQ27 * (1 - IFERROR(INDEX('Inputs &amp; Assuptions'!$B$13:$B$72, COLUMN() - ($E27 + 5)), 0))
  )
)</f>
        <v>2064.36042730788</v>
      </c>
      <c r="AS27" s="80" t="n">
        <f aca="false" t="array" ref="AS27:AS27">IF(COLUMN() - ($E27 + 5) &lt; 0, 0,
  IF(COLUMN() - ($E27 + 5) = 0, $F27,
    AR27 * (1 - IFERROR(INDEX('Inputs &amp; Assuptions'!$B$13:$B$72, COLUMN() - ($E27 + 5)), 0))
  )
)</f>
        <v>2043.7168230348</v>
      </c>
      <c r="AT27" s="80" t="n">
        <f aca="false" t="array" ref="AT27:AT27">IF(COLUMN() - ($E27 + 5) &lt; 0, 0,
  IF(COLUMN() - ($E27 + 5) = 0, $F27,
    AS27 * (1 - IFERROR(INDEX('Inputs &amp; Assuptions'!$B$13:$B$72, COLUMN() - ($E27 + 5)), 0))
  )
)</f>
        <v>2023.27965480445</v>
      </c>
      <c r="AU27" s="80" t="n">
        <f aca="false" t="array" ref="AU27:AU27">IF(COLUMN() - ($E27 + 5) &lt; 0, 0,
  IF(COLUMN() - ($E27 + 5) = 0, $F27,
    AT27 * (1 - IFERROR(INDEX('Inputs &amp; Assuptions'!$B$13:$B$72, COLUMN() - ($E27 + 5)), 0))
  )
)</f>
        <v>2003.04685825641</v>
      </c>
      <c r="AV27" s="80" t="n">
        <f aca="false" t="array" ref="AV27:AV27">IF(COLUMN() - ($E27 + 5) &lt; 0, 0,
  IF(COLUMN() - ($E27 + 5) = 0, $F27,
    AU27 * (1 - IFERROR(INDEX('Inputs &amp; Assuptions'!$B$13:$B$72, COLUMN() - ($E27 + 5)), 0))
  )
)</f>
        <v>1983.01638967384</v>
      </c>
      <c r="AW27" s="80" t="n">
        <f aca="false" t="array" ref="AW27:AW27">IF(COLUMN() - ($E27 + 5) &lt; 0, 0,
  IF(COLUMN() - ($E27 + 5) = 0, $F27,
    AV27 * (1 - IFERROR(INDEX('Inputs &amp; Assuptions'!$B$13:$B$72, COLUMN() - ($E27 + 5)), 0))
  )
)</f>
        <v>1963.1862257771</v>
      </c>
      <c r="AX27" s="80" t="n">
        <f aca="false" t="array" ref="AX27:AX27">IF(COLUMN() - ($E27 + 5) &lt; 0, 0,
  IF(COLUMN() - ($E27 + 5) = 0, $F27,
    AW27 * (1 - IFERROR(INDEX('Inputs &amp; Assuptions'!$B$13:$B$72, COLUMN() - ($E27 + 5)), 0))
  )
)</f>
        <v>1943.55436351933</v>
      </c>
      <c r="AY27" s="80" t="n">
        <f aca="false" t="array" ref="AY27:AY27">IF(COLUMN() - ($E27 + 5) &lt; 0, 0,
  IF(COLUMN() - ($E27 + 5) = 0, $F27,
    AX27 * (1 - IFERROR(INDEX('Inputs &amp; Assuptions'!$B$13:$B$72, COLUMN() - ($E27 + 5)), 0))
  )
)</f>
        <v>1924.11881988414</v>
      </c>
      <c r="AZ27" s="80" t="n">
        <f aca="false" t="array" ref="AZ27:AZ27">IF(COLUMN() - ($E27 + 5) &lt; 0, 0,
  IF(COLUMN() - ($E27 + 5) = 0, $F27,
    AY27 * (1 - IFERROR(INDEX('Inputs &amp; Assuptions'!$B$13:$B$72, COLUMN() - ($E27 + 5)), 0))
  )
)</f>
        <v>1904.8776316853</v>
      </c>
      <c r="BA27" s="80" t="n">
        <f aca="false" t="array" ref="BA27:BA27">IF(COLUMN() - ($E27 + 5) &lt; 0, 0,
  IF(COLUMN() - ($E27 + 5) = 0, $F27,
    AZ27 * (1 - IFERROR(INDEX('Inputs &amp; Assuptions'!$B$13:$B$72, COLUMN() - ($E27 + 5)), 0))
  )
)</f>
        <v>1885.82885536844</v>
      </c>
      <c r="BB27" s="80" t="n">
        <f aca="false" t="array" ref="BB27:BB27">IF(COLUMN() - ($E27 + 5) &lt; 0, 0,
  IF(COLUMN() - ($E27 + 5) = 0, $F27,
    BA27 * (1 - IFERROR(INDEX('Inputs &amp; Assuptions'!$B$13:$B$72, COLUMN() - ($E27 + 5)), 0))
  )
)</f>
        <v>1866.97056681476</v>
      </c>
      <c r="BC27" s="80" t="n">
        <f aca="false" t="array" ref="BC27:BC27">IF(COLUMN() - ($E27 + 5) &lt; 0, 0,
  IF(COLUMN() - ($E27 + 5) = 0, $F27,
    BB27 * (1 - IFERROR(INDEX('Inputs &amp; Assuptions'!$B$13:$B$72, COLUMN() - ($E27 + 5)), 0))
  )
)</f>
        <v>1848.30086114661</v>
      </c>
      <c r="BD27" s="80" t="n">
        <f aca="false" t="array" ref="BD27:BD27">IF(COLUMN() - ($E27 + 5) &lt; 0, 0,
  IF(COLUMN() - ($E27 + 5) = 0, $F27,
    BC27 * (1 - IFERROR(INDEX('Inputs &amp; Assuptions'!$B$13:$B$72, COLUMN() - ($E27 + 5)), 0))
  )
)</f>
        <v>1829.81785253515</v>
      </c>
      <c r="BE27" s="80" t="n">
        <f aca="false" t="array" ref="BE27:BE27">IF(COLUMN() - ($E27 + 5) &lt; 0, 0,
  IF(COLUMN() - ($E27 + 5) = 0, $F27,
    BD27 * (1 - IFERROR(INDEX('Inputs &amp; Assuptions'!$B$13:$B$72, COLUMN() - ($E27 + 5)), 0))
  )
)</f>
        <v>1811.51967400979</v>
      </c>
      <c r="BF27" s="80" t="n">
        <f aca="false" t="array" ref="BF27:BF27">IF(COLUMN() - ($E27 + 5) &lt; 0, 0,
  IF(COLUMN() - ($E27 + 5) = 0, $F27,
    BE27 * (1 - IFERROR(INDEX('Inputs &amp; Assuptions'!$B$13:$B$72, COLUMN() - ($E27 + 5)), 0))
  )
)</f>
        <v>1793.4044772697</v>
      </c>
      <c r="BG27" s="80" t="n">
        <f aca="false" t="array" ref="BG27:BG27">IF(COLUMN() - ($E27 + 5) &lt; 0, 0,
  IF(COLUMN() - ($E27 + 5) = 0, $F27,
    BF27 * (1 - IFERROR(INDEX('Inputs &amp; Assuptions'!$B$13:$B$72, COLUMN() - ($E27 + 5)), 0))
  )
)</f>
        <v>1775.470432497</v>
      </c>
      <c r="BH27" s="80" t="n">
        <f aca="false" t="array" ref="BH27:BH27">IF(COLUMN() - ($E27 + 5) &lt; 0, 0,
  IF(COLUMN() - ($E27 + 5) = 0, $F27,
    BG27 * (1 - IFERROR(INDEX('Inputs &amp; Assuptions'!$B$13:$B$72, COLUMN() - ($E27 + 5)), 0))
  )
)</f>
        <v>1757.71572817203</v>
      </c>
      <c r="BI27" s="80" t="n">
        <f aca="false" t="array" ref="BI27:BI27">IF(COLUMN() - ($E27 + 5) &lt; 0, 0,
  IF(COLUMN() - ($E27 + 5) = 0, $F27,
    BH27 * (1 - IFERROR(INDEX('Inputs &amp; Assuptions'!$B$13:$B$72, COLUMN() - ($E27 + 5)), 0))
  )
)</f>
        <v>1740.13857089031</v>
      </c>
      <c r="BJ27" s="80" t="n">
        <f aca="false" t="array" ref="BJ27:BJ27">IF(COLUMN() - ($E27 + 5) &lt; 0, 0,
  IF(COLUMN() - ($E27 + 5) = 0, $F27,
    BI27 * (1 - IFERROR(INDEX('Inputs &amp; Assuptions'!$B$13:$B$72, COLUMN() - ($E27 + 5)), 0))
  )
)</f>
        <v>1722.73718518141</v>
      </c>
      <c r="BK27" s="80" t="n">
        <f aca="false" t="array" ref="BK27:BK27">IF(COLUMN() - ($E27 + 5) &lt; 0, 0,
  IF(COLUMN() - ($E27 + 5) = 0, $F27,
    BJ27 * (1 - IFERROR(INDEX('Inputs &amp; Assuptions'!$B$13:$B$72, COLUMN() - ($E27 + 5)), 0))
  )
)</f>
        <v>1705.50981332959</v>
      </c>
      <c r="BL27" s="80" t="n">
        <f aca="false" t="array" ref="BL27:BL27">IF(COLUMN() - ($E27 + 5) &lt; 0, 0,
  IF(COLUMN() - ($E27 + 5) = 0, $F27,
    BK27 * (1 - IFERROR(INDEX('Inputs &amp; Assuptions'!$B$13:$B$72, COLUMN() - ($E27 + 5)), 0))
  )
)</f>
        <v>1688.4547151963</v>
      </c>
      <c r="BM27" s="81" t="n">
        <f aca="false" t="array" ref="BM27:BM27">IF(COLUMN() - ($E27 + 5) &lt; 0, 0,
  IF(COLUMN() - ($E27 + 5) = 0, $F27,
    BL27 * (1 - IFERROR(INDEX('Inputs &amp; Assuptions'!$B$13:$B$72, COLUMN() - ($E27 + 5)), 0))
  )
)</f>
        <v>1671.57016804433</v>
      </c>
      <c r="BN27" s="76"/>
    </row>
    <row r="28" customFormat="false" ht="14.25" hidden="false" customHeight="false" outlineLevel="0" collapsed="false">
      <c r="A28" s="29" t="n">
        <f aca="false">A27+1</f>
        <v>23</v>
      </c>
      <c r="B28" s="77" t="n">
        <f aca="false">IF(MOD($A28-1, 12) = 0, $B27 * 1.05, $B27)</f>
        <v>6300</v>
      </c>
      <c r="C28" s="78" t="n">
        <f aca="false">$B28*(1-'Inputs &amp; Assuptions'!$B$12)</f>
        <v>3654</v>
      </c>
      <c r="E28" s="29" t="n">
        <f aca="false">E27+1</f>
        <v>23</v>
      </c>
      <c r="F28" s="79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 t="n">
        <f aca="false">+$C28</f>
        <v>3654</v>
      </c>
      <c r="AC28" s="80" t="n">
        <f aca="false" t="array" ref="AC28:AC28">IF(COLUMN() - ($E28 + 5) &lt; 0, 0,
  IF(COLUMN() - ($E28 + 5) = 0, $F28,
    AB28 * (1 - IFERROR(INDEX('Inputs &amp; Assuptions'!$B$13:$B$72, COLUMN() - ($E28 + 5)), 0))
  )
)</f>
        <v>3270.33</v>
      </c>
      <c r="AD28" s="80" t="n">
        <f aca="false" t="array" ref="AD28:AD28">IF(COLUMN() - ($E28 + 5) &lt; 0, 0,
  IF(COLUMN() - ($E28 + 5) = 0, $F28,
    AC28 * (1 - IFERROR(INDEX('Inputs &amp; Assuptions'!$B$13:$B$72, COLUMN() - ($E28 + 5)), 0))
  )
)</f>
        <v>3008.7036</v>
      </c>
      <c r="AE28" s="80" t="n">
        <f aca="false" t="array" ref="AE28:AE28">IF(COLUMN() - ($E28 + 5) &lt; 0, 0,
  IF(COLUMN() - ($E28 + 5) = 0, $F28,
    AD28 * (1 - IFERROR(INDEX('Inputs &amp; Assuptions'!$B$13:$B$72, COLUMN() - ($E28 + 5)), 0))
  )
)</f>
        <v>2843.224902</v>
      </c>
      <c r="AF28" s="80" t="n">
        <f aca="false" t="array" ref="AF28:AF28">IF(COLUMN() - ($E28 + 5) &lt; 0, 0,
  IF(COLUMN() - ($E28 + 5) = 0, $F28,
    AE28 * (1 - IFERROR(INDEX('Inputs &amp; Assuptions'!$B$13:$B$72, COLUMN() - ($E28 + 5)), 0))
  )
)</f>
        <v>2701.0636569</v>
      </c>
      <c r="AG28" s="80" t="n">
        <f aca="false" t="array" ref="AG28:AG28">IF(COLUMN() - ($E28 + 5) &lt; 0, 0,
  IF(COLUMN() - ($E28 + 5) = 0, $F28,
    AF28 * (1 - IFERROR(INDEX('Inputs &amp; Assuptions'!$B$13:$B$72, COLUMN() - ($E28 + 5)), 0))
  )
)</f>
        <v>2579.5157923395</v>
      </c>
      <c r="AH28" s="80" t="n">
        <f aca="false" t="array" ref="AH28:AH28">IF(COLUMN() - ($E28 + 5) &lt; 0, 0,
  IF(COLUMN() - ($E28 + 5) = 0, $F28,
    AG28 * (1 - IFERROR(INDEX('Inputs &amp; Assuptions'!$B$13:$B$72, COLUMN() - ($E28 + 5)), 0))
  )
)</f>
        <v>2476.33516064592</v>
      </c>
      <c r="AI28" s="80" t="n">
        <f aca="false" t="array" ref="AI28:AI28">IF(COLUMN() - ($E28 + 5) &lt; 0, 0,
  IF(COLUMN() - ($E28 + 5) = 0, $F28,
    AH28 * (1 - IFERROR(INDEX('Inputs &amp; Assuptions'!$B$13:$B$72, COLUMN() - ($E28 + 5)), 0))
  )
)</f>
        <v>2389.66343002331</v>
      </c>
      <c r="AJ28" s="80" t="n">
        <f aca="false" t="array" ref="AJ28:AJ28">IF(COLUMN() - ($E28 + 5) &lt; 0, 0,
  IF(COLUMN() - ($E28 + 5) = 0, $F28,
    AI28 * (1 - IFERROR(INDEX('Inputs &amp; Assuptions'!$B$13:$B$72, COLUMN() - ($E28 + 5)), 0))
  )
)</f>
        <v>2317.97352712261</v>
      </c>
      <c r="AK28" s="80" t="n">
        <f aca="false" t="array" ref="AK28:AK28">IF(COLUMN() - ($E28 + 5) &lt; 0, 0,
  IF(COLUMN() - ($E28 + 5) = 0, $F28,
    AJ28 * (1 - IFERROR(INDEX('Inputs &amp; Assuptions'!$B$13:$B$72, COLUMN() - ($E28 + 5)), 0))
  )
)</f>
        <v>2260.02418894455</v>
      </c>
      <c r="AL28" s="80" t="n">
        <f aca="false" t="array" ref="AL28:AL28">IF(COLUMN() - ($E28 + 5) &lt; 0, 0,
  IF(COLUMN() - ($E28 + 5) = 0, $F28,
    AK28 * (1 - IFERROR(INDEX('Inputs &amp; Assuptions'!$B$13:$B$72, COLUMN() - ($E28 + 5)), 0))
  )
)</f>
        <v>2214.82370516566</v>
      </c>
      <c r="AM28" s="80" t="n">
        <f aca="false" t="array" ref="AM28:AM28">IF(COLUMN() - ($E28 + 5) &lt; 0, 0,
  IF(COLUMN() - ($E28 + 5) = 0, $F28,
    AL28 * (1 - IFERROR(INDEX('Inputs &amp; Assuptions'!$B$13:$B$72, COLUMN() - ($E28 + 5)), 0))
  )
)</f>
        <v>2192.675468114</v>
      </c>
      <c r="AN28" s="80" t="n">
        <f aca="false" t="array" ref="AN28:AN28">IF(COLUMN() - ($E28 + 5) &lt; 0, 0,
  IF(COLUMN() - ($E28 + 5) = 0, $F28,
    AM28 * (1 - IFERROR(INDEX('Inputs &amp; Assuptions'!$B$13:$B$72, COLUMN() - ($E28 + 5)), 0))
  )
)</f>
        <v>2170.74871343286</v>
      </c>
      <c r="AO28" s="80" t="n">
        <f aca="false" t="array" ref="AO28:AO28">IF(COLUMN() - ($E28 + 5) &lt; 0, 0,
  IF(COLUMN() - ($E28 + 5) = 0, $F28,
    AN28 * (1 - IFERROR(INDEX('Inputs &amp; Assuptions'!$B$13:$B$72, COLUMN() - ($E28 + 5)), 0))
  )
)</f>
        <v>2149.04122629853</v>
      </c>
      <c r="AP28" s="80" t="n">
        <f aca="false" t="array" ref="AP28:AP28">IF(COLUMN() - ($E28 + 5) &lt; 0, 0,
  IF(COLUMN() - ($E28 + 5) = 0, $F28,
    AO28 * (1 - IFERROR(INDEX('Inputs &amp; Assuptions'!$B$13:$B$72, COLUMN() - ($E28 + 5)), 0))
  )
)</f>
        <v>2127.55081403555</v>
      </c>
      <c r="AQ28" s="80" t="n">
        <f aca="false" t="array" ref="AQ28:AQ28">IF(COLUMN() - ($E28 + 5) &lt; 0, 0,
  IF(COLUMN() - ($E28 + 5) = 0, $F28,
    AP28 * (1 - IFERROR(INDEX('Inputs &amp; Assuptions'!$B$13:$B$72, COLUMN() - ($E28 + 5)), 0))
  )
)</f>
        <v>2106.27530589519</v>
      </c>
      <c r="AR28" s="80" t="n">
        <f aca="false" t="array" ref="AR28:AR28">IF(COLUMN() - ($E28 + 5) &lt; 0, 0,
  IF(COLUMN() - ($E28 + 5) = 0, $F28,
    AQ28 * (1 - IFERROR(INDEX('Inputs &amp; Assuptions'!$B$13:$B$72, COLUMN() - ($E28 + 5)), 0))
  )
)</f>
        <v>2085.21255283624</v>
      </c>
      <c r="AS28" s="80" t="n">
        <f aca="false" t="array" ref="AS28:AS28">IF(COLUMN() - ($E28 + 5) &lt; 0, 0,
  IF(COLUMN() - ($E28 + 5) = 0, $F28,
    AR28 * (1 - IFERROR(INDEX('Inputs &amp; Assuptions'!$B$13:$B$72, COLUMN() - ($E28 + 5)), 0))
  )
)</f>
        <v>2064.36042730788</v>
      </c>
      <c r="AT28" s="80" t="n">
        <f aca="false" t="array" ref="AT28:AT28">IF(COLUMN() - ($E28 + 5) &lt; 0, 0,
  IF(COLUMN() - ($E28 + 5) = 0, $F28,
    AS28 * (1 - IFERROR(INDEX('Inputs &amp; Assuptions'!$B$13:$B$72, COLUMN() - ($E28 + 5)), 0))
  )
)</f>
        <v>2043.7168230348</v>
      </c>
      <c r="AU28" s="80" t="n">
        <f aca="false" t="array" ref="AU28:AU28">IF(COLUMN() - ($E28 + 5) &lt; 0, 0,
  IF(COLUMN() - ($E28 + 5) = 0, $F28,
    AT28 * (1 - IFERROR(INDEX('Inputs &amp; Assuptions'!$B$13:$B$72, COLUMN() - ($E28 + 5)), 0))
  )
)</f>
        <v>2023.27965480445</v>
      </c>
      <c r="AV28" s="80" t="n">
        <f aca="false" t="array" ref="AV28:AV28">IF(COLUMN() - ($E28 + 5) &lt; 0, 0,
  IF(COLUMN() - ($E28 + 5) = 0, $F28,
    AU28 * (1 - IFERROR(INDEX('Inputs &amp; Assuptions'!$B$13:$B$72, COLUMN() - ($E28 + 5)), 0))
  )
)</f>
        <v>2003.04685825641</v>
      </c>
      <c r="AW28" s="80" t="n">
        <f aca="false" t="array" ref="AW28:AW28">IF(COLUMN() - ($E28 + 5) &lt; 0, 0,
  IF(COLUMN() - ($E28 + 5) = 0, $F28,
    AV28 * (1 - IFERROR(INDEX('Inputs &amp; Assuptions'!$B$13:$B$72, COLUMN() - ($E28 + 5)), 0))
  )
)</f>
        <v>1983.01638967384</v>
      </c>
      <c r="AX28" s="80" t="n">
        <f aca="false" t="array" ref="AX28:AX28">IF(COLUMN() - ($E28 + 5) &lt; 0, 0,
  IF(COLUMN() - ($E28 + 5) = 0, $F28,
    AW28 * (1 - IFERROR(INDEX('Inputs &amp; Assuptions'!$B$13:$B$72, COLUMN() - ($E28 + 5)), 0))
  )
)</f>
        <v>1963.1862257771</v>
      </c>
      <c r="AY28" s="80" t="n">
        <f aca="false" t="array" ref="AY28:AY28">IF(COLUMN() - ($E28 + 5) &lt; 0, 0,
  IF(COLUMN() - ($E28 + 5) = 0, $F28,
    AX28 * (1 - IFERROR(INDEX('Inputs &amp; Assuptions'!$B$13:$B$72, COLUMN() - ($E28 + 5)), 0))
  )
)</f>
        <v>1943.55436351933</v>
      </c>
      <c r="AZ28" s="80" t="n">
        <f aca="false" t="array" ref="AZ28:AZ28">IF(COLUMN() - ($E28 + 5) &lt; 0, 0,
  IF(COLUMN() - ($E28 + 5) = 0, $F28,
    AY28 * (1 - IFERROR(INDEX('Inputs &amp; Assuptions'!$B$13:$B$72, COLUMN() - ($E28 + 5)), 0))
  )
)</f>
        <v>1924.11881988414</v>
      </c>
      <c r="BA28" s="80" t="n">
        <f aca="false" t="array" ref="BA28:BA28">IF(COLUMN() - ($E28 + 5) &lt; 0, 0,
  IF(COLUMN() - ($E28 + 5) = 0, $F28,
    AZ28 * (1 - IFERROR(INDEX('Inputs &amp; Assuptions'!$B$13:$B$72, COLUMN() - ($E28 + 5)), 0))
  )
)</f>
        <v>1904.8776316853</v>
      </c>
      <c r="BB28" s="80" t="n">
        <f aca="false" t="array" ref="BB28:BB28">IF(COLUMN() - ($E28 + 5) &lt; 0, 0,
  IF(COLUMN() - ($E28 + 5) = 0, $F28,
    BA28 * (1 - IFERROR(INDEX('Inputs &amp; Assuptions'!$B$13:$B$72, COLUMN() - ($E28 + 5)), 0))
  )
)</f>
        <v>1885.82885536844</v>
      </c>
      <c r="BC28" s="80" t="n">
        <f aca="false" t="array" ref="BC28:BC28">IF(COLUMN() - ($E28 + 5) &lt; 0, 0,
  IF(COLUMN() - ($E28 + 5) = 0, $F28,
    BB28 * (1 - IFERROR(INDEX('Inputs &amp; Assuptions'!$B$13:$B$72, COLUMN() - ($E28 + 5)), 0))
  )
)</f>
        <v>1866.97056681476</v>
      </c>
      <c r="BD28" s="80" t="n">
        <f aca="false" t="array" ref="BD28:BD28">IF(COLUMN() - ($E28 + 5) &lt; 0, 0,
  IF(COLUMN() - ($E28 + 5) = 0, $F28,
    BC28 * (1 - IFERROR(INDEX('Inputs &amp; Assuptions'!$B$13:$B$72, COLUMN() - ($E28 + 5)), 0))
  )
)</f>
        <v>1848.30086114661</v>
      </c>
      <c r="BE28" s="80" t="n">
        <f aca="false" t="array" ref="BE28:BE28">IF(COLUMN() - ($E28 + 5) &lt; 0, 0,
  IF(COLUMN() - ($E28 + 5) = 0, $F28,
    BD28 * (1 - IFERROR(INDEX('Inputs &amp; Assuptions'!$B$13:$B$72, COLUMN() - ($E28 + 5)), 0))
  )
)</f>
        <v>1829.81785253515</v>
      </c>
      <c r="BF28" s="80" t="n">
        <f aca="false" t="array" ref="BF28:BF28">IF(COLUMN() - ($E28 + 5) &lt; 0, 0,
  IF(COLUMN() - ($E28 + 5) = 0, $F28,
    BE28 * (1 - IFERROR(INDEX('Inputs &amp; Assuptions'!$B$13:$B$72, COLUMN() - ($E28 + 5)), 0))
  )
)</f>
        <v>1811.51967400979</v>
      </c>
      <c r="BG28" s="80" t="n">
        <f aca="false" t="array" ref="BG28:BG28">IF(COLUMN() - ($E28 + 5) &lt; 0, 0,
  IF(COLUMN() - ($E28 + 5) = 0, $F28,
    BF28 * (1 - IFERROR(INDEX('Inputs &amp; Assuptions'!$B$13:$B$72, COLUMN() - ($E28 + 5)), 0))
  )
)</f>
        <v>1793.4044772697</v>
      </c>
      <c r="BH28" s="80" t="n">
        <f aca="false" t="array" ref="BH28:BH28">IF(COLUMN() - ($E28 + 5) &lt; 0, 0,
  IF(COLUMN() - ($E28 + 5) = 0, $F28,
    BG28 * (1 - IFERROR(INDEX('Inputs &amp; Assuptions'!$B$13:$B$72, COLUMN() - ($E28 + 5)), 0))
  )
)</f>
        <v>1775.470432497</v>
      </c>
      <c r="BI28" s="80" t="n">
        <f aca="false" t="array" ref="BI28:BI28">IF(COLUMN() - ($E28 + 5) &lt; 0, 0,
  IF(COLUMN() - ($E28 + 5) = 0, $F28,
    BH28 * (1 - IFERROR(INDEX('Inputs &amp; Assuptions'!$B$13:$B$72, COLUMN() - ($E28 + 5)), 0))
  )
)</f>
        <v>1757.71572817203</v>
      </c>
      <c r="BJ28" s="80" t="n">
        <f aca="false" t="array" ref="BJ28:BJ28">IF(COLUMN() - ($E28 + 5) &lt; 0, 0,
  IF(COLUMN() - ($E28 + 5) = 0, $F28,
    BI28 * (1 - IFERROR(INDEX('Inputs &amp; Assuptions'!$B$13:$B$72, COLUMN() - ($E28 + 5)), 0))
  )
)</f>
        <v>1740.13857089031</v>
      </c>
      <c r="BK28" s="80" t="n">
        <f aca="false" t="array" ref="BK28:BK28">IF(COLUMN() - ($E28 + 5) &lt; 0, 0,
  IF(COLUMN() - ($E28 + 5) = 0, $F28,
    BJ28 * (1 - IFERROR(INDEX('Inputs &amp; Assuptions'!$B$13:$B$72, COLUMN() - ($E28 + 5)), 0))
  )
)</f>
        <v>1722.73718518141</v>
      </c>
      <c r="BL28" s="80" t="n">
        <f aca="false" t="array" ref="BL28:BL28">IF(COLUMN() - ($E28 + 5) &lt; 0, 0,
  IF(COLUMN() - ($E28 + 5) = 0, $F28,
    BK28 * (1 - IFERROR(INDEX('Inputs &amp; Assuptions'!$B$13:$B$72, COLUMN() - ($E28 + 5)), 0))
  )
)</f>
        <v>1705.50981332959</v>
      </c>
      <c r="BM28" s="81" t="n">
        <f aca="false" t="array" ref="BM28:BM28">IF(COLUMN() - ($E28 + 5) &lt; 0, 0,
  IF(COLUMN() - ($E28 + 5) = 0, $F28,
    BL28 * (1 - IFERROR(INDEX('Inputs &amp; Assuptions'!$B$13:$B$72, COLUMN() - ($E28 + 5)), 0))
  )
)</f>
        <v>1688.4547151963</v>
      </c>
      <c r="BN28" s="76"/>
    </row>
    <row r="29" customFormat="false" ht="14.25" hidden="false" customHeight="false" outlineLevel="0" collapsed="false">
      <c r="A29" s="29" t="n">
        <f aca="false">A28+1</f>
        <v>24</v>
      </c>
      <c r="B29" s="77" t="n">
        <f aca="false">IF(MOD($A29-1, 12) = 0, $B28 * 1.05, $B28)</f>
        <v>6300</v>
      </c>
      <c r="C29" s="78" t="n">
        <f aca="false">$B29*(1-'Inputs &amp; Assuptions'!$B$12)</f>
        <v>3654</v>
      </c>
      <c r="E29" s="29" t="n">
        <f aca="false">E28+1</f>
        <v>24</v>
      </c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 t="n">
        <f aca="false">+$C29</f>
        <v>3654</v>
      </c>
      <c r="AD29" s="80" t="n">
        <f aca="false" t="array" ref="AD29:AD29">IF(COLUMN() - ($E29 + 5) &lt; 0, 0,
  IF(COLUMN() - ($E29 + 5) = 0, $F29,
    AC29 * (1 - IFERROR(INDEX('Inputs &amp; Assuptions'!$B$13:$B$72, COLUMN() - ($E29 + 5)), 0))
  )
)</f>
        <v>3270.33</v>
      </c>
      <c r="AE29" s="80" t="n">
        <f aca="false" t="array" ref="AE29:AE29">IF(COLUMN() - ($E29 + 5) &lt; 0, 0,
  IF(COLUMN() - ($E29 + 5) = 0, $F29,
    AD29 * (1 - IFERROR(INDEX('Inputs &amp; Assuptions'!$B$13:$B$72, COLUMN() - ($E29 + 5)), 0))
  )
)</f>
        <v>3008.7036</v>
      </c>
      <c r="AF29" s="80" t="n">
        <f aca="false" t="array" ref="AF29:AF29">IF(COLUMN() - ($E29 + 5) &lt; 0, 0,
  IF(COLUMN() - ($E29 + 5) = 0, $F29,
    AE29 * (1 - IFERROR(INDEX('Inputs &amp; Assuptions'!$B$13:$B$72, COLUMN() - ($E29 + 5)), 0))
  )
)</f>
        <v>2843.224902</v>
      </c>
      <c r="AG29" s="80" t="n">
        <f aca="false" t="array" ref="AG29:AG29">IF(COLUMN() - ($E29 + 5) &lt; 0, 0,
  IF(COLUMN() - ($E29 + 5) = 0, $F29,
    AF29 * (1 - IFERROR(INDEX('Inputs &amp; Assuptions'!$B$13:$B$72, COLUMN() - ($E29 + 5)), 0))
  )
)</f>
        <v>2701.0636569</v>
      </c>
      <c r="AH29" s="80" t="n">
        <f aca="false" t="array" ref="AH29:AH29">IF(COLUMN() - ($E29 + 5) &lt; 0, 0,
  IF(COLUMN() - ($E29 + 5) = 0, $F29,
    AG29 * (1 - IFERROR(INDEX('Inputs &amp; Assuptions'!$B$13:$B$72, COLUMN() - ($E29 + 5)), 0))
  )
)</f>
        <v>2579.5157923395</v>
      </c>
      <c r="AI29" s="80" t="n">
        <f aca="false" t="array" ref="AI29:AI29">IF(COLUMN() - ($E29 + 5) &lt; 0, 0,
  IF(COLUMN() - ($E29 + 5) = 0, $F29,
    AH29 * (1 - IFERROR(INDEX('Inputs &amp; Assuptions'!$B$13:$B$72, COLUMN() - ($E29 + 5)), 0))
  )
)</f>
        <v>2476.33516064592</v>
      </c>
      <c r="AJ29" s="80" t="n">
        <f aca="false" t="array" ref="AJ29:AJ29">IF(COLUMN() - ($E29 + 5) &lt; 0, 0,
  IF(COLUMN() - ($E29 + 5) = 0, $F29,
    AI29 * (1 - IFERROR(INDEX('Inputs &amp; Assuptions'!$B$13:$B$72, COLUMN() - ($E29 + 5)), 0))
  )
)</f>
        <v>2389.66343002331</v>
      </c>
      <c r="AK29" s="80" t="n">
        <f aca="false" t="array" ref="AK29:AK29">IF(COLUMN() - ($E29 + 5) &lt; 0, 0,
  IF(COLUMN() - ($E29 + 5) = 0, $F29,
    AJ29 * (1 - IFERROR(INDEX('Inputs &amp; Assuptions'!$B$13:$B$72, COLUMN() - ($E29 + 5)), 0))
  )
)</f>
        <v>2317.97352712261</v>
      </c>
      <c r="AL29" s="80" t="n">
        <f aca="false" t="array" ref="AL29:AL29">IF(COLUMN() - ($E29 + 5) &lt; 0, 0,
  IF(COLUMN() - ($E29 + 5) = 0, $F29,
    AK29 * (1 - IFERROR(INDEX('Inputs &amp; Assuptions'!$B$13:$B$72, COLUMN() - ($E29 + 5)), 0))
  )
)</f>
        <v>2260.02418894455</v>
      </c>
      <c r="AM29" s="80" t="n">
        <f aca="false" t="array" ref="AM29:AM29">IF(COLUMN() - ($E29 + 5) &lt; 0, 0,
  IF(COLUMN() - ($E29 + 5) = 0, $F29,
    AL29 * (1 - IFERROR(INDEX('Inputs &amp; Assuptions'!$B$13:$B$72, COLUMN() - ($E29 + 5)), 0))
  )
)</f>
        <v>2214.82370516566</v>
      </c>
      <c r="AN29" s="80" t="n">
        <f aca="false" t="array" ref="AN29:AN29">IF(COLUMN() - ($E29 + 5) &lt; 0, 0,
  IF(COLUMN() - ($E29 + 5) = 0, $F29,
    AM29 * (1 - IFERROR(INDEX('Inputs &amp; Assuptions'!$B$13:$B$72, COLUMN() - ($E29 + 5)), 0))
  )
)</f>
        <v>2192.675468114</v>
      </c>
      <c r="AO29" s="80" t="n">
        <f aca="false" t="array" ref="AO29:AO29">IF(COLUMN() - ($E29 + 5) &lt; 0, 0,
  IF(COLUMN() - ($E29 + 5) = 0, $F29,
    AN29 * (1 - IFERROR(INDEX('Inputs &amp; Assuptions'!$B$13:$B$72, COLUMN() - ($E29 + 5)), 0))
  )
)</f>
        <v>2170.74871343286</v>
      </c>
      <c r="AP29" s="80" t="n">
        <f aca="false" t="array" ref="AP29:AP29">IF(COLUMN() - ($E29 + 5) &lt; 0, 0,
  IF(COLUMN() - ($E29 + 5) = 0, $F29,
    AO29 * (1 - IFERROR(INDEX('Inputs &amp; Assuptions'!$B$13:$B$72, COLUMN() - ($E29 + 5)), 0))
  )
)</f>
        <v>2149.04122629853</v>
      </c>
      <c r="AQ29" s="80" t="n">
        <f aca="false" t="array" ref="AQ29:AQ29">IF(COLUMN() - ($E29 + 5) &lt; 0, 0,
  IF(COLUMN() - ($E29 + 5) = 0, $F29,
    AP29 * (1 - IFERROR(INDEX('Inputs &amp; Assuptions'!$B$13:$B$72, COLUMN() - ($E29 + 5)), 0))
  )
)</f>
        <v>2127.55081403555</v>
      </c>
      <c r="AR29" s="80" t="n">
        <f aca="false" t="array" ref="AR29:AR29">IF(COLUMN() - ($E29 + 5) &lt; 0, 0,
  IF(COLUMN() - ($E29 + 5) = 0, $F29,
    AQ29 * (1 - IFERROR(INDEX('Inputs &amp; Assuptions'!$B$13:$B$72, COLUMN() - ($E29 + 5)), 0))
  )
)</f>
        <v>2106.27530589519</v>
      </c>
      <c r="AS29" s="80" t="n">
        <f aca="false" t="array" ref="AS29:AS29">IF(COLUMN() - ($E29 + 5) &lt; 0, 0,
  IF(COLUMN() - ($E29 + 5) = 0, $F29,
    AR29 * (1 - IFERROR(INDEX('Inputs &amp; Assuptions'!$B$13:$B$72, COLUMN() - ($E29 + 5)), 0))
  )
)</f>
        <v>2085.21255283624</v>
      </c>
      <c r="AT29" s="80" t="n">
        <f aca="false" t="array" ref="AT29:AT29">IF(COLUMN() - ($E29 + 5) &lt; 0, 0,
  IF(COLUMN() - ($E29 + 5) = 0, $F29,
    AS29 * (1 - IFERROR(INDEX('Inputs &amp; Assuptions'!$B$13:$B$72, COLUMN() - ($E29 + 5)), 0))
  )
)</f>
        <v>2064.36042730788</v>
      </c>
      <c r="AU29" s="80" t="n">
        <f aca="false" t="array" ref="AU29:AU29">IF(COLUMN() - ($E29 + 5) &lt; 0, 0,
  IF(COLUMN() - ($E29 + 5) = 0, $F29,
    AT29 * (1 - IFERROR(INDEX('Inputs &amp; Assuptions'!$B$13:$B$72, COLUMN() - ($E29 + 5)), 0))
  )
)</f>
        <v>2043.7168230348</v>
      </c>
      <c r="AV29" s="80" t="n">
        <f aca="false" t="array" ref="AV29:AV29">IF(COLUMN() - ($E29 + 5) &lt; 0, 0,
  IF(COLUMN() - ($E29 + 5) = 0, $F29,
    AU29 * (1 - IFERROR(INDEX('Inputs &amp; Assuptions'!$B$13:$B$72, COLUMN() - ($E29 + 5)), 0))
  )
)</f>
        <v>2023.27965480445</v>
      </c>
      <c r="AW29" s="80" t="n">
        <f aca="false" t="array" ref="AW29:AW29">IF(COLUMN() - ($E29 + 5) &lt; 0, 0,
  IF(COLUMN() - ($E29 + 5) = 0, $F29,
    AV29 * (1 - IFERROR(INDEX('Inputs &amp; Assuptions'!$B$13:$B$72, COLUMN() - ($E29 + 5)), 0))
  )
)</f>
        <v>2003.04685825641</v>
      </c>
      <c r="AX29" s="80" t="n">
        <f aca="false" t="array" ref="AX29:AX29">IF(COLUMN() - ($E29 + 5) &lt; 0, 0,
  IF(COLUMN() - ($E29 + 5) = 0, $F29,
    AW29 * (1 - IFERROR(INDEX('Inputs &amp; Assuptions'!$B$13:$B$72, COLUMN() - ($E29 + 5)), 0))
  )
)</f>
        <v>1983.01638967384</v>
      </c>
      <c r="AY29" s="80" t="n">
        <f aca="false" t="array" ref="AY29:AY29">IF(COLUMN() - ($E29 + 5) &lt; 0, 0,
  IF(COLUMN() - ($E29 + 5) = 0, $F29,
    AX29 * (1 - IFERROR(INDEX('Inputs &amp; Assuptions'!$B$13:$B$72, COLUMN() - ($E29 + 5)), 0))
  )
)</f>
        <v>1963.1862257771</v>
      </c>
      <c r="AZ29" s="80" t="n">
        <f aca="false" t="array" ref="AZ29:AZ29">IF(COLUMN() - ($E29 + 5) &lt; 0, 0,
  IF(COLUMN() - ($E29 + 5) = 0, $F29,
    AY29 * (1 - IFERROR(INDEX('Inputs &amp; Assuptions'!$B$13:$B$72, COLUMN() - ($E29 + 5)), 0))
  )
)</f>
        <v>1943.55436351933</v>
      </c>
      <c r="BA29" s="80" t="n">
        <f aca="false" t="array" ref="BA29:BA29">IF(COLUMN() - ($E29 + 5) &lt; 0, 0,
  IF(COLUMN() - ($E29 + 5) = 0, $F29,
    AZ29 * (1 - IFERROR(INDEX('Inputs &amp; Assuptions'!$B$13:$B$72, COLUMN() - ($E29 + 5)), 0))
  )
)</f>
        <v>1924.11881988414</v>
      </c>
      <c r="BB29" s="80" t="n">
        <f aca="false" t="array" ref="BB29:BB29">IF(COLUMN() - ($E29 + 5) &lt; 0, 0,
  IF(COLUMN() - ($E29 + 5) = 0, $F29,
    BA29 * (1 - IFERROR(INDEX('Inputs &amp; Assuptions'!$B$13:$B$72, COLUMN() - ($E29 + 5)), 0))
  )
)</f>
        <v>1904.8776316853</v>
      </c>
      <c r="BC29" s="80" t="n">
        <f aca="false" t="array" ref="BC29:BC29">IF(COLUMN() - ($E29 + 5) &lt; 0, 0,
  IF(COLUMN() - ($E29 + 5) = 0, $F29,
    BB29 * (1 - IFERROR(INDEX('Inputs &amp; Assuptions'!$B$13:$B$72, COLUMN() - ($E29 + 5)), 0))
  )
)</f>
        <v>1885.82885536844</v>
      </c>
      <c r="BD29" s="80" t="n">
        <f aca="false" t="array" ref="BD29:BD29">IF(COLUMN() - ($E29 + 5) &lt; 0, 0,
  IF(COLUMN() - ($E29 + 5) = 0, $F29,
    BC29 * (1 - IFERROR(INDEX('Inputs &amp; Assuptions'!$B$13:$B$72, COLUMN() - ($E29 + 5)), 0))
  )
)</f>
        <v>1866.97056681476</v>
      </c>
      <c r="BE29" s="80" t="n">
        <f aca="false" t="array" ref="BE29:BE29">IF(COLUMN() - ($E29 + 5) &lt; 0, 0,
  IF(COLUMN() - ($E29 + 5) = 0, $F29,
    BD29 * (1 - IFERROR(INDEX('Inputs &amp; Assuptions'!$B$13:$B$72, COLUMN() - ($E29 + 5)), 0))
  )
)</f>
        <v>1848.30086114661</v>
      </c>
      <c r="BF29" s="80" t="n">
        <f aca="false" t="array" ref="BF29:BF29">IF(COLUMN() - ($E29 + 5) &lt; 0, 0,
  IF(COLUMN() - ($E29 + 5) = 0, $F29,
    BE29 * (1 - IFERROR(INDEX('Inputs &amp; Assuptions'!$B$13:$B$72, COLUMN() - ($E29 + 5)), 0))
  )
)</f>
        <v>1829.81785253515</v>
      </c>
      <c r="BG29" s="80" t="n">
        <f aca="false" t="array" ref="BG29:BG29">IF(COLUMN() - ($E29 + 5) &lt; 0, 0,
  IF(COLUMN() - ($E29 + 5) = 0, $F29,
    BF29 * (1 - IFERROR(INDEX('Inputs &amp; Assuptions'!$B$13:$B$72, COLUMN() - ($E29 + 5)), 0))
  )
)</f>
        <v>1811.51967400979</v>
      </c>
      <c r="BH29" s="80" t="n">
        <f aca="false" t="array" ref="BH29:BH29">IF(COLUMN() - ($E29 + 5) &lt; 0, 0,
  IF(COLUMN() - ($E29 + 5) = 0, $F29,
    BG29 * (1 - IFERROR(INDEX('Inputs &amp; Assuptions'!$B$13:$B$72, COLUMN() - ($E29 + 5)), 0))
  )
)</f>
        <v>1793.4044772697</v>
      </c>
      <c r="BI29" s="80" t="n">
        <f aca="false" t="array" ref="BI29:BI29">IF(COLUMN() - ($E29 + 5) &lt; 0, 0,
  IF(COLUMN() - ($E29 + 5) = 0, $F29,
    BH29 * (1 - IFERROR(INDEX('Inputs &amp; Assuptions'!$B$13:$B$72, COLUMN() - ($E29 + 5)), 0))
  )
)</f>
        <v>1775.470432497</v>
      </c>
      <c r="BJ29" s="80" t="n">
        <f aca="false" t="array" ref="BJ29:BJ29">IF(COLUMN() - ($E29 + 5) &lt; 0, 0,
  IF(COLUMN() - ($E29 + 5) = 0, $F29,
    BI29 * (1 - IFERROR(INDEX('Inputs &amp; Assuptions'!$B$13:$B$72, COLUMN() - ($E29 + 5)), 0))
  )
)</f>
        <v>1757.71572817203</v>
      </c>
      <c r="BK29" s="80" t="n">
        <f aca="false" t="array" ref="BK29:BK29">IF(COLUMN() - ($E29 + 5) &lt; 0, 0,
  IF(COLUMN() - ($E29 + 5) = 0, $F29,
    BJ29 * (1 - IFERROR(INDEX('Inputs &amp; Assuptions'!$B$13:$B$72, COLUMN() - ($E29 + 5)), 0))
  )
)</f>
        <v>1740.13857089031</v>
      </c>
      <c r="BL29" s="80" t="n">
        <f aca="false" t="array" ref="BL29:BL29">IF(COLUMN() - ($E29 + 5) &lt; 0, 0,
  IF(COLUMN() - ($E29 + 5) = 0, $F29,
    BK29 * (1 - IFERROR(INDEX('Inputs &amp; Assuptions'!$B$13:$B$72, COLUMN() - ($E29 + 5)), 0))
  )
)</f>
        <v>1722.73718518141</v>
      </c>
      <c r="BM29" s="81" t="n">
        <f aca="false" t="array" ref="BM29:BM29">IF(COLUMN() - ($E29 + 5) &lt; 0, 0,
  IF(COLUMN() - ($E29 + 5) = 0, $F29,
    BL29 * (1 - IFERROR(INDEX('Inputs &amp; Assuptions'!$B$13:$B$72, COLUMN() - ($E29 + 5)), 0))
  )
)</f>
        <v>1705.50981332959</v>
      </c>
      <c r="BN29" s="76"/>
    </row>
    <row r="30" customFormat="false" ht="14.25" hidden="false" customHeight="false" outlineLevel="0" collapsed="false">
      <c r="A30" s="29" t="n">
        <f aca="false">A29+1</f>
        <v>25</v>
      </c>
      <c r="B30" s="77" t="n">
        <f aca="false">IF(MOD($A30-1, 12) = 0, $B29 * 1.05, $B29)</f>
        <v>6615</v>
      </c>
      <c r="C30" s="78" t="n">
        <f aca="false">$B30*(1-'Inputs &amp; Assuptions'!$B$12)</f>
        <v>3836.7</v>
      </c>
      <c r="E30" s="29" t="n">
        <f aca="false">E29+1</f>
        <v>25</v>
      </c>
      <c r="F30" s="79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 t="n">
        <f aca="false">+$C30</f>
        <v>3836.7</v>
      </c>
      <c r="AE30" s="80" t="n">
        <f aca="false" t="array" ref="AE30:AE30">IF(COLUMN() - ($E30 + 5) &lt; 0, 0,
  IF(COLUMN() - ($E30 + 5) = 0, $F30,
    AD30 * (1 - IFERROR(INDEX('Inputs &amp; Assuptions'!$B$13:$B$72, COLUMN() - ($E30 + 5)), 0))
  )
)</f>
        <v>3433.8465</v>
      </c>
      <c r="AF30" s="80" t="n">
        <f aca="false" t="array" ref="AF30:AF30">IF(COLUMN() - ($E30 + 5) &lt; 0, 0,
  IF(COLUMN() - ($E30 + 5) = 0, $F30,
    AE30 * (1 - IFERROR(INDEX('Inputs &amp; Assuptions'!$B$13:$B$72, COLUMN() - ($E30 + 5)), 0))
  )
)</f>
        <v>3159.13878</v>
      </c>
      <c r="AG30" s="80" t="n">
        <f aca="false" t="array" ref="AG30:AG30">IF(COLUMN() - ($E30 + 5) &lt; 0, 0,
  IF(COLUMN() - ($E30 + 5) = 0, $F30,
    AF30 * (1 - IFERROR(INDEX('Inputs &amp; Assuptions'!$B$13:$B$72, COLUMN() - ($E30 + 5)), 0))
  )
)</f>
        <v>2985.3861471</v>
      </c>
      <c r="AH30" s="80" t="n">
        <f aca="false" t="array" ref="AH30:AH30">IF(COLUMN() - ($E30 + 5) &lt; 0, 0,
  IF(COLUMN() - ($E30 + 5) = 0, $F30,
    AG30 * (1 - IFERROR(INDEX('Inputs &amp; Assuptions'!$B$13:$B$72, COLUMN() - ($E30 + 5)), 0))
  )
)</f>
        <v>2836.116839745</v>
      </c>
      <c r="AI30" s="80" t="n">
        <f aca="false" t="array" ref="AI30:AI30">IF(COLUMN() - ($E30 + 5) &lt; 0, 0,
  IF(COLUMN() - ($E30 + 5) = 0, $F30,
    AH30 * (1 - IFERROR(INDEX('Inputs &amp; Assuptions'!$B$13:$B$72, COLUMN() - ($E30 + 5)), 0))
  )
)</f>
        <v>2708.49158195648</v>
      </c>
      <c r="AJ30" s="80" t="n">
        <f aca="false" t="array" ref="AJ30:AJ30">IF(COLUMN() - ($E30 + 5) &lt; 0, 0,
  IF(COLUMN() - ($E30 + 5) = 0, $F30,
    AI30 * (1 - IFERROR(INDEX('Inputs &amp; Assuptions'!$B$13:$B$72, COLUMN() - ($E30 + 5)), 0))
  )
)</f>
        <v>2600.15191867822</v>
      </c>
      <c r="AK30" s="80" t="n">
        <f aca="false" t="array" ref="AK30:AK30">IF(COLUMN() - ($E30 + 5) &lt; 0, 0,
  IF(COLUMN() - ($E30 + 5) = 0, $F30,
    AJ30 * (1 - IFERROR(INDEX('Inputs &amp; Assuptions'!$B$13:$B$72, COLUMN() - ($E30 + 5)), 0))
  )
)</f>
        <v>2509.14660152448</v>
      </c>
      <c r="AL30" s="80" t="n">
        <f aca="false" t="array" ref="AL30:AL30">IF(COLUMN() - ($E30 + 5) &lt; 0, 0,
  IF(COLUMN() - ($E30 + 5) = 0, $F30,
    AK30 * (1 - IFERROR(INDEX('Inputs &amp; Assuptions'!$B$13:$B$72, COLUMN() - ($E30 + 5)), 0))
  )
)</f>
        <v>2433.87220347874</v>
      </c>
      <c r="AM30" s="80" t="n">
        <f aca="false" t="array" ref="AM30:AM30">IF(COLUMN() - ($E30 + 5) &lt; 0, 0,
  IF(COLUMN() - ($E30 + 5) = 0, $F30,
    AL30 * (1 - IFERROR(INDEX('Inputs &amp; Assuptions'!$B$13:$B$72, COLUMN() - ($E30 + 5)), 0))
  )
)</f>
        <v>2373.02539839178</v>
      </c>
      <c r="AN30" s="80" t="n">
        <f aca="false" t="array" ref="AN30:AN30">IF(COLUMN() - ($E30 + 5) &lt; 0, 0,
  IF(COLUMN() - ($E30 + 5) = 0, $F30,
    AM30 * (1 - IFERROR(INDEX('Inputs &amp; Assuptions'!$B$13:$B$72, COLUMN() - ($E30 + 5)), 0))
  )
)</f>
        <v>2325.56489042394</v>
      </c>
      <c r="AO30" s="80" t="n">
        <f aca="false" t="array" ref="AO30:AO30">IF(COLUMN() - ($E30 + 5) &lt; 0, 0,
  IF(COLUMN() - ($E30 + 5) = 0, $F30,
    AN30 * (1 - IFERROR(INDEX('Inputs &amp; Assuptions'!$B$13:$B$72, COLUMN() - ($E30 + 5)), 0))
  )
)</f>
        <v>2302.3092415197</v>
      </c>
      <c r="AP30" s="80" t="n">
        <f aca="false" t="array" ref="AP30:AP30">IF(COLUMN() - ($E30 + 5) &lt; 0, 0,
  IF(COLUMN() - ($E30 + 5) = 0, $F30,
    AO30 * (1 - IFERROR(INDEX('Inputs &amp; Assuptions'!$B$13:$B$72, COLUMN() - ($E30 + 5)), 0))
  )
)</f>
        <v>2279.2861491045</v>
      </c>
      <c r="AQ30" s="80" t="n">
        <f aca="false" t="array" ref="AQ30:AQ30">IF(COLUMN() - ($E30 + 5) &lt; 0, 0,
  IF(COLUMN() - ($E30 + 5) = 0, $F30,
    AP30 * (1 - IFERROR(INDEX('Inputs &amp; Assuptions'!$B$13:$B$72, COLUMN() - ($E30 + 5)), 0))
  )
)</f>
        <v>2256.49328761346</v>
      </c>
      <c r="AR30" s="80" t="n">
        <f aca="false" t="array" ref="AR30:AR30">IF(COLUMN() - ($E30 + 5) &lt; 0, 0,
  IF(COLUMN() - ($E30 + 5) = 0, $F30,
    AQ30 * (1 - IFERROR(INDEX('Inputs &amp; Assuptions'!$B$13:$B$72, COLUMN() - ($E30 + 5)), 0))
  )
)</f>
        <v>2233.92835473732</v>
      </c>
      <c r="AS30" s="80" t="n">
        <f aca="false" t="array" ref="AS30:AS30">IF(COLUMN() - ($E30 + 5) &lt; 0, 0,
  IF(COLUMN() - ($E30 + 5) = 0, $F30,
    AR30 * (1 - IFERROR(INDEX('Inputs &amp; Assuptions'!$B$13:$B$72, COLUMN() - ($E30 + 5)), 0))
  )
)</f>
        <v>2211.58907118995</v>
      </c>
      <c r="AT30" s="80" t="n">
        <f aca="false" t="array" ref="AT30:AT30">IF(COLUMN() - ($E30 + 5) &lt; 0, 0,
  IF(COLUMN() - ($E30 + 5) = 0, $F30,
    AS30 * (1 - IFERROR(INDEX('Inputs &amp; Assuptions'!$B$13:$B$72, COLUMN() - ($E30 + 5)), 0))
  )
)</f>
        <v>2189.47318047805</v>
      </c>
      <c r="AU30" s="80" t="n">
        <f aca="false" t="array" ref="AU30:AU30">IF(COLUMN() - ($E30 + 5) &lt; 0, 0,
  IF(COLUMN() - ($E30 + 5) = 0, $F30,
    AT30 * (1 - IFERROR(INDEX('Inputs &amp; Assuptions'!$B$13:$B$72, COLUMN() - ($E30 + 5)), 0))
  )
)</f>
        <v>2167.57844867327</v>
      </c>
      <c r="AV30" s="80" t="n">
        <f aca="false" t="array" ref="AV30:AV30">IF(COLUMN() - ($E30 + 5) &lt; 0, 0,
  IF(COLUMN() - ($E30 + 5) = 0, $F30,
    AU30 * (1 - IFERROR(INDEX('Inputs &amp; Assuptions'!$B$13:$B$72, COLUMN() - ($E30 + 5)), 0))
  )
)</f>
        <v>2145.90266418654</v>
      </c>
      <c r="AW30" s="80" t="n">
        <f aca="false" t="array" ref="AW30:AW30">IF(COLUMN() - ($E30 + 5) &lt; 0, 0,
  IF(COLUMN() - ($E30 + 5) = 0, $F30,
    AV30 * (1 - IFERROR(INDEX('Inputs &amp; Assuptions'!$B$13:$B$72, COLUMN() - ($E30 + 5)), 0))
  )
)</f>
        <v>2124.44363754467</v>
      </c>
      <c r="AX30" s="80" t="n">
        <f aca="false" t="array" ref="AX30:AX30">IF(COLUMN() - ($E30 + 5) &lt; 0, 0,
  IF(COLUMN() - ($E30 + 5) = 0, $F30,
    AW30 * (1 - IFERROR(INDEX('Inputs &amp; Assuptions'!$B$13:$B$72, COLUMN() - ($E30 + 5)), 0))
  )
)</f>
        <v>2103.19920116923</v>
      </c>
      <c r="AY30" s="80" t="n">
        <f aca="false" t="array" ref="AY30:AY30">IF(COLUMN() - ($E30 + 5) &lt; 0, 0,
  IF(COLUMN() - ($E30 + 5) = 0, $F30,
    AX30 * (1 - IFERROR(INDEX('Inputs &amp; Assuptions'!$B$13:$B$72, COLUMN() - ($E30 + 5)), 0))
  )
)</f>
        <v>2082.16720915753</v>
      </c>
      <c r="AZ30" s="80" t="n">
        <f aca="false" t="array" ref="AZ30:AZ30">IF(COLUMN() - ($E30 + 5) &lt; 0, 0,
  IF(COLUMN() - ($E30 + 5) = 0, $F30,
    AY30 * (1 - IFERROR(INDEX('Inputs &amp; Assuptions'!$B$13:$B$72, COLUMN() - ($E30 + 5)), 0))
  )
)</f>
        <v>2061.34553706596</v>
      </c>
      <c r="BA30" s="80" t="n">
        <f aca="false" t="array" ref="BA30:BA30">IF(COLUMN() - ($E30 + 5) &lt; 0, 0,
  IF(COLUMN() - ($E30 + 5) = 0, $F30,
    AZ30 * (1 - IFERROR(INDEX('Inputs &amp; Assuptions'!$B$13:$B$72, COLUMN() - ($E30 + 5)), 0))
  )
)</f>
        <v>2040.7320816953</v>
      </c>
      <c r="BB30" s="80" t="n">
        <f aca="false" t="array" ref="BB30:BB30">IF(COLUMN() - ($E30 + 5) &lt; 0, 0,
  IF(COLUMN() - ($E30 + 5) = 0, $F30,
    BA30 * (1 - IFERROR(INDEX('Inputs &amp; Assuptions'!$B$13:$B$72, COLUMN() - ($E30 + 5)), 0))
  )
)</f>
        <v>2020.32476087835</v>
      </c>
      <c r="BC30" s="80" t="n">
        <f aca="false" t="array" ref="BC30:BC30">IF(COLUMN() - ($E30 + 5) &lt; 0, 0,
  IF(COLUMN() - ($E30 + 5) = 0, $F30,
    BB30 * (1 - IFERROR(INDEX('Inputs &amp; Assuptions'!$B$13:$B$72, COLUMN() - ($E30 + 5)), 0))
  )
)</f>
        <v>2000.12151326956</v>
      </c>
      <c r="BD30" s="80" t="n">
        <f aca="false" t="array" ref="BD30:BD30">IF(COLUMN() - ($E30 + 5) &lt; 0, 0,
  IF(COLUMN() - ($E30 + 5) = 0, $F30,
    BC30 * (1 - IFERROR(INDEX('Inputs &amp; Assuptions'!$B$13:$B$72, COLUMN() - ($E30 + 5)), 0))
  )
)</f>
        <v>1980.12029813687</v>
      </c>
      <c r="BE30" s="80" t="n">
        <f aca="false" t="array" ref="BE30:BE30">IF(COLUMN() - ($E30 + 5) &lt; 0, 0,
  IF(COLUMN() - ($E30 + 5) = 0, $F30,
    BD30 * (1 - IFERROR(INDEX('Inputs &amp; Assuptions'!$B$13:$B$72, COLUMN() - ($E30 + 5)), 0))
  )
)</f>
        <v>1960.3190951555</v>
      </c>
      <c r="BF30" s="80" t="n">
        <f aca="false" t="array" ref="BF30:BF30">IF(COLUMN() - ($E30 + 5) &lt; 0, 0,
  IF(COLUMN() - ($E30 + 5) = 0, $F30,
    BE30 * (1 - IFERROR(INDEX('Inputs &amp; Assuptions'!$B$13:$B$72, COLUMN() - ($E30 + 5)), 0))
  )
)</f>
        <v>1940.71590420394</v>
      </c>
      <c r="BG30" s="80" t="n">
        <f aca="false" t="array" ref="BG30:BG30">IF(COLUMN() - ($E30 + 5) &lt; 0, 0,
  IF(COLUMN() - ($E30 + 5) = 0, $F30,
    BF30 * (1 - IFERROR(INDEX('Inputs &amp; Assuptions'!$B$13:$B$72, COLUMN() - ($E30 + 5)), 0))
  )
)</f>
        <v>1921.3087451619</v>
      </c>
      <c r="BH30" s="80" t="n">
        <f aca="false" t="array" ref="BH30:BH30">IF(COLUMN() - ($E30 + 5) &lt; 0, 0,
  IF(COLUMN() - ($E30 + 5) = 0, $F30,
    BG30 * (1 - IFERROR(INDEX('Inputs &amp; Assuptions'!$B$13:$B$72, COLUMN() - ($E30 + 5)), 0))
  )
)</f>
        <v>1902.09565771028</v>
      </c>
      <c r="BI30" s="80" t="n">
        <f aca="false" t="array" ref="BI30:BI30">IF(COLUMN() - ($E30 + 5) &lt; 0, 0,
  IF(COLUMN() - ($E30 + 5) = 0, $F30,
    BH30 * (1 - IFERROR(INDEX('Inputs &amp; Assuptions'!$B$13:$B$72, COLUMN() - ($E30 + 5)), 0))
  )
)</f>
        <v>1883.07470113318</v>
      </c>
      <c r="BJ30" s="80" t="n">
        <f aca="false" t="array" ref="BJ30:BJ30">IF(COLUMN() - ($E30 + 5) &lt; 0, 0,
  IF(COLUMN() - ($E30 + 5) = 0, $F30,
    BI30 * (1 - IFERROR(INDEX('Inputs &amp; Assuptions'!$B$13:$B$72, COLUMN() - ($E30 + 5)), 0))
  )
)</f>
        <v>1864.24395412185</v>
      </c>
      <c r="BK30" s="80" t="n">
        <f aca="false" t="array" ref="BK30:BK30">IF(COLUMN() - ($E30 + 5) &lt; 0, 0,
  IF(COLUMN() - ($E30 + 5) = 0, $F30,
    BJ30 * (1 - IFERROR(INDEX('Inputs &amp; Assuptions'!$B$13:$B$72, COLUMN() - ($E30 + 5)), 0))
  )
)</f>
        <v>1845.60151458063</v>
      </c>
      <c r="BL30" s="80" t="n">
        <f aca="false" t="array" ref="BL30:BL30">IF(COLUMN() - ($E30 + 5) &lt; 0, 0,
  IF(COLUMN() - ($E30 + 5) = 0, $F30,
    BK30 * (1 - IFERROR(INDEX('Inputs &amp; Assuptions'!$B$13:$B$72, COLUMN() - ($E30 + 5)), 0))
  )
)</f>
        <v>1827.14549943482</v>
      </c>
      <c r="BM30" s="81" t="n">
        <f aca="false" t="array" ref="BM30:BM30">IF(COLUMN() - ($E30 + 5) &lt; 0, 0,
  IF(COLUMN() - ($E30 + 5) = 0, $F30,
    BL30 * (1 - IFERROR(INDEX('Inputs &amp; Assuptions'!$B$13:$B$72, COLUMN() - ($E30 + 5)), 0))
  )
)</f>
        <v>1808.87404444048</v>
      </c>
      <c r="BN30" s="76"/>
    </row>
    <row r="31" customFormat="false" ht="14.25" hidden="false" customHeight="false" outlineLevel="0" collapsed="false">
      <c r="A31" s="29" t="n">
        <f aca="false">A30+1</f>
        <v>26</v>
      </c>
      <c r="B31" s="77" t="n">
        <f aca="false">IF(MOD($A31-1, 12) = 0, $B30 * 1.05, $B30)</f>
        <v>6615</v>
      </c>
      <c r="C31" s="78" t="n">
        <f aca="false">$B31*(1-'Inputs &amp; Assuptions'!$B$12)</f>
        <v>3836.7</v>
      </c>
      <c r="E31" s="29" t="n">
        <f aca="false">E30+1</f>
        <v>26</v>
      </c>
      <c r="F31" s="79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 t="n">
        <f aca="false">+$C31</f>
        <v>3836.7</v>
      </c>
      <c r="AF31" s="80" t="n">
        <f aca="false" t="array" ref="AF31:AF31">IF(COLUMN() - ($E31 + 5) &lt; 0, 0,
  IF(COLUMN() - ($E31 + 5) = 0, $F31,
    AE31 * (1 - IFERROR(INDEX('Inputs &amp; Assuptions'!$B$13:$B$72, COLUMN() - ($E31 + 5)), 0))
  )
)</f>
        <v>3433.8465</v>
      </c>
      <c r="AG31" s="80" t="n">
        <f aca="false" t="array" ref="AG31:AG31">IF(COLUMN() - ($E31 + 5) &lt; 0, 0,
  IF(COLUMN() - ($E31 + 5) = 0, $F31,
    AF31 * (1 - IFERROR(INDEX('Inputs &amp; Assuptions'!$B$13:$B$72, COLUMN() - ($E31 + 5)), 0))
  )
)</f>
        <v>3159.13878</v>
      </c>
      <c r="AH31" s="80" t="n">
        <f aca="false" t="array" ref="AH31:AH31">IF(COLUMN() - ($E31 + 5) &lt; 0, 0,
  IF(COLUMN() - ($E31 + 5) = 0, $F31,
    AG31 * (1 - IFERROR(INDEX('Inputs &amp; Assuptions'!$B$13:$B$72, COLUMN() - ($E31 + 5)), 0))
  )
)</f>
        <v>2985.3861471</v>
      </c>
      <c r="AI31" s="80" t="n">
        <f aca="false" t="array" ref="AI31:AI31">IF(COLUMN() - ($E31 + 5) &lt; 0, 0,
  IF(COLUMN() - ($E31 + 5) = 0, $F31,
    AH31 * (1 - IFERROR(INDEX('Inputs &amp; Assuptions'!$B$13:$B$72, COLUMN() - ($E31 + 5)), 0))
  )
)</f>
        <v>2836.116839745</v>
      </c>
      <c r="AJ31" s="80" t="n">
        <f aca="false" t="array" ref="AJ31:AJ31">IF(COLUMN() - ($E31 + 5) &lt; 0, 0,
  IF(COLUMN() - ($E31 + 5) = 0, $F31,
    AI31 * (1 - IFERROR(INDEX('Inputs &amp; Assuptions'!$B$13:$B$72, COLUMN() - ($E31 + 5)), 0))
  )
)</f>
        <v>2708.49158195648</v>
      </c>
      <c r="AK31" s="80" t="n">
        <f aca="false" t="array" ref="AK31:AK31">IF(COLUMN() - ($E31 + 5) &lt; 0, 0,
  IF(COLUMN() - ($E31 + 5) = 0, $F31,
    AJ31 * (1 - IFERROR(INDEX('Inputs &amp; Assuptions'!$B$13:$B$72, COLUMN() - ($E31 + 5)), 0))
  )
)</f>
        <v>2600.15191867822</v>
      </c>
      <c r="AL31" s="80" t="n">
        <f aca="false" t="array" ref="AL31:AL31">IF(COLUMN() - ($E31 + 5) &lt; 0, 0,
  IF(COLUMN() - ($E31 + 5) = 0, $F31,
    AK31 * (1 - IFERROR(INDEX('Inputs &amp; Assuptions'!$B$13:$B$72, COLUMN() - ($E31 + 5)), 0))
  )
)</f>
        <v>2509.14660152448</v>
      </c>
      <c r="AM31" s="80" t="n">
        <f aca="false" t="array" ref="AM31:AM31">IF(COLUMN() - ($E31 + 5) &lt; 0, 0,
  IF(COLUMN() - ($E31 + 5) = 0, $F31,
    AL31 * (1 - IFERROR(INDEX('Inputs &amp; Assuptions'!$B$13:$B$72, COLUMN() - ($E31 + 5)), 0))
  )
)</f>
        <v>2433.87220347874</v>
      </c>
      <c r="AN31" s="80" t="n">
        <f aca="false" t="array" ref="AN31:AN31">IF(COLUMN() - ($E31 + 5) &lt; 0, 0,
  IF(COLUMN() - ($E31 + 5) = 0, $F31,
    AM31 * (1 - IFERROR(INDEX('Inputs &amp; Assuptions'!$B$13:$B$72, COLUMN() - ($E31 + 5)), 0))
  )
)</f>
        <v>2373.02539839178</v>
      </c>
      <c r="AO31" s="80" t="n">
        <f aca="false" t="array" ref="AO31:AO31">IF(COLUMN() - ($E31 + 5) &lt; 0, 0,
  IF(COLUMN() - ($E31 + 5) = 0, $F31,
    AN31 * (1 - IFERROR(INDEX('Inputs &amp; Assuptions'!$B$13:$B$72, COLUMN() - ($E31 + 5)), 0))
  )
)</f>
        <v>2325.56489042394</v>
      </c>
      <c r="AP31" s="80" t="n">
        <f aca="false" t="array" ref="AP31:AP31">IF(COLUMN() - ($E31 + 5) &lt; 0, 0,
  IF(COLUMN() - ($E31 + 5) = 0, $F31,
    AO31 * (1 - IFERROR(INDEX('Inputs &amp; Assuptions'!$B$13:$B$72, COLUMN() - ($E31 + 5)), 0))
  )
)</f>
        <v>2302.3092415197</v>
      </c>
      <c r="AQ31" s="80" t="n">
        <f aca="false" t="array" ref="AQ31:AQ31">IF(COLUMN() - ($E31 + 5) &lt; 0, 0,
  IF(COLUMN() - ($E31 + 5) = 0, $F31,
    AP31 * (1 - IFERROR(INDEX('Inputs &amp; Assuptions'!$B$13:$B$72, COLUMN() - ($E31 + 5)), 0))
  )
)</f>
        <v>2279.2861491045</v>
      </c>
      <c r="AR31" s="80" t="n">
        <f aca="false" t="array" ref="AR31:AR31">IF(COLUMN() - ($E31 + 5) &lt; 0, 0,
  IF(COLUMN() - ($E31 + 5) = 0, $F31,
    AQ31 * (1 - IFERROR(INDEX('Inputs &amp; Assuptions'!$B$13:$B$72, COLUMN() - ($E31 + 5)), 0))
  )
)</f>
        <v>2256.49328761346</v>
      </c>
      <c r="AS31" s="80" t="n">
        <f aca="false" t="array" ref="AS31:AS31">IF(COLUMN() - ($E31 + 5) &lt; 0, 0,
  IF(COLUMN() - ($E31 + 5) = 0, $F31,
    AR31 * (1 - IFERROR(INDEX('Inputs &amp; Assuptions'!$B$13:$B$72, COLUMN() - ($E31 + 5)), 0))
  )
)</f>
        <v>2233.92835473732</v>
      </c>
      <c r="AT31" s="80" t="n">
        <f aca="false" t="array" ref="AT31:AT31">IF(COLUMN() - ($E31 + 5) &lt; 0, 0,
  IF(COLUMN() - ($E31 + 5) = 0, $F31,
    AS31 * (1 - IFERROR(INDEX('Inputs &amp; Assuptions'!$B$13:$B$72, COLUMN() - ($E31 + 5)), 0))
  )
)</f>
        <v>2211.58907118995</v>
      </c>
      <c r="AU31" s="80" t="n">
        <f aca="false" t="array" ref="AU31:AU31">IF(COLUMN() - ($E31 + 5) &lt; 0, 0,
  IF(COLUMN() - ($E31 + 5) = 0, $F31,
    AT31 * (1 - IFERROR(INDEX('Inputs &amp; Assuptions'!$B$13:$B$72, COLUMN() - ($E31 + 5)), 0))
  )
)</f>
        <v>2189.47318047805</v>
      </c>
      <c r="AV31" s="80" t="n">
        <f aca="false" t="array" ref="AV31:AV31">IF(COLUMN() - ($E31 + 5) &lt; 0, 0,
  IF(COLUMN() - ($E31 + 5) = 0, $F31,
    AU31 * (1 - IFERROR(INDEX('Inputs &amp; Assuptions'!$B$13:$B$72, COLUMN() - ($E31 + 5)), 0))
  )
)</f>
        <v>2167.57844867327</v>
      </c>
      <c r="AW31" s="80" t="n">
        <f aca="false" t="array" ref="AW31:AW31">IF(COLUMN() - ($E31 + 5) &lt; 0, 0,
  IF(COLUMN() - ($E31 + 5) = 0, $F31,
    AV31 * (1 - IFERROR(INDEX('Inputs &amp; Assuptions'!$B$13:$B$72, COLUMN() - ($E31 + 5)), 0))
  )
)</f>
        <v>2145.90266418654</v>
      </c>
      <c r="AX31" s="80" t="n">
        <f aca="false" t="array" ref="AX31:AX31">IF(COLUMN() - ($E31 + 5) &lt; 0, 0,
  IF(COLUMN() - ($E31 + 5) = 0, $F31,
    AW31 * (1 - IFERROR(INDEX('Inputs &amp; Assuptions'!$B$13:$B$72, COLUMN() - ($E31 + 5)), 0))
  )
)</f>
        <v>2124.44363754467</v>
      </c>
      <c r="AY31" s="80" t="n">
        <f aca="false" t="array" ref="AY31:AY31">IF(COLUMN() - ($E31 + 5) &lt; 0, 0,
  IF(COLUMN() - ($E31 + 5) = 0, $F31,
    AX31 * (1 - IFERROR(INDEX('Inputs &amp; Assuptions'!$B$13:$B$72, COLUMN() - ($E31 + 5)), 0))
  )
)</f>
        <v>2103.19920116923</v>
      </c>
      <c r="AZ31" s="80" t="n">
        <f aca="false" t="array" ref="AZ31:AZ31">IF(COLUMN() - ($E31 + 5) &lt; 0, 0,
  IF(COLUMN() - ($E31 + 5) = 0, $F31,
    AY31 * (1 - IFERROR(INDEX('Inputs &amp; Assuptions'!$B$13:$B$72, COLUMN() - ($E31 + 5)), 0))
  )
)</f>
        <v>2082.16720915753</v>
      </c>
      <c r="BA31" s="80" t="n">
        <f aca="false" t="array" ref="BA31:BA31">IF(COLUMN() - ($E31 + 5) &lt; 0, 0,
  IF(COLUMN() - ($E31 + 5) = 0, $F31,
    AZ31 * (1 - IFERROR(INDEX('Inputs &amp; Assuptions'!$B$13:$B$72, COLUMN() - ($E31 + 5)), 0))
  )
)</f>
        <v>2061.34553706596</v>
      </c>
      <c r="BB31" s="80" t="n">
        <f aca="false" t="array" ref="BB31:BB31">IF(COLUMN() - ($E31 + 5) &lt; 0, 0,
  IF(COLUMN() - ($E31 + 5) = 0, $F31,
    BA31 * (1 - IFERROR(INDEX('Inputs &amp; Assuptions'!$B$13:$B$72, COLUMN() - ($E31 + 5)), 0))
  )
)</f>
        <v>2040.7320816953</v>
      </c>
      <c r="BC31" s="80" t="n">
        <f aca="false" t="array" ref="BC31:BC31">IF(COLUMN() - ($E31 + 5) &lt; 0, 0,
  IF(COLUMN() - ($E31 + 5) = 0, $F31,
    BB31 * (1 - IFERROR(INDEX('Inputs &amp; Assuptions'!$B$13:$B$72, COLUMN() - ($E31 + 5)), 0))
  )
)</f>
        <v>2020.32476087835</v>
      </c>
      <c r="BD31" s="80" t="n">
        <f aca="false" t="array" ref="BD31:BD31">IF(COLUMN() - ($E31 + 5) &lt; 0, 0,
  IF(COLUMN() - ($E31 + 5) = 0, $F31,
    BC31 * (1 - IFERROR(INDEX('Inputs &amp; Assuptions'!$B$13:$B$72, COLUMN() - ($E31 + 5)), 0))
  )
)</f>
        <v>2000.12151326956</v>
      </c>
      <c r="BE31" s="80" t="n">
        <f aca="false" t="array" ref="BE31:BE31">IF(COLUMN() - ($E31 + 5) &lt; 0, 0,
  IF(COLUMN() - ($E31 + 5) = 0, $F31,
    BD31 * (1 - IFERROR(INDEX('Inputs &amp; Assuptions'!$B$13:$B$72, COLUMN() - ($E31 + 5)), 0))
  )
)</f>
        <v>1980.12029813687</v>
      </c>
      <c r="BF31" s="80" t="n">
        <f aca="false" t="array" ref="BF31:BF31">IF(COLUMN() - ($E31 + 5) &lt; 0, 0,
  IF(COLUMN() - ($E31 + 5) = 0, $F31,
    BE31 * (1 - IFERROR(INDEX('Inputs &amp; Assuptions'!$B$13:$B$72, COLUMN() - ($E31 + 5)), 0))
  )
)</f>
        <v>1960.3190951555</v>
      </c>
      <c r="BG31" s="80" t="n">
        <f aca="false" t="array" ref="BG31:BG31">IF(COLUMN() - ($E31 + 5) &lt; 0, 0,
  IF(COLUMN() - ($E31 + 5) = 0, $F31,
    BF31 * (1 - IFERROR(INDEX('Inputs &amp; Assuptions'!$B$13:$B$72, COLUMN() - ($E31 + 5)), 0))
  )
)</f>
        <v>1940.71590420394</v>
      </c>
      <c r="BH31" s="80" t="n">
        <f aca="false" t="array" ref="BH31:BH31">IF(COLUMN() - ($E31 + 5) &lt; 0, 0,
  IF(COLUMN() - ($E31 + 5) = 0, $F31,
    BG31 * (1 - IFERROR(INDEX('Inputs &amp; Assuptions'!$B$13:$B$72, COLUMN() - ($E31 + 5)), 0))
  )
)</f>
        <v>1921.3087451619</v>
      </c>
      <c r="BI31" s="80" t="n">
        <f aca="false" t="array" ref="BI31:BI31">IF(COLUMN() - ($E31 + 5) &lt; 0, 0,
  IF(COLUMN() - ($E31 + 5) = 0, $F31,
    BH31 * (1 - IFERROR(INDEX('Inputs &amp; Assuptions'!$B$13:$B$72, COLUMN() - ($E31 + 5)), 0))
  )
)</f>
        <v>1902.09565771028</v>
      </c>
      <c r="BJ31" s="80" t="n">
        <f aca="false" t="array" ref="BJ31:BJ31">IF(COLUMN() - ($E31 + 5) &lt; 0, 0,
  IF(COLUMN() - ($E31 + 5) = 0, $F31,
    BI31 * (1 - IFERROR(INDEX('Inputs &amp; Assuptions'!$B$13:$B$72, COLUMN() - ($E31 + 5)), 0))
  )
)</f>
        <v>1883.07470113318</v>
      </c>
      <c r="BK31" s="80" t="n">
        <f aca="false" t="array" ref="BK31:BK31">IF(COLUMN() - ($E31 + 5) &lt; 0, 0,
  IF(COLUMN() - ($E31 + 5) = 0, $F31,
    BJ31 * (1 - IFERROR(INDEX('Inputs &amp; Assuptions'!$B$13:$B$72, COLUMN() - ($E31 + 5)), 0))
  )
)</f>
        <v>1864.24395412185</v>
      </c>
      <c r="BL31" s="80" t="n">
        <f aca="false" t="array" ref="BL31:BL31">IF(COLUMN() - ($E31 + 5) &lt; 0, 0,
  IF(COLUMN() - ($E31 + 5) = 0, $F31,
    BK31 * (1 - IFERROR(INDEX('Inputs &amp; Assuptions'!$B$13:$B$72, COLUMN() - ($E31 + 5)), 0))
  )
)</f>
        <v>1845.60151458063</v>
      </c>
      <c r="BM31" s="81" t="n">
        <f aca="false" t="array" ref="BM31:BM31">IF(COLUMN() - ($E31 + 5) &lt; 0, 0,
  IF(COLUMN() - ($E31 + 5) = 0, $F31,
    BL31 * (1 - IFERROR(INDEX('Inputs &amp; Assuptions'!$B$13:$B$72, COLUMN() - ($E31 + 5)), 0))
  )
)</f>
        <v>1827.14549943482</v>
      </c>
      <c r="BN31" s="76"/>
    </row>
    <row r="32" customFormat="false" ht="14.25" hidden="false" customHeight="false" outlineLevel="0" collapsed="false">
      <c r="A32" s="29" t="n">
        <f aca="false">A31+1</f>
        <v>27</v>
      </c>
      <c r="B32" s="77" t="n">
        <f aca="false">IF(MOD($A32-1, 12) = 0, $B31 * 1.05, $B31)</f>
        <v>6615</v>
      </c>
      <c r="C32" s="78" t="n">
        <f aca="false">$B32*(1-'Inputs &amp; Assuptions'!$B$12)</f>
        <v>3836.7</v>
      </c>
      <c r="E32" s="29" t="n">
        <f aca="false">E31+1</f>
        <v>27</v>
      </c>
      <c r="F32" s="79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 t="n">
        <f aca="false">+$C32</f>
        <v>3836.7</v>
      </c>
      <c r="AG32" s="80" t="n">
        <f aca="false" t="array" ref="AG32:AG32">IF(COLUMN() - ($E32 + 5) &lt; 0, 0,
  IF(COLUMN() - ($E32 + 5) = 0, $F32,
    AF32 * (1 - IFERROR(INDEX('Inputs &amp; Assuptions'!$B$13:$B$72, COLUMN() - ($E32 + 5)), 0))
  )
)</f>
        <v>3433.8465</v>
      </c>
      <c r="AH32" s="80" t="n">
        <f aca="false" t="array" ref="AH32:AH32">IF(COLUMN() - ($E32 + 5) &lt; 0, 0,
  IF(COLUMN() - ($E32 + 5) = 0, $F32,
    AG32 * (1 - IFERROR(INDEX('Inputs &amp; Assuptions'!$B$13:$B$72, COLUMN() - ($E32 + 5)), 0))
  )
)</f>
        <v>3159.13878</v>
      </c>
      <c r="AI32" s="80" t="n">
        <f aca="false" t="array" ref="AI32:AI32">IF(COLUMN() - ($E32 + 5) &lt; 0, 0,
  IF(COLUMN() - ($E32 + 5) = 0, $F32,
    AH32 * (1 - IFERROR(INDEX('Inputs &amp; Assuptions'!$B$13:$B$72, COLUMN() - ($E32 + 5)), 0))
  )
)</f>
        <v>2985.3861471</v>
      </c>
      <c r="AJ32" s="80" t="n">
        <f aca="false" t="array" ref="AJ32:AJ32">IF(COLUMN() - ($E32 + 5) &lt; 0, 0,
  IF(COLUMN() - ($E32 + 5) = 0, $F32,
    AI32 * (1 - IFERROR(INDEX('Inputs &amp; Assuptions'!$B$13:$B$72, COLUMN() - ($E32 + 5)), 0))
  )
)</f>
        <v>2836.116839745</v>
      </c>
      <c r="AK32" s="80" t="n">
        <f aca="false" t="array" ref="AK32:AK32">IF(COLUMN() - ($E32 + 5) &lt; 0, 0,
  IF(COLUMN() - ($E32 + 5) = 0, $F32,
    AJ32 * (1 - IFERROR(INDEX('Inputs &amp; Assuptions'!$B$13:$B$72, COLUMN() - ($E32 + 5)), 0))
  )
)</f>
        <v>2708.49158195648</v>
      </c>
      <c r="AL32" s="80" t="n">
        <f aca="false" t="array" ref="AL32:AL32">IF(COLUMN() - ($E32 + 5) &lt; 0, 0,
  IF(COLUMN() - ($E32 + 5) = 0, $F32,
    AK32 * (1 - IFERROR(INDEX('Inputs &amp; Assuptions'!$B$13:$B$72, COLUMN() - ($E32 + 5)), 0))
  )
)</f>
        <v>2600.15191867822</v>
      </c>
      <c r="AM32" s="80" t="n">
        <f aca="false" t="array" ref="AM32:AM32">IF(COLUMN() - ($E32 + 5) &lt; 0, 0,
  IF(COLUMN() - ($E32 + 5) = 0, $F32,
    AL32 * (1 - IFERROR(INDEX('Inputs &amp; Assuptions'!$B$13:$B$72, COLUMN() - ($E32 + 5)), 0))
  )
)</f>
        <v>2509.14660152448</v>
      </c>
      <c r="AN32" s="80" t="n">
        <f aca="false" t="array" ref="AN32:AN32">IF(COLUMN() - ($E32 + 5) &lt; 0, 0,
  IF(COLUMN() - ($E32 + 5) = 0, $F32,
    AM32 * (1 - IFERROR(INDEX('Inputs &amp; Assuptions'!$B$13:$B$72, COLUMN() - ($E32 + 5)), 0))
  )
)</f>
        <v>2433.87220347874</v>
      </c>
      <c r="AO32" s="80" t="n">
        <f aca="false" t="array" ref="AO32:AO32">IF(COLUMN() - ($E32 + 5) &lt; 0, 0,
  IF(COLUMN() - ($E32 + 5) = 0, $F32,
    AN32 * (1 - IFERROR(INDEX('Inputs &amp; Assuptions'!$B$13:$B$72, COLUMN() - ($E32 + 5)), 0))
  )
)</f>
        <v>2373.02539839178</v>
      </c>
      <c r="AP32" s="80" t="n">
        <f aca="false" t="array" ref="AP32:AP32">IF(COLUMN() - ($E32 + 5) &lt; 0, 0,
  IF(COLUMN() - ($E32 + 5) = 0, $F32,
    AO32 * (1 - IFERROR(INDEX('Inputs &amp; Assuptions'!$B$13:$B$72, COLUMN() - ($E32 + 5)), 0))
  )
)</f>
        <v>2325.56489042394</v>
      </c>
      <c r="AQ32" s="80" t="n">
        <f aca="false" t="array" ref="AQ32:AQ32">IF(COLUMN() - ($E32 + 5) &lt; 0, 0,
  IF(COLUMN() - ($E32 + 5) = 0, $F32,
    AP32 * (1 - IFERROR(INDEX('Inputs &amp; Assuptions'!$B$13:$B$72, COLUMN() - ($E32 + 5)), 0))
  )
)</f>
        <v>2302.3092415197</v>
      </c>
      <c r="AR32" s="80" t="n">
        <f aca="false" t="array" ref="AR32:AR32">IF(COLUMN() - ($E32 + 5) &lt; 0, 0,
  IF(COLUMN() - ($E32 + 5) = 0, $F32,
    AQ32 * (1 - IFERROR(INDEX('Inputs &amp; Assuptions'!$B$13:$B$72, COLUMN() - ($E32 + 5)), 0))
  )
)</f>
        <v>2279.2861491045</v>
      </c>
      <c r="AS32" s="80" t="n">
        <f aca="false" t="array" ref="AS32:AS32">IF(COLUMN() - ($E32 + 5) &lt; 0, 0,
  IF(COLUMN() - ($E32 + 5) = 0, $F32,
    AR32 * (1 - IFERROR(INDEX('Inputs &amp; Assuptions'!$B$13:$B$72, COLUMN() - ($E32 + 5)), 0))
  )
)</f>
        <v>2256.49328761346</v>
      </c>
      <c r="AT32" s="80" t="n">
        <f aca="false" t="array" ref="AT32:AT32">IF(COLUMN() - ($E32 + 5) &lt; 0, 0,
  IF(COLUMN() - ($E32 + 5) = 0, $F32,
    AS32 * (1 - IFERROR(INDEX('Inputs &amp; Assuptions'!$B$13:$B$72, COLUMN() - ($E32 + 5)), 0))
  )
)</f>
        <v>2233.92835473732</v>
      </c>
      <c r="AU32" s="80" t="n">
        <f aca="false" t="array" ref="AU32:AU32">IF(COLUMN() - ($E32 + 5) &lt; 0, 0,
  IF(COLUMN() - ($E32 + 5) = 0, $F32,
    AT32 * (1 - IFERROR(INDEX('Inputs &amp; Assuptions'!$B$13:$B$72, COLUMN() - ($E32 + 5)), 0))
  )
)</f>
        <v>2211.58907118995</v>
      </c>
      <c r="AV32" s="80" t="n">
        <f aca="false" t="array" ref="AV32:AV32">IF(COLUMN() - ($E32 + 5) &lt; 0, 0,
  IF(COLUMN() - ($E32 + 5) = 0, $F32,
    AU32 * (1 - IFERROR(INDEX('Inputs &amp; Assuptions'!$B$13:$B$72, COLUMN() - ($E32 + 5)), 0))
  )
)</f>
        <v>2189.47318047805</v>
      </c>
      <c r="AW32" s="80" t="n">
        <f aca="false" t="array" ref="AW32:AW32">IF(COLUMN() - ($E32 + 5) &lt; 0, 0,
  IF(COLUMN() - ($E32 + 5) = 0, $F32,
    AV32 * (1 - IFERROR(INDEX('Inputs &amp; Assuptions'!$B$13:$B$72, COLUMN() - ($E32 + 5)), 0))
  )
)</f>
        <v>2167.57844867327</v>
      </c>
      <c r="AX32" s="80" t="n">
        <f aca="false" t="array" ref="AX32:AX32">IF(COLUMN() - ($E32 + 5) &lt; 0, 0,
  IF(COLUMN() - ($E32 + 5) = 0, $F32,
    AW32 * (1 - IFERROR(INDEX('Inputs &amp; Assuptions'!$B$13:$B$72, COLUMN() - ($E32 + 5)), 0))
  )
)</f>
        <v>2145.90266418654</v>
      </c>
      <c r="AY32" s="80" t="n">
        <f aca="false" t="array" ref="AY32:AY32">IF(COLUMN() - ($E32 + 5) &lt; 0, 0,
  IF(COLUMN() - ($E32 + 5) = 0, $F32,
    AX32 * (1 - IFERROR(INDEX('Inputs &amp; Assuptions'!$B$13:$B$72, COLUMN() - ($E32 + 5)), 0))
  )
)</f>
        <v>2124.44363754467</v>
      </c>
      <c r="AZ32" s="80" t="n">
        <f aca="false" t="array" ref="AZ32:AZ32">IF(COLUMN() - ($E32 + 5) &lt; 0, 0,
  IF(COLUMN() - ($E32 + 5) = 0, $F32,
    AY32 * (1 - IFERROR(INDEX('Inputs &amp; Assuptions'!$B$13:$B$72, COLUMN() - ($E32 + 5)), 0))
  )
)</f>
        <v>2103.19920116923</v>
      </c>
      <c r="BA32" s="80" t="n">
        <f aca="false" t="array" ref="BA32:BA32">IF(COLUMN() - ($E32 + 5) &lt; 0, 0,
  IF(COLUMN() - ($E32 + 5) = 0, $F32,
    AZ32 * (1 - IFERROR(INDEX('Inputs &amp; Assuptions'!$B$13:$B$72, COLUMN() - ($E32 + 5)), 0))
  )
)</f>
        <v>2082.16720915753</v>
      </c>
      <c r="BB32" s="80" t="n">
        <f aca="false" t="array" ref="BB32:BB32">IF(COLUMN() - ($E32 + 5) &lt; 0, 0,
  IF(COLUMN() - ($E32 + 5) = 0, $F32,
    BA32 * (1 - IFERROR(INDEX('Inputs &amp; Assuptions'!$B$13:$B$72, COLUMN() - ($E32 + 5)), 0))
  )
)</f>
        <v>2061.34553706596</v>
      </c>
      <c r="BC32" s="80" t="n">
        <f aca="false" t="array" ref="BC32:BC32">IF(COLUMN() - ($E32 + 5) &lt; 0, 0,
  IF(COLUMN() - ($E32 + 5) = 0, $F32,
    BB32 * (1 - IFERROR(INDEX('Inputs &amp; Assuptions'!$B$13:$B$72, COLUMN() - ($E32 + 5)), 0))
  )
)</f>
        <v>2040.7320816953</v>
      </c>
      <c r="BD32" s="80" t="n">
        <f aca="false" t="array" ref="BD32:BD32">IF(COLUMN() - ($E32 + 5) &lt; 0, 0,
  IF(COLUMN() - ($E32 + 5) = 0, $F32,
    BC32 * (1 - IFERROR(INDEX('Inputs &amp; Assuptions'!$B$13:$B$72, COLUMN() - ($E32 + 5)), 0))
  )
)</f>
        <v>2020.32476087835</v>
      </c>
      <c r="BE32" s="80" t="n">
        <f aca="false" t="array" ref="BE32:BE32">IF(COLUMN() - ($E32 + 5) &lt; 0, 0,
  IF(COLUMN() - ($E32 + 5) = 0, $F32,
    BD32 * (1 - IFERROR(INDEX('Inputs &amp; Assuptions'!$B$13:$B$72, COLUMN() - ($E32 + 5)), 0))
  )
)</f>
        <v>2000.12151326956</v>
      </c>
      <c r="BF32" s="80" t="n">
        <f aca="false" t="array" ref="BF32:BF32">IF(COLUMN() - ($E32 + 5) &lt; 0, 0,
  IF(COLUMN() - ($E32 + 5) = 0, $F32,
    BE32 * (1 - IFERROR(INDEX('Inputs &amp; Assuptions'!$B$13:$B$72, COLUMN() - ($E32 + 5)), 0))
  )
)</f>
        <v>1980.12029813687</v>
      </c>
      <c r="BG32" s="80" t="n">
        <f aca="false" t="array" ref="BG32:BG32">IF(COLUMN() - ($E32 + 5) &lt; 0, 0,
  IF(COLUMN() - ($E32 + 5) = 0, $F32,
    BF32 * (1 - IFERROR(INDEX('Inputs &amp; Assuptions'!$B$13:$B$72, COLUMN() - ($E32 + 5)), 0))
  )
)</f>
        <v>1960.3190951555</v>
      </c>
      <c r="BH32" s="80" t="n">
        <f aca="false" t="array" ref="BH32:BH32">IF(COLUMN() - ($E32 + 5) &lt; 0, 0,
  IF(COLUMN() - ($E32 + 5) = 0, $F32,
    BG32 * (1 - IFERROR(INDEX('Inputs &amp; Assuptions'!$B$13:$B$72, COLUMN() - ($E32 + 5)), 0))
  )
)</f>
        <v>1940.71590420394</v>
      </c>
      <c r="BI32" s="80" t="n">
        <f aca="false" t="array" ref="BI32:BI32">IF(COLUMN() - ($E32 + 5) &lt; 0, 0,
  IF(COLUMN() - ($E32 + 5) = 0, $F32,
    BH32 * (1 - IFERROR(INDEX('Inputs &amp; Assuptions'!$B$13:$B$72, COLUMN() - ($E32 + 5)), 0))
  )
)</f>
        <v>1921.3087451619</v>
      </c>
      <c r="BJ32" s="80" t="n">
        <f aca="false" t="array" ref="BJ32:BJ32">IF(COLUMN() - ($E32 + 5) &lt; 0, 0,
  IF(COLUMN() - ($E32 + 5) = 0, $F32,
    BI32 * (1 - IFERROR(INDEX('Inputs &amp; Assuptions'!$B$13:$B$72, COLUMN() - ($E32 + 5)), 0))
  )
)</f>
        <v>1902.09565771028</v>
      </c>
      <c r="BK32" s="80" t="n">
        <f aca="false" t="array" ref="BK32:BK32">IF(COLUMN() - ($E32 + 5) &lt; 0, 0,
  IF(COLUMN() - ($E32 + 5) = 0, $F32,
    BJ32 * (1 - IFERROR(INDEX('Inputs &amp; Assuptions'!$B$13:$B$72, COLUMN() - ($E32 + 5)), 0))
  )
)</f>
        <v>1883.07470113318</v>
      </c>
      <c r="BL32" s="80" t="n">
        <f aca="false" t="array" ref="BL32:BL32">IF(COLUMN() - ($E32 + 5) &lt; 0, 0,
  IF(COLUMN() - ($E32 + 5) = 0, $F32,
    BK32 * (1 - IFERROR(INDEX('Inputs &amp; Assuptions'!$B$13:$B$72, COLUMN() - ($E32 + 5)), 0))
  )
)</f>
        <v>1864.24395412185</v>
      </c>
      <c r="BM32" s="81" t="n">
        <f aca="false" t="array" ref="BM32:BM32">IF(COLUMN() - ($E32 + 5) &lt; 0, 0,
  IF(COLUMN() - ($E32 + 5) = 0, $F32,
    BL32 * (1 - IFERROR(INDEX('Inputs &amp; Assuptions'!$B$13:$B$72, COLUMN() - ($E32 + 5)), 0))
  )
)</f>
        <v>1845.60151458063</v>
      </c>
      <c r="BN32" s="76"/>
    </row>
    <row r="33" customFormat="false" ht="14.25" hidden="false" customHeight="false" outlineLevel="0" collapsed="false">
      <c r="A33" s="29" t="n">
        <f aca="false">A32+1</f>
        <v>28</v>
      </c>
      <c r="B33" s="77" t="n">
        <f aca="false">IF(MOD($A33-1, 12) = 0, $B32 * 1.05, $B32)</f>
        <v>6615</v>
      </c>
      <c r="C33" s="78" t="n">
        <f aca="false">$B33*(1-'Inputs &amp; Assuptions'!$B$12)</f>
        <v>3836.7</v>
      </c>
      <c r="E33" s="29" t="n">
        <f aca="false">E32+1</f>
        <v>28</v>
      </c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 t="n">
        <f aca="false">+$C33</f>
        <v>3836.7</v>
      </c>
      <c r="AH33" s="80" t="n">
        <f aca="false" t="array" ref="AH33:AH33">IF(COLUMN() - ($E33 + 5) &lt; 0, 0,
  IF(COLUMN() - ($E33 + 5) = 0, $F33,
    AG33 * (1 - IFERROR(INDEX('Inputs &amp; Assuptions'!$B$13:$B$72, COLUMN() - ($E33 + 5)), 0))
  )
)</f>
        <v>3433.8465</v>
      </c>
      <c r="AI33" s="80" t="n">
        <f aca="false" t="array" ref="AI33:AI33">IF(COLUMN() - ($E33 + 5) &lt; 0, 0,
  IF(COLUMN() - ($E33 + 5) = 0, $F33,
    AH33 * (1 - IFERROR(INDEX('Inputs &amp; Assuptions'!$B$13:$B$72, COLUMN() - ($E33 + 5)), 0))
  )
)</f>
        <v>3159.13878</v>
      </c>
      <c r="AJ33" s="80" t="n">
        <f aca="false" t="array" ref="AJ33:AJ33">IF(COLUMN() - ($E33 + 5) &lt; 0, 0,
  IF(COLUMN() - ($E33 + 5) = 0, $F33,
    AI33 * (1 - IFERROR(INDEX('Inputs &amp; Assuptions'!$B$13:$B$72, COLUMN() - ($E33 + 5)), 0))
  )
)</f>
        <v>2985.3861471</v>
      </c>
      <c r="AK33" s="80" t="n">
        <f aca="false" t="array" ref="AK33:AK33">IF(COLUMN() - ($E33 + 5) &lt; 0, 0,
  IF(COLUMN() - ($E33 + 5) = 0, $F33,
    AJ33 * (1 - IFERROR(INDEX('Inputs &amp; Assuptions'!$B$13:$B$72, COLUMN() - ($E33 + 5)), 0))
  )
)</f>
        <v>2836.116839745</v>
      </c>
      <c r="AL33" s="80" t="n">
        <f aca="false" t="array" ref="AL33:AL33">IF(COLUMN() - ($E33 + 5) &lt; 0, 0,
  IF(COLUMN() - ($E33 + 5) = 0, $F33,
    AK33 * (1 - IFERROR(INDEX('Inputs &amp; Assuptions'!$B$13:$B$72, COLUMN() - ($E33 + 5)), 0))
  )
)</f>
        <v>2708.49158195648</v>
      </c>
      <c r="AM33" s="80" t="n">
        <f aca="false" t="array" ref="AM33:AM33">IF(COLUMN() - ($E33 + 5) &lt; 0, 0,
  IF(COLUMN() - ($E33 + 5) = 0, $F33,
    AL33 * (1 - IFERROR(INDEX('Inputs &amp; Assuptions'!$B$13:$B$72, COLUMN() - ($E33 + 5)), 0))
  )
)</f>
        <v>2600.15191867822</v>
      </c>
      <c r="AN33" s="80" t="n">
        <f aca="false" t="array" ref="AN33:AN33">IF(COLUMN() - ($E33 + 5) &lt; 0, 0,
  IF(COLUMN() - ($E33 + 5) = 0, $F33,
    AM33 * (1 - IFERROR(INDEX('Inputs &amp; Assuptions'!$B$13:$B$72, COLUMN() - ($E33 + 5)), 0))
  )
)</f>
        <v>2509.14660152448</v>
      </c>
      <c r="AO33" s="80" t="n">
        <f aca="false" t="array" ref="AO33:AO33">IF(COLUMN() - ($E33 + 5) &lt; 0, 0,
  IF(COLUMN() - ($E33 + 5) = 0, $F33,
    AN33 * (1 - IFERROR(INDEX('Inputs &amp; Assuptions'!$B$13:$B$72, COLUMN() - ($E33 + 5)), 0))
  )
)</f>
        <v>2433.87220347874</v>
      </c>
      <c r="AP33" s="80" t="n">
        <f aca="false" t="array" ref="AP33:AP33">IF(COLUMN() - ($E33 + 5) &lt; 0, 0,
  IF(COLUMN() - ($E33 + 5) = 0, $F33,
    AO33 * (1 - IFERROR(INDEX('Inputs &amp; Assuptions'!$B$13:$B$72, COLUMN() - ($E33 + 5)), 0))
  )
)</f>
        <v>2373.02539839178</v>
      </c>
      <c r="AQ33" s="80" t="n">
        <f aca="false" t="array" ref="AQ33:AQ33">IF(COLUMN() - ($E33 + 5) &lt; 0, 0,
  IF(COLUMN() - ($E33 + 5) = 0, $F33,
    AP33 * (1 - IFERROR(INDEX('Inputs &amp; Assuptions'!$B$13:$B$72, COLUMN() - ($E33 + 5)), 0))
  )
)</f>
        <v>2325.56489042394</v>
      </c>
      <c r="AR33" s="80" t="n">
        <f aca="false" t="array" ref="AR33:AR33">IF(COLUMN() - ($E33 + 5) &lt; 0, 0,
  IF(COLUMN() - ($E33 + 5) = 0, $F33,
    AQ33 * (1 - IFERROR(INDEX('Inputs &amp; Assuptions'!$B$13:$B$72, COLUMN() - ($E33 + 5)), 0))
  )
)</f>
        <v>2302.3092415197</v>
      </c>
      <c r="AS33" s="80" t="n">
        <f aca="false" t="array" ref="AS33:AS33">IF(COLUMN() - ($E33 + 5) &lt; 0, 0,
  IF(COLUMN() - ($E33 + 5) = 0, $F33,
    AR33 * (1 - IFERROR(INDEX('Inputs &amp; Assuptions'!$B$13:$B$72, COLUMN() - ($E33 + 5)), 0))
  )
)</f>
        <v>2279.2861491045</v>
      </c>
      <c r="AT33" s="80" t="n">
        <f aca="false" t="array" ref="AT33:AT33">IF(COLUMN() - ($E33 + 5) &lt; 0, 0,
  IF(COLUMN() - ($E33 + 5) = 0, $F33,
    AS33 * (1 - IFERROR(INDEX('Inputs &amp; Assuptions'!$B$13:$B$72, COLUMN() - ($E33 + 5)), 0))
  )
)</f>
        <v>2256.49328761346</v>
      </c>
      <c r="AU33" s="80" t="n">
        <f aca="false" t="array" ref="AU33:AU33">IF(COLUMN() - ($E33 + 5) &lt; 0, 0,
  IF(COLUMN() - ($E33 + 5) = 0, $F33,
    AT33 * (1 - IFERROR(INDEX('Inputs &amp; Assuptions'!$B$13:$B$72, COLUMN() - ($E33 + 5)), 0))
  )
)</f>
        <v>2233.92835473732</v>
      </c>
      <c r="AV33" s="80" t="n">
        <f aca="false" t="array" ref="AV33:AV33">IF(COLUMN() - ($E33 + 5) &lt; 0, 0,
  IF(COLUMN() - ($E33 + 5) = 0, $F33,
    AU33 * (1 - IFERROR(INDEX('Inputs &amp; Assuptions'!$B$13:$B$72, COLUMN() - ($E33 + 5)), 0))
  )
)</f>
        <v>2211.58907118995</v>
      </c>
      <c r="AW33" s="80" t="n">
        <f aca="false" t="array" ref="AW33:AW33">IF(COLUMN() - ($E33 + 5) &lt; 0, 0,
  IF(COLUMN() - ($E33 + 5) = 0, $F33,
    AV33 * (1 - IFERROR(INDEX('Inputs &amp; Assuptions'!$B$13:$B$72, COLUMN() - ($E33 + 5)), 0))
  )
)</f>
        <v>2189.47318047805</v>
      </c>
      <c r="AX33" s="80" t="n">
        <f aca="false" t="array" ref="AX33:AX33">IF(COLUMN() - ($E33 + 5) &lt; 0, 0,
  IF(COLUMN() - ($E33 + 5) = 0, $F33,
    AW33 * (1 - IFERROR(INDEX('Inputs &amp; Assuptions'!$B$13:$B$72, COLUMN() - ($E33 + 5)), 0))
  )
)</f>
        <v>2167.57844867327</v>
      </c>
      <c r="AY33" s="80" t="n">
        <f aca="false" t="array" ref="AY33:AY33">IF(COLUMN() - ($E33 + 5) &lt; 0, 0,
  IF(COLUMN() - ($E33 + 5) = 0, $F33,
    AX33 * (1 - IFERROR(INDEX('Inputs &amp; Assuptions'!$B$13:$B$72, COLUMN() - ($E33 + 5)), 0))
  )
)</f>
        <v>2145.90266418654</v>
      </c>
      <c r="AZ33" s="80" t="n">
        <f aca="false" t="array" ref="AZ33:AZ33">IF(COLUMN() - ($E33 + 5) &lt; 0, 0,
  IF(COLUMN() - ($E33 + 5) = 0, $F33,
    AY33 * (1 - IFERROR(INDEX('Inputs &amp; Assuptions'!$B$13:$B$72, COLUMN() - ($E33 + 5)), 0))
  )
)</f>
        <v>2124.44363754467</v>
      </c>
      <c r="BA33" s="80" t="n">
        <f aca="false" t="array" ref="BA33:BA33">IF(COLUMN() - ($E33 + 5) &lt; 0, 0,
  IF(COLUMN() - ($E33 + 5) = 0, $F33,
    AZ33 * (1 - IFERROR(INDEX('Inputs &amp; Assuptions'!$B$13:$B$72, COLUMN() - ($E33 + 5)), 0))
  )
)</f>
        <v>2103.19920116923</v>
      </c>
      <c r="BB33" s="80" t="n">
        <f aca="false" t="array" ref="BB33:BB33">IF(COLUMN() - ($E33 + 5) &lt; 0, 0,
  IF(COLUMN() - ($E33 + 5) = 0, $F33,
    BA33 * (1 - IFERROR(INDEX('Inputs &amp; Assuptions'!$B$13:$B$72, COLUMN() - ($E33 + 5)), 0))
  )
)</f>
        <v>2082.16720915753</v>
      </c>
      <c r="BC33" s="80" t="n">
        <f aca="false" t="array" ref="BC33:BC33">IF(COLUMN() - ($E33 + 5) &lt; 0, 0,
  IF(COLUMN() - ($E33 + 5) = 0, $F33,
    BB33 * (1 - IFERROR(INDEX('Inputs &amp; Assuptions'!$B$13:$B$72, COLUMN() - ($E33 + 5)), 0))
  )
)</f>
        <v>2061.34553706596</v>
      </c>
      <c r="BD33" s="80" t="n">
        <f aca="false" t="array" ref="BD33:BD33">IF(COLUMN() - ($E33 + 5) &lt; 0, 0,
  IF(COLUMN() - ($E33 + 5) = 0, $F33,
    BC33 * (1 - IFERROR(INDEX('Inputs &amp; Assuptions'!$B$13:$B$72, COLUMN() - ($E33 + 5)), 0))
  )
)</f>
        <v>2040.7320816953</v>
      </c>
      <c r="BE33" s="80" t="n">
        <f aca="false" t="array" ref="BE33:BE33">IF(COLUMN() - ($E33 + 5) &lt; 0, 0,
  IF(COLUMN() - ($E33 + 5) = 0, $F33,
    BD33 * (1 - IFERROR(INDEX('Inputs &amp; Assuptions'!$B$13:$B$72, COLUMN() - ($E33 + 5)), 0))
  )
)</f>
        <v>2020.32476087835</v>
      </c>
      <c r="BF33" s="80" t="n">
        <f aca="false" t="array" ref="BF33:BF33">IF(COLUMN() - ($E33 + 5) &lt; 0, 0,
  IF(COLUMN() - ($E33 + 5) = 0, $F33,
    BE33 * (1 - IFERROR(INDEX('Inputs &amp; Assuptions'!$B$13:$B$72, COLUMN() - ($E33 + 5)), 0))
  )
)</f>
        <v>2000.12151326956</v>
      </c>
      <c r="BG33" s="80" t="n">
        <f aca="false" t="array" ref="BG33:BG33">IF(COLUMN() - ($E33 + 5) &lt; 0, 0,
  IF(COLUMN() - ($E33 + 5) = 0, $F33,
    BF33 * (1 - IFERROR(INDEX('Inputs &amp; Assuptions'!$B$13:$B$72, COLUMN() - ($E33 + 5)), 0))
  )
)</f>
        <v>1980.12029813687</v>
      </c>
      <c r="BH33" s="80" t="n">
        <f aca="false" t="array" ref="BH33:BH33">IF(COLUMN() - ($E33 + 5) &lt; 0, 0,
  IF(COLUMN() - ($E33 + 5) = 0, $F33,
    BG33 * (1 - IFERROR(INDEX('Inputs &amp; Assuptions'!$B$13:$B$72, COLUMN() - ($E33 + 5)), 0))
  )
)</f>
        <v>1960.3190951555</v>
      </c>
      <c r="BI33" s="80" t="n">
        <f aca="false" t="array" ref="BI33:BI33">IF(COLUMN() - ($E33 + 5) &lt; 0, 0,
  IF(COLUMN() - ($E33 + 5) = 0, $F33,
    BH33 * (1 - IFERROR(INDEX('Inputs &amp; Assuptions'!$B$13:$B$72, COLUMN() - ($E33 + 5)), 0))
  )
)</f>
        <v>1940.71590420394</v>
      </c>
      <c r="BJ33" s="80" t="n">
        <f aca="false" t="array" ref="BJ33:BJ33">IF(COLUMN() - ($E33 + 5) &lt; 0, 0,
  IF(COLUMN() - ($E33 + 5) = 0, $F33,
    BI33 * (1 - IFERROR(INDEX('Inputs &amp; Assuptions'!$B$13:$B$72, COLUMN() - ($E33 + 5)), 0))
  )
)</f>
        <v>1921.3087451619</v>
      </c>
      <c r="BK33" s="80" t="n">
        <f aca="false" t="array" ref="BK33:BK33">IF(COLUMN() - ($E33 + 5) &lt; 0, 0,
  IF(COLUMN() - ($E33 + 5) = 0, $F33,
    BJ33 * (1 - IFERROR(INDEX('Inputs &amp; Assuptions'!$B$13:$B$72, COLUMN() - ($E33 + 5)), 0))
  )
)</f>
        <v>1902.09565771028</v>
      </c>
      <c r="BL33" s="80" t="n">
        <f aca="false" t="array" ref="BL33:BL33">IF(COLUMN() - ($E33 + 5) &lt; 0, 0,
  IF(COLUMN() - ($E33 + 5) = 0, $F33,
    BK33 * (1 - IFERROR(INDEX('Inputs &amp; Assuptions'!$B$13:$B$72, COLUMN() - ($E33 + 5)), 0))
  )
)</f>
        <v>1883.07470113318</v>
      </c>
      <c r="BM33" s="81" t="n">
        <f aca="false" t="array" ref="BM33:BM33">IF(COLUMN() - ($E33 + 5) &lt; 0, 0,
  IF(COLUMN() - ($E33 + 5) = 0, $F33,
    BL33 * (1 - IFERROR(INDEX('Inputs &amp; Assuptions'!$B$13:$B$72, COLUMN() - ($E33 + 5)), 0))
  )
)</f>
        <v>1864.24395412185</v>
      </c>
      <c r="BN33" s="76"/>
    </row>
    <row r="34" customFormat="false" ht="14.25" hidden="false" customHeight="false" outlineLevel="0" collapsed="false">
      <c r="A34" s="29" t="n">
        <f aca="false">A33+1</f>
        <v>29</v>
      </c>
      <c r="B34" s="77" t="n">
        <f aca="false">IF(MOD($A34-1, 12) = 0, $B33 * 1.05, $B33)</f>
        <v>6615</v>
      </c>
      <c r="C34" s="78" t="n">
        <f aca="false">$B34*(1-'Inputs &amp; Assuptions'!$B$12)</f>
        <v>3836.7</v>
      </c>
      <c r="E34" s="29" t="n">
        <f aca="false">E33+1</f>
        <v>29</v>
      </c>
      <c r="F34" s="79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 t="n">
        <f aca="false">+$C34</f>
        <v>3836.7</v>
      </c>
      <c r="AI34" s="80" t="n">
        <f aca="false" t="array" ref="AI34:AI34">IF(COLUMN() - ($E34 + 5) &lt; 0, 0,
  IF(COLUMN() - ($E34 + 5) = 0, $F34,
    AH34 * (1 - IFERROR(INDEX('Inputs &amp; Assuptions'!$B$13:$B$72, COLUMN() - ($E34 + 5)), 0))
  )
)</f>
        <v>3433.8465</v>
      </c>
      <c r="AJ34" s="80" t="n">
        <f aca="false" t="array" ref="AJ34:AJ34">IF(COLUMN() - ($E34 + 5) &lt; 0, 0,
  IF(COLUMN() - ($E34 + 5) = 0, $F34,
    AI34 * (1 - IFERROR(INDEX('Inputs &amp; Assuptions'!$B$13:$B$72, COLUMN() - ($E34 + 5)), 0))
  )
)</f>
        <v>3159.13878</v>
      </c>
      <c r="AK34" s="80" t="n">
        <f aca="false" t="array" ref="AK34:AK34">IF(COLUMN() - ($E34 + 5) &lt; 0, 0,
  IF(COLUMN() - ($E34 + 5) = 0, $F34,
    AJ34 * (1 - IFERROR(INDEX('Inputs &amp; Assuptions'!$B$13:$B$72, COLUMN() - ($E34 + 5)), 0))
  )
)</f>
        <v>2985.3861471</v>
      </c>
      <c r="AL34" s="80" t="n">
        <f aca="false" t="array" ref="AL34:AL34">IF(COLUMN() - ($E34 + 5) &lt; 0, 0,
  IF(COLUMN() - ($E34 + 5) = 0, $F34,
    AK34 * (1 - IFERROR(INDEX('Inputs &amp; Assuptions'!$B$13:$B$72, COLUMN() - ($E34 + 5)), 0))
  )
)</f>
        <v>2836.116839745</v>
      </c>
      <c r="AM34" s="80" t="n">
        <f aca="false" t="array" ref="AM34:AM34">IF(COLUMN() - ($E34 + 5) &lt; 0, 0,
  IF(COLUMN() - ($E34 + 5) = 0, $F34,
    AL34 * (1 - IFERROR(INDEX('Inputs &amp; Assuptions'!$B$13:$B$72, COLUMN() - ($E34 + 5)), 0))
  )
)</f>
        <v>2708.49158195648</v>
      </c>
      <c r="AN34" s="80" t="n">
        <f aca="false" t="array" ref="AN34:AN34">IF(COLUMN() - ($E34 + 5) &lt; 0, 0,
  IF(COLUMN() - ($E34 + 5) = 0, $F34,
    AM34 * (1 - IFERROR(INDEX('Inputs &amp; Assuptions'!$B$13:$B$72, COLUMN() - ($E34 + 5)), 0))
  )
)</f>
        <v>2600.15191867822</v>
      </c>
      <c r="AO34" s="80" t="n">
        <f aca="false" t="array" ref="AO34:AO34">IF(COLUMN() - ($E34 + 5) &lt; 0, 0,
  IF(COLUMN() - ($E34 + 5) = 0, $F34,
    AN34 * (1 - IFERROR(INDEX('Inputs &amp; Assuptions'!$B$13:$B$72, COLUMN() - ($E34 + 5)), 0))
  )
)</f>
        <v>2509.14660152448</v>
      </c>
      <c r="AP34" s="80" t="n">
        <f aca="false" t="array" ref="AP34:AP34">IF(COLUMN() - ($E34 + 5) &lt; 0, 0,
  IF(COLUMN() - ($E34 + 5) = 0, $F34,
    AO34 * (1 - IFERROR(INDEX('Inputs &amp; Assuptions'!$B$13:$B$72, COLUMN() - ($E34 + 5)), 0))
  )
)</f>
        <v>2433.87220347874</v>
      </c>
      <c r="AQ34" s="80" t="n">
        <f aca="false" t="array" ref="AQ34:AQ34">IF(COLUMN() - ($E34 + 5) &lt; 0, 0,
  IF(COLUMN() - ($E34 + 5) = 0, $F34,
    AP34 * (1 - IFERROR(INDEX('Inputs &amp; Assuptions'!$B$13:$B$72, COLUMN() - ($E34 + 5)), 0))
  )
)</f>
        <v>2373.02539839178</v>
      </c>
      <c r="AR34" s="80" t="n">
        <f aca="false" t="array" ref="AR34:AR34">IF(COLUMN() - ($E34 + 5) &lt; 0, 0,
  IF(COLUMN() - ($E34 + 5) = 0, $F34,
    AQ34 * (1 - IFERROR(INDEX('Inputs &amp; Assuptions'!$B$13:$B$72, COLUMN() - ($E34 + 5)), 0))
  )
)</f>
        <v>2325.56489042394</v>
      </c>
      <c r="AS34" s="80" t="n">
        <f aca="false" t="array" ref="AS34:AS34">IF(COLUMN() - ($E34 + 5) &lt; 0, 0,
  IF(COLUMN() - ($E34 + 5) = 0, $F34,
    AR34 * (1 - IFERROR(INDEX('Inputs &amp; Assuptions'!$B$13:$B$72, COLUMN() - ($E34 + 5)), 0))
  )
)</f>
        <v>2302.3092415197</v>
      </c>
      <c r="AT34" s="80" t="n">
        <f aca="false" t="array" ref="AT34:AT34">IF(COLUMN() - ($E34 + 5) &lt; 0, 0,
  IF(COLUMN() - ($E34 + 5) = 0, $F34,
    AS34 * (1 - IFERROR(INDEX('Inputs &amp; Assuptions'!$B$13:$B$72, COLUMN() - ($E34 + 5)), 0))
  )
)</f>
        <v>2279.2861491045</v>
      </c>
      <c r="AU34" s="80" t="n">
        <f aca="false" t="array" ref="AU34:AU34">IF(COLUMN() - ($E34 + 5) &lt; 0, 0,
  IF(COLUMN() - ($E34 + 5) = 0, $F34,
    AT34 * (1 - IFERROR(INDEX('Inputs &amp; Assuptions'!$B$13:$B$72, COLUMN() - ($E34 + 5)), 0))
  )
)</f>
        <v>2256.49328761346</v>
      </c>
      <c r="AV34" s="80" t="n">
        <f aca="false" t="array" ref="AV34:AV34">IF(COLUMN() - ($E34 + 5) &lt; 0, 0,
  IF(COLUMN() - ($E34 + 5) = 0, $F34,
    AU34 * (1 - IFERROR(INDEX('Inputs &amp; Assuptions'!$B$13:$B$72, COLUMN() - ($E34 + 5)), 0))
  )
)</f>
        <v>2233.92835473732</v>
      </c>
      <c r="AW34" s="80" t="n">
        <f aca="false" t="array" ref="AW34:AW34">IF(COLUMN() - ($E34 + 5) &lt; 0, 0,
  IF(COLUMN() - ($E34 + 5) = 0, $F34,
    AV34 * (1 - IFERROR(INDEX('Inputs &amp; Assuptions'!$B$13:$B$72, COLUMN() - ($E34 + 5)), 0))
  )
)</f>
        <v>2211.58907118995</v>
      </c>
      <c r="AX34" s="80" t="n">
        <f aca="false" t="array" ref="AX34:AX34">IF(COLUMN() - ($E34 + 5) &lt; 0, 0,
  IF(COLUMN() - ($E34 + 5) = 0, $F34,
    AW34 * (1 - IFERROR(INDEX('Inputs &amp; Assuptions'!$B$13:$B$72, COLUMN() - ($E34 + 5)), 0))
  )
)</f>
        <v>2189.47318047805</v>
      </c>
      <c r="AY34" s="80" t="n">
        <f aca="false" t="array" ref="AY34:AY34">IF(COLUMN() - ($E34 + 5) &lt; 0, 0,
  IF(COLUMN() - ($E34 + 5) = 0, $F34,
    AX34 * (1 - IFERROR(INDEX('Inputs &amp; Assuptions'!$B$13:$B$72, COLUMN() - ($E34 + 5)), 0))
  )
)</f>
        <v>2167.57844867327</v>
      </c>
      <c r="AZ34" s="80" t="n">
        <f aca="false" t="array" ref="AZ34:AZ34">IF(COLUMN() - ($E34 + 5) &lt; 0, 0,
  IF(COLUMN() - ($E34 + 5) = 0, $F34,
    AY34 * (1 - IFERROR(INDEX('Inputs &amp; Assuptions'!$B$13:$B$72, COLUMN() - ($E34 + 5)), 0))
  )
)</f>
        <v>2145.90266418654</v>
      </c>
      <c r="BA34" s="80" t="n">
        <f aca="false" t="array" ref="BA34:BA34">IF(COLUMN() - ($E34 + 5) &lt; 0, 0,
  IF(COLUMN() - ($E34 + 5) = 0, $F34,
    AZ34 * (1 - IFERROR(INDEX('Inputs &amp; Assuptions'!$B$13:$B$72, COLUMN() - ($E34 + 5)), 0))
  )
)</f>
        <v>2124.44363754467</v>
      </c>
      <c r="BB34" s="80" t="n">
        <f aca="false" t="array" ref="BB34:BB34">IF(COLUMN() - ($E34 + 5) &lt; 0, 0,
  IF(COLUMN() - ($E34 + 5) = 0, $F34,
    BA34 * (1 - IFERROR(INDEX('Inputs &amp; Assuptions'!$B$13:$B$72, COLUMN() - ($E34 + 5)), 0))
  )
)</f>
        <v>2103.19920116923</v>
      </c>
      <c r="BC34" s="80" t="n">
        <f aca="false" t="array" ref="BC34:BC34">IF(COLUMN() - ($E34 + 5) &lt; 0, 0,
  IF(COLUMN() - ($E34 + 5) = 0, $F34,
    BB34 * (1 - IFERROR(INDEX('Inputs &amp; Assuptions'!$B$13:$B$72, COLUMN() - ($E34 + 5)), 0))
  )
)</f>
        <v>2082.16720915753</v>
      </c>
      <c r="BD34" s="80" t="n">
        <f aca="false" t="array" ref="BD34:BD34">IF(COLUMN() - ($E34 + 5) &lt; 0, 0,
  IF(COLUMN() - ($E34 + 5) = 0, $F34,
    BC34 * (1 - IFERROR(INDEX('Inputs &amp; Assuptions'!$B$13:$B$72, COLUMN() - ($E34 + 5)), 0))
  )
)</f>
        <v>2061.34553706596</v>
      </c>
      <c r="BE34" s="80" t="n">
        <f aca="false" t="array" ref="BE34:BE34">IF(COLUMN() - ($E34 + 5) &lt; 0, 0,
  IF(COLUMN() - ($E34 + 5) = 0, $F34,
    BD34 * (1 - IFERROR(INDEX('Inputs &amp; Assuptions'!$B$13:$B$72, COLUMN() - ($E34 + 5)), 0))
  )
)</f>
        <v>2040.7320816953</v>
      </c>
      <c r="BF34" s="80" t="n">
        <f aca="false" t="array" ref="BF34:BF34">IF(COLUMN() - ($E34 + 5) &lt; 0, 0,
  IF(COLUMN() - ($E34 + 5) = 0, $F34,
    BE34 * (1 - IFERROR(INDEX('Inputs &amp; Assuptions'!$B$13:$B$72, COLUMN() - ($E34 + 5)), 0))
  )
)</f>
        <v>2020.32476087835</v>
      </c>
      <c r="BG34" s="80" t="n">
        <f aca="false" t="array" ref="BG34:BG34">IF(COLUMN() - ($E34 + 5) &lt; 0, 0,
  IF(COLUMN() - ($E34 + 5) = 0, $F34,
    BF34 * (1 - IFERROR(INDEX('Inputs &amp; Assuptions'!$B$13:$B$72, COLUMN() - ($E34 + 5)), 0))
  )
)</f>
        <v>2000.12151326956</v>
      </c>
      <c r="BH34" s="80" t="n">
        <f aca="false" t="array" ref="BH34:BH34">IF(COLUMN() - ($E34 + 5) &lt; 0, 0,
  IF(COLUMN() - ($E34 + 5) = 0, $F34,
    BG34 * (1 - IFERROR(INDEX('Inputs &amp; Assuptions'!$B$13:$B$72, COLUMN() - ($E34 + 5)), 0))
  )
)</f>
        <v>1980.12029813687</v>
      </c>
      <c r="BI34" s="80" t="n">
        <f aca="false" t="array" ref="BI34:BI34">IF(COLUMN() - ($E34 + 5) &lt; 0, 0,
  IF(COLUMN() - ($E34 + 5) = 0, $F34,
    BH34 * (1 - IFERROR(INDEX('Inputs &amp; Assuptions'!$B$13:$B$72, COLUMN() - ($E34 + 5)), 0))
  )
)</f>
        <v>1960.3190951555</v>
      </c>
      <c r="BJ34" s="80" t="n">
        <f aca="false" t="array" ref="BJ34:BJ34">IF(COLUMN() - ($E34 + 5) &lt; 0, 0,
  IF(COLUMN() - ($E34 + 5) = 0, $F34,
    BI34 * (1 - IFERROR(INDEX('Inputs &amp; Assuptions'!$B$13:$B$72, COLUMN() - ($E34 + 5)), 0))
  )
)</f>
        <v>1940.71590420394</v>
      </c>
      <c r="BK34" s="80" t="n">
        <f aca="false" t="array" ref="BK34:BK34">IF(COLUMN() - ($E34 + 5) &lt; 0, 0,
  IF(COLUMN() - ($E34 + 5) = 0, $F34,
    BJ34 * (1 - IFERROR(INDEX('Inputs &amp; Assuptions'!$B$13:$B$72, COLUMN() - ($E34 + 5)), 0))
  )
)</f>
        <v>1921.3087451619</v>
      </c>
      <c r="BL34" s="80" t="n">
        <f aca="false" t="array" ref="BL34:BL34">IF(COLUMN() - ($E34 + 5) &lt; 0, 0,
  IF(COLUMN() - ($E34 + 5) = 0, $F34,
    BK34 * (1 - IFERROR(INDEX('Inputs &amp; Assuptions'!$B$13:$B$72, COLUMN() - ($E34 + 5)), 0))
  )
)</f>
        <v>1902.09565771028</v>
      </c>
      <c r="BM34" s="81" t="n">
        <f aca="false" t="array" ref="BM34:BM34">IF(COLUMN() - ($E34 + 5) &lt; 0, 0,
  IF(COLUMN() - ($E34 + 5) = 0, $F34,
    BL34 * (1 - IFERROR(INDEX('Inputs &amp; Assuptions'!$B$13:$B$72, COLUMN() - ($E34 + 5)), 0))
  )
)</f>
        <v>1883.07470113318</v>
      </c>
      <c r="BN34" s="76"/>
    </row>
    <row r="35" customFormat="false" ht="14.25" hidden="false" customHeight="false" outlineLevel="0" collapsed="false">
      <c r="A35" s="29" t="n">
        <f aca="false">A34+1</f>
        <v>30</v>
      </c>
      <c r="B35" s="77" t="n">
        <f aca="false">IF(MOD($A35-1, 12) = 0, $B34 * 1.05, $B34)</f>
        <v>6615</v>
      </c>
      <c r="C35" s="78" t="n">
        <f aca="false">$B35*(1-'Inputs &amp; Assuptions'!$B$12)</f>
        <v>3836.7</v>
      </c>
      <c r="E35" s="29" t="n">
        <f aca="false">E34+1</f>
        <v>30</v>
      </c>
      <c r="F35" s="79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 t="n">
        <f aca="false">+$C35</f>
        <v>3836.7</v>
      </c>
      <c r="AJ35" s="80" t="n">
        <f aca="false" t="array" ref="AJ35:AJ35">IF(COLUMN() - ($E35 + 5) &lt; 0, 0,
  IF(COLUMN() - ($E35 + 5) = 0, $F35,
    AI35 * (1 - IFERROR(INDEX('Inputs &amp; Assuptions'!$B$13:$B$72, COLUMN() - ($E35 + 5)), 0))
  )
)</f>
        <v>3433.8465</v>
      </c>
      <c r="AK35" s="80" t="n">
        <f aca="false" t="array" ref="AK35:AK35">IF(COLUMN() - ($E35 + 5) &lt; 0, 0,
  IF(COLUMN() - ($E35 + 5) = 0, $F35,
    AJ35 * (1 - IFERROR(INDEX('Inputs &amp; Assuptions'!$B$13:$B$72, COLUMN() - ($E35 + 5)), 0))
  )
)</f>
        <v>3159.13878</v>
      </c>
      <c r="AL35" s="80" t="n">
        <f aca="false" t="array" ref="AL35:AL35">IF(COLUMN() - ($E35 + 5) &lt; 0, 0,
  IF(COLUMN() - ($E35 + 5) = 0, $F35,
    AK35 * (1 - IFERROR(INDEX('Inputs &amp; Assuptions'!$B$13:$B$72, COLUMN() - ($E35 + 5)), 0))
  )
)</f>
        <v>2985.3861471</v>
      </c>
      <c r="AM35" s="80" t="n">
        <f aca="false" t="array" ref="AM35:AM35">IF(COLUMN() - ($E35 + 5) &lt; 0, 0,
  IF(COLUMN() - ($E35 + 5) = 0, $F35,
    AL35 * (1 - IFERROR(INDEX('Inputs &amp; Assuptions'!$B$13:$B$72, COLUMN() - ($E35 + 5)), 0))
  )
)</f>
        <v>2836.116839745</v>
      </c>
      <c r="AN35" s="80" t="n">
        <f aca="false" t="array" ref="AN35:AN35">IF(COLUMN() - ($E35 + 5) &lt; 0, 0,
  IF(COLUMN() - ($E35 + 5) = 0, $F35,
    AM35 * (1 - IFERROR(INDEX('Inputs &amp; Assuptions'!$B$13:$B$72, COLUMN() - ($E35 + 5)), 0))
  )
)</f>
        <v>2708.49158195648</v>
      </c>
      <c r="AO35" s="80" t="n">
        <f aca="false" t="array" ref="AO35:AO35">IF(COLUMN() - ($E35 + 5) &lt; 0, 0,
  IF(COLUMN() - ($E35 + 5) = 0, $F35,
    AN35 * (1 - IFERROR(INDEX('Inputs &amp; Assuptions'!$B$13:$B$72, COLUMN() - ($E35 + 5)), 0))
  )
)</f>
        <v>2600.15191867822</v>
      </c>
      <c r="AP35" s="80" t="n">
        <f aca="false" t="array" ref="AP35:AP35">IF(COLUMN() - ($E35 + 5) &lt; 0, 0,
  IF(COLUMN() - ($E35 + 5) = 0, $F35,
    AO35 * (1 - IFERROR(INDEX('Inputs &amp; Assuptions'!$B$13:$B$72, COLUMN() - ($E35 + 5)), 0))
  )
)</f>
        <v>2509.14660152448</v>
      </c>
      <c r="AQ35" s="80" t="n">
        <f aca="false" t="array" ref="AQ35:AQ35">IF(COLUMN() - ($E35 + 5) &lt; 0, 0,
  IF(COLUMN() - ($E35 + 5) = 0, $F35,
    AP35 * (1 - IFERROR(INDEX('Inputs &amp; Assuptions'!$B$13:$B$72, COLUMN() - ($E35 + 5)), 0))
  )
)</f>
        <v>2433.87220347874</v>
      </c>
      <c r="AR35" s="80" t="n">
        <f aca="false" t="array" ref="AR35:AR35">IF(COLUMN() - ($E35 + 5) &lt; 0, 0,
  IF(COLUMN() - ($E35 + 5) = 0, $F35,
    AQ35 * (1 - IFERROR(INDEX('Inputs &amp; Assuptions'!$B$13:$B$72, COLUMN() - ($E35 + 5)), 0))
  )
)</f>
        <v>2373.02539839178</v>
      </c>
      <c r="AS35" s="80" t="n">
        <f aca="false" t="array" ref="AS35:AS35">IF(COLUMN() - ($E35 + 5) &lt; 0, 0,
  IF(COLUMN() - ($E35 + 5) = 0, $F35,
    AR35 * (1 - IFERROR(INDEX('Inputs &amp; Assuptions'!$B$13:$B$72, COLUMN() - ($E35 + 5)), 0))
  )
)</f>
        <v>2325.56489042394</v>
      </c>
      <c r="AT35" s="80" t="n">
        <f aca="false" t="array" ref="AT35:AT35">IF(COLUMN() - ($E35 + 5) &lt; 0, 0,
  IF(COLUMN() - ($E35 + 5) = 0, $F35,
    AS35 * (1 - IFERROR(INDEX('Inputs &amp; Assuptions'!$B$13:$B$72, COLUMN() - ($E35 + 5)), 0))
  )
)</f>
        <v>2302.3092415197</v>
      </c>
      <c r="AU35" s="80" t="n">
        <f aca="false" t="array" ref="AU35:AU35">IF(COLUMN() - ($E35 + 5) &lt; 0, 0,
  IF(COLUMN() - ($E35 + 5) = 0, $F35,
    AT35 * (1 - IFERROR(INDEX('Inputs &amp; Assuptions'!$B$13:$B$72, COLUMN() - ($E35 + 5)), 0))
  )
)</f>
        <v>2279.2861491045</v>
      </c>
      <c r="AV35" s="80" t="n">
        <f aca="false" t="array" ref="AV35:AV35">IF(COLUMN() - ($E35 + 5) &lt; 0, 0,
  IF(COLUMN() - ($E35 + 5) = 0, $F35,
    AU35 * (1 - IFERROR(INDEX('Inputs &amp; Assuptions'!$B$13:$B$72, COLUMN() - ($E35 + 5)), 0))
  )
)</f>
        <v>2256.49328761346</v>
      </c>
      <c r="AW35" s="80" t="n">
        <f aca="false" t="array" ref="AW35:AW35">IF(COLUMN() - ($E35 + 5) &lt; 0, 0,
  IF(COLUMN() - ($E35 + 5) = 0, $F35,
    AV35 * (1 - IFERROR(INDEX('Inputs &amp; Assuptions'!$B$13:$B$72, COLUMN() - ($E35 + 5)), 0))
  )
)</f>
        <v>2233.92835473732</v>
      </c>
      <c r="AX35" s="80" t="n">
        <f aca="false" t="array" ref="AX35:AX35">IF(COLUMN() - ($E35 + 5) &lt; 0, 0,
  IF(COLUMN() - ($E35 + 5) = 0, $F35,
    AW35 * (1 - IFERROR(INDEX('Inputs &amp; Assuptions'!$B$13:$B$72, COLUMN() - ($E35 + 5)), 0))
  )
)</f>
        <v>2211.58907118995</v>
      </c>
      <c r="AY35" s="80" t="n">
        <f aca="false" t="array" ref="AY35:AY35">IF(COLUMN() - ($E35 + 5) &lt; 0, 0,
  IF(COLUMN() - ($E35 + 5) = 0, $F35,
    AX35 * (1 - IFERROR(INDEX('Inputs &amp; Assuptions'!$B$13:$B$72, COLUMN() - ($E35 + 5)), 0))
  )
)</f>
        <v>2189.47318047805</v>
      </c>
      <c r="AZ35" s="80" t="n">
        <f aca="false" t="array" ref="AZ35:AZ35">IF(COLUMN() - ($E35 + 5) &lt; 0, 0,
  IF(COLUMN() - ($E35 + 5) = 0, $F35,
    AY35 * (1 - IFERROR(INDEX('Inputs &amp; Assuptions'!$B$13:$B$72, COLUMN() - ($E35 + 5)), 0))
  )
)</f>
        <v>2167.57844867327</v>
      </c>
      <c r="BA35" s="80" t="n">
        <f aca="false" t="array" ref="BA35:BA35">IF(COLUMN() - ($E35 + 5) &lt; 0, 0,
  IF(COLUMN() - ($E35 + 5) = 0, $F35,
    AZ35 * (1 - IFERROR(INDEX('Inputs &amp; Assuptions'!$B$13:$B$72, COLUMN() - ($E35 + 5)), 0))
  )
)</f>
        <v>2145.90266418654</v>
      </c>
      <c r="BB35" s="80" t="n">
        <f aca="false" t="array" ref="BB35:BB35">IF(COLUMN() - ($E35 + 5) &lt; 0, 0,
  IF(COLUMN() - ($E35 + 5) = 0, $F35,
    BA35 * (1 - IFERROR(INDEX('Inputs &amp; Assuptions'!$B$13:$B$72, COLUMN() - ($E35 + 5)), 0))
  )
)</f>
        <v>2124.44363754467</v>
      </c>
      <c r="BC35" s="80" t="n">
        <f aca="false" t="array" ref="BC35:BC35">IF(COLUMN() - ($E35 + 5) &lt; 0, 0,
  IF(COLUMN() - ($E35 + 5) = 0, $F35,
    BB35 * (1 - IFERROR(INDEX('Inputs &amp; Assuptions'!$B$13:$B$72, COLUMN() - ($E35 + 5)), 0))
  )
)</f>
        <v>2103.19920116923</v>
      </c>
      <c r="BD35" s="80" t="n">
        <f aca="false" t="array" ref="BD35:BD35">IF(COLUMN() - ($E35 + 5) &lt; 0, 0,
  IF(COLUMN() - ($E35 + 5) = 0, $F35,
    BC35 * (1 - IFERROR(INDEX('Inputs &amp; Assuptions'!$B$13:$B$72, COLUMN() - ($E35 + 5)), 0))
  )
)</f>
        <v>2082.16720915753</v>
      </c>
      <c r="BE35" s="80" t="n">
        <f aca="false" t="array" ref="BE35:BE35">IF(COLUMN() - ($E35 + 5) &lt; 0, 0,
  IF(COLUMN() - ($E35 + 5) = 0, $F35,
    BD35 * (1 - IFERROR(INDEX('Inputs &amp; Assuptions'!$B$13:$B$72, COLUMN() - ($E35 + 5)), 0))
  )
)</f>
        <v>2061.34553706596</v>
      </c>
      <c r="BF35" s="80" t="n">
        <f aca="false" t="array" ref="BF35:BF35">IF(COLUMN() - ($E35 + 5) &lt; 0, 0,
  IF(COLUMN() - ($E35 + 5) = 0, $F35,
    BE35 * (1 - IFERROR(INDEX('Inputs &amp; Assuptions'!$B$13:$B$72, COLUMN() - ($E35 + 5)), 0))
  )
)</f>
        <v>2040.7320816953</v>
      </c>
      <c r="BG35" s="80" t="n">
        <f aca="false" t="array" ref="BG35:BG35">IF(COLUMN() - ($E35 + 5) &lt; 0, 0,
  IF(COLUMN() - ($E35 + 5) = 0, $F35,
    BF35 * (1 - IFERROR(INDEX('Inputs &amp; Assuptions'!$B$13:$B$72, COLUMN() - ($E35 + 5)), 0))
  )
)</f>
        <v>2020.32476087835</v>
      </c>
      <c r="BH35" s="80" t="n">
        <f aca="false" t="array" ref="BH35:BH35">IF(COLUMN() - ($E35 + 5) &lt; 0, 0,
  IF(COLUMN() - ($E35 + 5) = 0, $F35,
    BG35 * (1 - IFERROR(INDEX('Inputs &amp; Assuptions'!$B$13:$B$72, COLUMN() - ($E35 + 5)), 0))
  )
)</f>
        <v>2000.12151326956</v>
      </c>
      <c r="BI35" s="80" t="n">
        <f aca="false" t="array" ref="BI35:BI35">IF(COLUMN() - ($E35 + 5) &lt; 0, 0,
  IF(COLUMN() - ($E35 + 5) = 0, $F35,
    BH35 * (1 - IFERROR(INDEX('Inputs &amp; Assuptions'!$B$13:$B$72, COLUMN() - ($E35 + 5)), 0))
  )
)</f>
        <v>1980.12029813687</v>
      </c>
      <c r="BJ35" s="80" t="n">
        <f aca="false" t="array" ref="BJ35:BJ35">IF(COLUMN() - ($E35 + 5) &lt; 0, 0,
  IF(COLUMN() - ($E35 + 5) = 0, $F35,
    BI35 * (1 - IFERROR(INDEX('Inputs &amp; Assuptions'!$B$13:$B$72, COLUMN() - ($E35 + 5)), 0))
  )
)</f>
        <v>1960.3190951555</v>
      </c>
      <c r="BK35" s="80" t="n">
        <f aca="false" t="array" ref="BK35:BK35">IF(COLUMN() - ($E35 + 5) &lt; 0, 0,
  IF(COLUMN() - ($E35 + 5) = 0, $F35,
    BJ35 * (1 - IFERROR(INDEX('Inputs &amp; Assuptions'!$B$13:$B$72, COLUMN() - ($E35 + 5)), 0))
  )
)</f>
        <v>1940.71590420394</v>
      </c>
      <c r="BL35" s="80" t="n">
        <f aca="false" t="array" ref="BL35:BL35">IF(COLUMN() - ($E35 + 5) &lt; 0, 0,
  IF(COLUMN() - ($E35 + 5) = 0, $F35,
    BK35 * (1 - IFERROR(INDEX('Inputs &amp; Assuptions'!$B$13:$B$72, COLUMN() - ($E35 + 5)), 0))
  )
)</f>
        <v>1921.3087451619</v>
      </c>
      <c r="BM35" s="81" t="n">
        <f aca="false" t="array" ref="BM35:BM35">IF(COLUMN() - ($E35 + 5) &lt; 0, 0,
  IF(COLUMN() - ($E35 + 5) = 0, $F35,
    BL35 * (1 - IFERROR(INDEX('Inputs &amp; Assuptions'!$B$13:$B$72, COLUMN() - ($E35 + 5)), 0))
  )
)</f>
        <v>1902.09565771028</v>
      </c>
      <c r="BN35" s="76"/>
    </row>
    <row r="36" customFormat="false" ht="14.25" hidden="false" customHeight="false" outlineLevel="0" collapsed="false">
      <c r="A36" s="29" t="n">
        <f aca="false">A35+1</f>
        <v>31</v>
      </c>
      <c r="B36" s="77" t="n">
        <f aca="false">IF(MOD($A36-1, 12) = 0, $B35 * 1.05, $B35)</f>
        <v>6615</v>
      </c>
      <c r="C36" s="78" t="n">
        <f aca="false">$B36*(1-'Inputs &amp; Assuptions'!$B$12)</f>
        <v>3836.7</v>
      </c>
      <c r="E36" s="29" t="n">
        <f aca="false">E35+1</f>
        <v>31</v>
      </c>
      <c r="F36" s="79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 t="n">
        <f aca="false">+$C36</f>
        <v>3836.7</v>
      </c>
      <c r="AK36" s="80" t="n">
        <f aca="false" t="array" ref="AK36:AK36">IF(COLUMN() - ($E36 + 5) &lt; 0, 0,
  IF(COLUMN() - ($E36 + 5) = 0, $F36,
    AJ36 * (1 - IFERROR(INDEX('Inputs &amp; Assuptions'!$B$13:$B$72, COLUMN() - ($E36 + 5)), 0))
  )
)</f>
        <v>3433.8465</v>
      </c>
      <c r="AL36" s="80" t="n">
        <f aca="false" t="array" ref="AL36:AL36">IF(COLUMN() - ($E36 + 5) &lt; 0, 0,
  IF(COLUMN() - ($E36 + 5) = 0, $F36,
    AK36 * (1 - IFERROR(INDEX('Inputs &amp; Assuptions'!$B$13:$B$72, COLUMN() - ($E36 + 5)), 0))
  )
)</f>
        <v>3159.13878</v>
      </c>
      <c r="AM36" s="80" t="n">
        <f aca="false" t="array" ref="AM36:AM36">IF(COLUMN() - ($E36 + 5) &lt; 0, 0,
  IF(COLUMN() - ($E36 + 5) = 0, $F36,
    AL36 * (1 - IFERROR(INDEX('Inputs &amp; Assuptions'!$B$13:$B$72, COLUMN() - ($E36 + 5)), 0))
  )
)</f>
        <v>2985.3861471</v>
      </c>
      <c r="AN36" s="80" t="n">
        <f aca="false" t="array" ref="AN36:AN36">IF(COLUMN() - ($E36 + 5) &lt; 0, 0,
  IF(COLUMN() - ($E36 + 5) = 0, $F36,
    AM36 * (1 - IFERROR(INDEX('Inputs &amp; Assuptions'!$B$13:$B$72, COLUMN() - ($E36 + 5)), 0))
  )
)</f>
        <v>2836.116839745</v>
      </c>
      <c r="AO36" s="80" t="n">
        <f aca="false" t="array" ref="AO36:AO36">IF(COLUMN() - ($E36 + 5) &lt; 0, 0,
  IF(COLUMN() - ($E36 + 5) = 0, $F36,
    AN36 * (1 - IFERROR(INDEX('Inputs &amp; Assuptions'!$B$13:$B$72, COLUMN() - ($E36 + 5)), 0))
  )
)</f>
        <v>2708.49158195648</v>
      </c>
      <c r="AP36" s="80" t="n">
        <f aca="false" t="array" ref="AP36:AP36">IF(COLUMN() - ($E36 + 5) &lt; 0, 0,
  IF(COLUMN() - ($E36 + 5) = 0, $F36,
    AO36 * (1 - IFERROR(INDEX('Inputs &amp; Assuptions'!$B$13:$B$72, COLUMN() - ($E36 + 5)), 0))
  )
)</f>
        <v>2600.15191867822</v>
      </c>
      <c r="AQ36" s="80" t="n">
        <f aca="false" t="array" ref="AQ36:AQ36">IF(COLUMN() - ($E36 + 5) &lt; 0, 0,
  IF(COLUMN() - ($E36 + 5) = 0, $F36,
    AP36 * (1 - IFERROR(INDEX('Inputs &amp; Assuptions'!$B$13:$B$72, COLUMN() - ($E36 + 5)), 0))
  )
)</f>
        <v>2509.14660152448</v>
      </c>
      <c r="AR36" s="80" t="n">
        <f aca="false" t="array" ref="AR36:AR36">IF(COLUMN() - ($E36 + 5) &lt; 0, 0,
  IF(COLUMN() - ($E36 + 5) = 0, $F36,
    AQ36 * (1 - IFERROR(INDEX('Inputs &amp; Assuptions'!$B$13:$B$72, COLUMN() - ($E36 + 5)), 0))
  )
)</f>
        <v>2433.87220347874</v>
      </c>
      <c r="AS36" s="80" t="n">
        <f aca="false" t="array" ref="AS36:AS36">IF(COLUMN() - ($E36 + 5) &lt; 0, 0,
  IF(COLUMN() - ($E36 + 5) = 0, $F36,
    AR36 * (1 - IFERROR(INDEX('Inputs &amp; Assuptions'!$B$13:$B$72, COLUMN() - ($E36 + 5)), 0))
  )
)</f>
        <v>2373.02539839178</v>
      </c>
      <c r="AT36" s="80" t="n">
        <f aca="false" t="array" ref="AT36:AT36">IF(COLUMN() - ($E36 + 5) &lt; 0, 0,
  IF(COLUMN() - ($E36 + 5) = 0, $F36,
    AS36 * (1 - IFERROR(INDEX('Inputs &amp; Assuptions'!$B$13:$B$72, COLUMN() - ($E36 + 5)), 0))
  )
)</f>
        <v>2325.56489042394</v>
      </c>
      <c r="AU36" s="80" t="n">
        <f aca="false" t="array" ref="AU36:AU36">IF(COLUMN() - ($E36 + 5) &lt; 0, 0,
  IF(COLUMN() - ($E36 + 5) = 0, $F36,
    AT36 * (1 - IFERROR(INDEX('Inputs &amp; Assuptions'!$B$13:$B$72, COLUMN() - ($E36 + 5)), 0))
  )
)</f>
        <v>2302.3092415197</v>
      </c>
      <c r="AV36" s="80" t="n">
        <f aca="false" t="array" ref="AV36:AV36">IF(COLUMN() - ($E36 + 5) &lt; 0, 0,
  IF(COLUMN() - ($E36 + 5) = 0, $F36,
    AU36 * (1 - IFERROR(INDEX('Inputs &amp; Assuptions'!$B$13:$B$72, COLUMN() - ($E36 + 5)), 0))
  )
)</f>
        <v>2279.2861491045</v>
      </c>
      <c r="AW36" s="80" t="n">
        <f aca="false" t="array" ref="AW36:AW36">IF(COLUMN() - ($E36 + 5) &lt; 0, 0,
  IF(COLUMN() - ($E36 + 5) = 0, $F36,
    AV36 * (1 - IFERROR(INDEX('Inputs &amp; Assuptions'!$B$13:$B$72, COLUMN() - ($E36 + 5)), 0))
  )
)</f>
        <v>2256.49328761346</v>
      </c>
      <c r="AX36" s="80" t="n">
        <f aca="false" t="array" ref="AX36:AX36">IF(COLUMN() - ($E36 + 5) &lt; 0, 0,
  IF(COLUMN() - ($E36 + 5) = 0, $F36,
    AW36 * (1 - IFERROR(INDEX('Inputs &amp; Assuptions'!$B$13:$B$72, COLUMN() - ($E36 + 5)), 0))
  )
)</f>
        <v>2233.92835473732</v>
      </c>
      <c r="AY36" s="80" t="n">
        <f aca="false" t="array" ref="AY36:AY36">IF(COLUMN() - ($E36 + 5) &lt; 0, 0,
  IF(COLUMN() - ($E36 + 5) = 0, $F36,
    AX36 * (1 - IFERROR(INDEX('Inputs &amp; Assuptions'!$B$13:$B$72, COLUMN() - ($E36 + 5)), 0))
  )
)</f>
        <v>2211.58907118995</v>
      </c>
      <c r="AZ36" s="80" t="n">
        <f aca="false" t="array" ref="AZ36:AZ36">IF(COLUMN() - ($E36 + 5) &lt; 0, 0,
  IF(COLUMN() - ($E36 + 5) = 0, $F36,
    AY36 * (1 - IFERROR(INDEX('Inputs &amp; Assuptions'!$B$13:$B$72, COLUMN() - ($E36 + 5)), 0))
  )
)</f>
        <v>2189.47318047805</v>
      </c>
      <c r="BA36" s="80" t="n">
        <f aca="false" t="array" ref="BA36:BA36">IF(COLUMN() - ($E36 + 5) &lt; 0, 0,
  IF(COLUMN() - ($E36 + 5) = 0, $F36,
    AZ36 * (1 - IFERROR(INDEX('Inputs &amp; Assuptions'!$B$13:$B$72, COLUMN() - ($E36 + 5)), 0))
  )
)</f>
        <v>2167.57844867327</v>
      </c>
      <c r="BB36" s="80" t="n">
        <f aca="false" t="array" ref="BB36:BB36">IF(COLUMN() - ($E36 + 5) &lt; 0, 0,
  IF(COLUMN() - ($E36 + 5) = 0, $F36,
    BA36 * (1 - IFERROR(INDEX('Inputs &amp; Assuptions'!$B$13:$B$72, COLUMN() - ($E36 + 5)), 0))
  )
)</f>
        <v>2145.90266418654</v>
      </c>
      <c r="BC36" s="80" t="n">
        <f aca="false" t="array" ref="BC36:BC36">IF(COLUMN() - ($E36 + 5) &lt; 0, 0,
  IF(COLUMN() - ($E36 + 5) = 0, $F36,
    BB36 * (1 - IFERROR(INDEX('Inputs &amp; Assuptions'!$B$13:$B$72, COLUMN() - ($E36 + 5)), 0))
  )
)</f>
        <v>2124.44363754467</v>
      </c>
      <c r="BD36" s="80" t="n">
        <f aca="false" t="array" ref="BD36:BD36">IF(COLUMN() - ($E36 + 5) &lt; 0, 0,
  IF(COLUMN() - ($E36 + 5) = 0, $F36,
    BC36 * (1 - IFERROR(INDEX('Inputs &amp; Assuptions'!$B$13:$B$72, COLUMN() - ($E36 + 5)), 0))
  )
)</f>
        <v>2103.19920116923</v>
      </c>
      <c r="BE36" s="80" t="n">
        <f aca="false" t="array" ref="BE36:BE36">IF(COLUMN() - ($E36 + 5) &lt; 0, 0,
  IF(COLUMN() - ($E36 + 5) = 0, $F36,
    BD36 * (1 - IFERROR(INDEX('Inputs &amp; Assuptions'!$B$13:$B$72, COLUMN() - ($E36 + 5)), 0))
  )
)</f>
        <v>2082.16720915753</v>
      </c>
      <c r="BF36" s="80" t="n">
        <f aca="false" t="array" ref="BF36:BF36">IF(COLUMN() - ($E36 + 5) &lt; 0, 0,
  IF(COLUMN() - ($E36 + 5) = 0, $F36,
    BE36 * (1 - IFERROR(INDEX('Inputs &amp; Assuptions'!$B$13:$B$72, COLUMN() - ($E36 + 5)), 0))
  )
)</f>
        <v>2061.34553706596</v>
      </c>
      <c r="BG36" s="80" t="n">
        <f aca="false" t="array" ref="BG36:BG36">IF(COLUMN() - ($E36 + 5) &lt; 0, 0,
  IF(COLUMN() - ($E36 + 5) = 0, $F36,
    BF36 * (1 - IFERROR(INDEX('Inputs &amp; Assuptions'!$B$13:$B$72, COLUMN() - ($E36 + 5)), 0))
  )
)</f>
        <v>2040.7320816953</v>
      </c>
      <c r="BH36" s="80" t="n">
        <f aca="false" t="array" ref="BH36:BH36">IF(COLUMN() - ($E36 + 5) &lt; 0, 0,
  IF(COLUMN() - ($E36 + 5) = 0, $F36,
    BG36 * (1 - IFERROR(INDEX('Inputs &amp; Assuptions'!$B$13:$B$72, COLUMN() - ($E36 + 5)), 0))
  )
)</f>
        <v>2020.32476087835</v>
      </c>
      <c r="BI36" s="80" t="n">
        <f aca="false" t="array" ref="BI36:BI36">IF(COLUMN() - ($E36 + 5) &lt; 0, 0,
  IF(COLUMN() - ($E36 + 5) = 0, $F36,
    BH36 * (1 - IFERROR(INDEX('Inputs &amp; Assuptions'!$B$13:$B$72, COLUMN() - ($E36 + 5)), 0))
  )
)</f>
        <v>2000.12151326956</v>
      </c>
      <c r="BJ36" s="80" t="n">
        <f aca="false" t="array" ref="BJ36:BJ36">IF(COLUMN() - ($E36 + 5) &lt; 0, 0,
  IF(COLUMN() - ($E36 + 5) = 0, $F36,
    BI36 * (1 - IFERROR(INDEX('Inputs &amp; Assuptions'!$B$13:$B$72, COLUMN() - ($E36 + 5)), 0))
  )
)</f>
        <v>1980.12029813687</v>
      </c>
      <c r="BK36" s="80" t="n">
        <f aca="false" t="array" ref="BK36:BK36">IF(COLUMN() - ($E36 + 5) &lt; 0, 0,
  IF(COLUMN() - ($E36 + 5) = 0, $F36,
    BJ36 * (1 - IFERROR(INDEX('Inputs &amp; Assuptions'!$B$13:$B$72, COLUMN() - ($E36 + 5)), 0))
  )
)</f>
        <v>1960.3190951555</v>
      </c>
      <c r="BL36" s="80" t="n">
        <f aca="false" t="array" ref="BL36:BL36">IF(COLUMN() - ($E36 + 5) &lt; 0, 0,
  IF(COLUMN() - ($E36 + 5) = 0, $F36,
    BK36 * (1 - IFERROR(INDEX('Inputs &amp; Assuptions'!$B$13:$B$72, COLUMN() - ($E36 + 5)), 0))
  )
)</f>
        <v>1940.71590420394</v>
      </c>
      <c r="BM36" s="81" t="n">
        <f aca="false" t="array" ref="BM36:BM36">IF(COLUMN() - ($E36 + 5) &lt; 0, 0,
  IF(COLUMN() - ($E36 + 5) = 0, $F36,
    BL36 * (1 - IFERROR(INDEX('Inputs &amp; Assuptions'!$B$13:$B$72, COLUMN() - ($E36 + 5)), 0))
  )
)</f>
        <v>1921.3087451619</v>
      </c>
      <c r="BN36" s="76"/>
    </row>
    <row r="37" customFormat="false" ht="14.25" hidden="false" customHeight="false" outlineLevel="0" collapsed="false">
      <c r="A37" s="29" t="n">
        <f aca="false">A36+1</f>
        <v>32</v>
      </c>
      <c r="B37" s="77" t="n">
        <f aca="false">IF(MOD($A37-1, 12) = 0, $B36 * 1.05, $B36)</f>
        <v>6615</v>
      </c>
      <c r="C37" s="78" t="n">
        <f aca="false">$B37*(1-'Inputs &amp; Assuptions'!$B$12)</f>
        <v>3836.7</v>
      </c>
      <c r="E37" s="29" t="n">
        <f aca="false">E36+1</f>
        <v>32</v>
      </c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 t="n">
        <f aca="false">+$C37</f>
        <v>3836.7</v>
      </c>
      <c r="AL37" s="80" t="n">
        <f aca="false" t="array" ref="AL37:AL37">IF(COLUMN() - ($E37 + 5) &lt; 0, 0,
  IF(COLUMN() - ($E37 + 5) = 0, $F37,
    AK37 * (1 - IFERROR(INDEX('Inputs &amp; Assuptions'!$B$13:$B$72, COLUMN() - ($E37 + 5)), 0))
  )
)</f>
        <v>3433.8465</v>
      </c>
      <c r="AM37" s="80" t="n">
        <f aca="false" t="array" ref="AM37:AM37">IF(COLUMN() - ($E37 + 5) &lt; 0, 0,
  IF(COLUMN() - ($E37 + 5) = 0, $F37,
    AL37 * (1 - IFERROR(INDEX('Inputs &amp; Assuptions'!$B$13:$B$72, COLUMN() - ($E37 + 5)), 0))
  )
)</f>
        <v>3159.13878</v>
      </c>
      <c r="AN37" s="80" t="n">
        <f aca="false" t="array" ref="AN37:AN37">IF(COLUMN() - ($E37 + 5) &lt; 0, 0,
  IF(COLUMN() - ($E37 + 5) = 0, $F37,
    AM37 * (1 - IFERROR(INDEX('Inputs &amp; Assuptions'!$B$13:$B$72, COLUMN() - ($E37 + 5)), 0))
  )
)</f>
        <v>2985.3861471</v>
      </c>
      <c r="AO37" s="80" t="n">
        <f aca="false" t="array" ref="AO37:AO37">IF(COLUMN() - ($E37 + 5) &lt; 0, 0,
  IF(COLUMN() - ($E37 + 5) = 0, $F37,
    AN37 * (1 - IFERROR(INDEX('Inputs &amp; Assuptions'!$B$13:$B$72, COLUMN() - ($E37 + 5)), 0))
  )
)</f>
        <v>2836.116839745</v>
      </c>
      <c r="AP37" s="80" t="n">
        <f aca="false" t="array" ref="AP37:AP37">IF(COLUMN() - ($E37 + 5) &lt; 0, 0,
  IF(COLUMN() - ($E37 + 5) = 0, $F37,
    AO37 * (1 - IFERROR(INDEX('Inputs &amp; Assuptions'!$B$13:$B$72, COLUMN() - ($E37 + 5)), 0))
  )
)</f>
        <v>2708.49158195648</v>
      </c>
      <c r="AQ37" s="80" t="n">
        <f aca="false" t="array" ref="AQ37:AQ37">IF(COLUMN() - ($E37 + 5) &lt; 0, 0,
  IF(COLUMN() - ($E37 + 5) = 0, $F37,
    AP37 * (1 - IFERROR(INDEX('Inputs &amp; Assuptions'!$B$13:$B$72, COLUMN() - ($E37 + 5)), 0))
  )
)</f>
        <v>2600.15191867822</v>
      </c>
      <c r="AR37" s="80" t="n">
        <f aca="false" t="array" ref="AR37:AR37">IF(COLUMN() - ($E37 + 5) &lt; 0, 0,
  IF(COLUMN() - ($E37 + 5) = 0, $F37,
    AQ37 * (1 - IFERROR(INDEX('Inputs &amp; Assuptions'!$B$13:$B$72, COLUMN() - ($E37 + 5)), 0))
  )
)</f>
        <v>2509.14660152448</v>
      </c>
      <c r="AS37" s="80" t="n">
        <f aca="false" t="array" ref="AS37:AS37">IF(COLUMN() - ($E37 + 5) &lt; 0, 0,
  IF(COLUMN() - ($E37 + 5) = 0, $F37,
    AR37 * (1 - IFERROR(INDEX('Inputs &amp; Assuptions'!$B$13:$B$72, COLUMN() - ($E37 + 5)), 0))
  )
)</f>
        <v>2433.87220347874</v>
      </c>
      <c r="AT37" s="80" t="n">
        <f aca="false" t="array" ref="AT37:AT37">IF(COLUMN() - ($E37 + 5) &lt; 0, 0,
  IF(COLUMN() - ($E37 + 5) = 0, $F37,
    AS37 * (1 - IFERROR(INDEX('Inputs &amp; Assuptions'!$B$13:$B$72, COLUMN() - ($E37 + 5)), 0))
  )
)</f>
        <v>2373.02539839178</v>
      </c>
      <c r="AU37" s="80" t="n">
        <f aca="false" t="array" ref="AU37:AU37">IF(COLUMN() - ($E37 + 5) &lt; 0, 0,
  IF(COLUMN() - ($E37 + 5) = 0, $F37,
    AT37 * (1 - IFERROR(INDEX('Inputs &amp; Assuptions'!$B$13:$B$72, COLUMN() - ($E37 + 5)), 0))
  )
)</f>
        <v>2325.56489042394</v>
      </c>
      <c r="AV37" s="80" t="n">
        <f aca="false" t="array" ref="AV37:AV37">IF(COLUMN() - ($E37 + 5) &lt; 0, 0,
  IF(COLUMN() - ($E37 + 5) = 0, $F37,
    AU37 * (1 - IFERROR(INDEX('Inputs &amp; Assuptions'!$B$13:$B$72, COLUMN() - ($E37 + 5)), 0))
  )
)</f>
        <v>2302.3092415197</v>
      </c>
      <c r="AW37" s="80" t="n">
        <f aca="false" t="array" ref="AW37:AW37">IF(COLUMN() - ($E37 + 5) &lt; 0, 0,
  IF(COLUMN() - ($E37 + 5) = 0, $F37,
    AV37 * (1 - IFERROR(INDEX('Inputs &amp; Assuptions'!$B$13:$B$72, COLUMN() - ($E37 + 5)), 0))
  )
)</f>
        <v>2279.2861491045</v>
      </c>
      <c r="AX37" s="80" t="n">
        <f aca="false" t="array" ref="AX37:AX37">IF(COLUMN() - ($E37 + 5) &lt; 0, 0,
  IF(COLUMN() - ($E37 + 5) = 0, $F37,
    AW37 * (1 - IFERROR(INDEX('Inputs &amp; Assuptions'!$B$13:$B$72, COLUMN() - ($E37 + 5)), 0))
  )
)</f>
        <v>2256.49328761346</v>
      </c>
      <c r="AY37" s="80" t="n">
        <f aca="false" t="array" ref="AY37:AY37">IF(COLUMN() - ($E37 + 5) &lt; 0, 0,
  IF(COLUMN() - ($E37 + 5) = 0, $F37,
    AX37 * (1 - IFERROR(INDEX('Inputs &amp; Assuptions'!$B$13:$B$72, COLUMN() - ($E37 + 5)), 0))
  )
)</f>
        <v>2233.92835473732</v>
      </c>
      <c r="AZ37" s="80" t="n">
        <f aca="false" t="array" ref="AZ37:AZ37">IF(COLUMN() - ($E37 + 5) &lt; 0, 0,
  IF(COLUMN() - ($E37 + 5) = 0, $F37,
    AY37 * (1 - IFERROR(INDEX('Inputs &amp; Assuptions'!$B$13:$B$72, COLUMN() - ($E37 + 5)), 0))
  )
)</f>
        <v>2211.58907118995</v>
      </c>
      <c r="BA37" s="80" t="n">
        <f aca="false" t="array" ref="BA37:BA37">IF(COLUMN() - ($E37 + 5) &lt; 0, 0,
  IF(COLUMN() - ($E37 + 5) = 0, $F37,
    AZ37 * (1 - IFERROR(INDEX('Inputs &amp; Assuptions'!$B$13:$B$72, COLUMN() - ($E37 + 5)), 0))
  )
)</f>
        <v>2189.47318047805</v>
      </c>
      <c r="BB37" s="80" t="n">
        <f aca="false" t="array" ref="BB37:BB37">IF(COLUMN() - ($E37 + 5) &lt; 0, 0,
  IF(COLUMN() - ($E37 + 5) = 0, $F37,
    BA37 * (1 - IFERROR(INDEX('Inputs &amp; Assuptions'!$B$13:$B$72, COLUMN() - ($E37 + 5)), 0))
  )
)</f>
        <v>2167.57844867327</v>
      </c>
      <c r="BC37" s="80" t="n">
        <f aca="false" t="array" ref="BC37:BC37">IF(COLUMN() - ($E37 + 5) &lt; 0, 0,
  IF(COLUMN() - ($E37 + 5) = 0, $F37,
    BB37 * (1 - IFERROR(INDEX('Inputs &amp; Assuptions'!$B$13:$B$72, COLUMN() - ($E37 + 5)), 0))
  )
)</f>
        <v>2145.90266418654</v>
      </c>
      <c r="BD37" s="80" t="n">
        <f aca="false" t="array" ref="BD37:BD37">IF(COLUMN() - ($E37 + 5) &lt; 0, 0,
  IF(COLUMN() - ($E37 + 5) = 0, $F37,
    BC37 * (1 - IFERROR(INDEX('Inputs &amp; Assuptions'!$B$13:$B$72, COLUMN() - ($E37 + 5)), 0))
  )
)</f>
        <v>2124.44363754467</v>
      </c>
      <c r="BE37" s="80" t="n">
        <f aca="false" t="array" ref="BE37:BE37">IF(COLUMN() - ($E37 + 5) &lt; 0, 0,
  IF(COLUMN() - ($E37 + 5) = 0, $F37,
    BD37 * (1 - IFERROR(INDEX('Inputs &amp; Assuptions'!$B$13:$B$72, COLUMN() - ($E37 + 5)), 0))
  )
)</f>
        <v>2103.19920116923</v>
      </c>
      <c r="BF37" s="80" t="n">
        <f aca="false" t="array" ref="BF37:BF37">IF(COLUMN() - ($E37 + 5) &lt; 0, 0,
  IF(COLUMN() - ($E37 + 5) = 0, $F37,
    BE37 * (1 - IFERROR(INDEX('Inputs &amp; Assuptions'!$B$13:$B$72, COLUMN() - ($E37 + 5)), 0))
  )
)</f>
        <v>2082.16720915753</v>
      </c>
      <c r="BG37" s="80" t="n">
        <f aca="false" t="array" ref="BG37:BG37">IF(COLUMN() - ($E37 + 5) &lt; 0, 0,
  IF(COLUMN() - ($E37 + 5) = 0, $F37,
    BF37 * (1 - IFERROR(INDEX('Inputs &amp; Assuptions'!$B$13:$B$72, COLUMN() - ($E37 + 5)), 0))
  )
)</f>
        <v>2061.34553706596</v>
      </c>
      <c r="BH37" s="80" t="n">
        <f aca="false" t="array" ref="BH37:BH37">IF(COLUMN() - ($E37 + 5) &lt; 0, 0,
  IF(COLUMN() - ($E37 + 5) = 0, $F37,
    BG37 * (1 - IFERROR(INDEX('Inputs &amp; Assuptions'!$B$13:$B$72, COLUMN() - ($E37 + 5)), 0))
  )
)</f>
        <v>2040.7320816953</v>
      </c>
      <c r="BI37" s="80" t="n">
        <f aca="false" t="array" ref="BI37:BI37">IF(COLUMN() - ($E37 + 5) &lt; 0, 0,
  IF(COLUMN() - ($E37 + 5) = 0, $F37,
    BH37 * (1 - IFERROR(INDEX('Inputs &amp; Assuptions'!$B$13:$B$72, COLUMN() - ($E37 + 5)), 0))
  )
)</f>
        <v>2020.32476087835</v>
      </c>
      <c r="BJ37" s="80" t="n">
        <f aca="false" t="array" ref="BJ37:BJ37">IF(COLUMN() - ($E37 + 5) &lt; 0, 0,
  IF(COLUMN() - ($E37 + 5) = 0, $F37,
    BI37 * (1 - IFERROR(INDEX('Inputs &amp; Assuptions'!$B$13:$B$72, COLUMN() - ($E37 + 5)), 0))
  )
)</f>
        <v>2000.12151326956</v>
      </c>
      <c r="BK37" s="80" t="n">
        <f aca="false" t="array" ref="BK37:BK37">IF(COLUMN() - ($E37 + 5) &lt; 0, 0,
  IF(COLUMN() - ($E37 + 5) = 0, $F37,
    BJ37 * (1 - IFERROR(INDEX('Inputs &amp; Assuptions'!$B$13:$B$72, COLUMN() - ($E37 + 5)), 0))
  )
)</f>
        <v>1980.12029813687</v>
      </c>
      <c r="BL37" s="80" t="n">
        <f aca="false" t="array" ref="BL37:BL37">IF(COLUMN() - ($E37 + 5) &lt; 0, 0,
  IF(COLUMN() - ($E37 + 5) = 0, $F37,
    BK37 * (1 - IFERROR(INDEX('Inputs &amp; Assuptions'!$B$13:$B$72, COLUMN() - ($E37 + 5)), 0))
  )
)</f>
        <v>1960.3190951555</v>
      </c>
      <c r="BM37" s="81" t="n">
        <f aca="false" t="array" ref="BM37:BM37">IF(COLUMN() - ($E37 + 5) &lt; 0, 0,
  IF(COLUMN() - ($E37 + 5) = 0, $F37,
    BL37 * (1 - IFERROR(INDEX('Inputs &amp; Assuptions'!$B$13:$B$72, COLUMN() - ($E37 + 5)), 0))
  )
)</f>
        <v>1940.71590420394</v>
      </c>
      <c r="BN37" s="76"/>
    </row>
    <row r="38" customFormat="false" ht="14.25" hidden="false" customHeight="false" outlineLevel="0" collapsed="false">
      <c r="A38" s="29" t="n">
        <f aca="false">A37+1</f>
        <v>33</v>
      </c>
      <c r="B38" s="77" t="n">
        <f aca="false">IF(MOD($A38-1, 12) = 0, $B37 * 1.05, $B37)</f>
        <v>6615</v>
      </c>
      <c r="C38" s="78" t="n">
        <f aca="false">$B38*(1-'Inputs &amp; Assuptions'!$B$12)</f>
        <v>3836.7</v>
      </c>
      <c r="E38" s="29" t="n">
        <f aca="false">E37+1</f>
        <v>33</v>
      </c>
      <c r="F38" s="79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 t="n">
        <f aca="false">+$C38</f>
        <v>3836.7</v>
      </c>
      <c r="AM38" s="80" t="n">
        <f aca="false" t="array" ref="AM38:AM38">IF(COLUMN() - ($E38 + 5) &lt; 0, 0,
  IF(COLUMN() - ($E38 + 5) = 0, $F38,
    AL38 * (1 - IFERROR(INDEX('Inputs &amp; Assuptions'!$B$13:$B$72, COLUMN() - ($E38 + 5)), 0))
  )
)</f>
        <v>3433.8465</v>
      </c>
      <c r="AN38" s="80" t="n">
        <f aca="false" t="array" ref="AN38:AN38">IF(COLUMN() - ($E38 + 5) &lt; 0, 0,
  IF(COLUMN() - ($E38 + 5) = 0, $F38,
    AM38 * (1 - IFERROR(INDEX('Inputs &amp; Assuptions'!$B$13:$B$72, COLUMN() - ($E38 + 5)), 0))
  )
)</f>
        <v>3159.13878</v>
      </c>
      <c r="AO38" s="80" t="n">
        <f aca="false" t="array" ref="AO38:AO38">IF(COLUMN() - ($E38 + 5) &lt; 0, 0,
  IF(COLUMN() - ($E38 + 5) = 0, $F38,
    AN38 * (1 - IFERROR(INDEX('Inputs &amp; Assuptions'!$B$13:$B$72, COLUMN() - ($E38 + 5)), 0))
  )
)</f>
        <v>2985.3861471</v>
      </c>
      <c r="AP38" s="80" t="n">
        <f aca="false" t="array" ref="AP38:AP38">IF(COLUMN() - ($E38 + 5) &lt; 0, 0,
  IF(COLUMN() - ($E38 + 5) = 0, $F38,
    AO38 * (1 - IFERROR(INDEX('Inputs &amp; Assuptions'!$B$13:$B$72, COLUMN() - ($E38 + 5)), 0))
  )
)</f>
        <v>2836.116839745</v>
      </c>
      <c r="AQ38" s="80" t="n">
        <f aca="false" t="array" ref="AQ38:AQ38">IF(COLUMN() - ($E38 + 5) &lt; 0, 0,
  IF(COLUMN() - ($E38 + 5) = 0, $F38,
    AP38 * (1 - IFERROR(INDEX('Inputs &amp; Assuptions'!$B$13:$B$72, COLUMN() - ($E38 + 5)), 0))
  )
)</f>
        <v>2708.49158195648</v>
      </c>
      <c r="AR38" s="80" t="n">
        <f aca="false" t="array" ref="AR38:AR38">IF(COLUMN() - ($E38 + 5) &lt; 0, 0,
  IF(COLUMN() - ($E38 + 5) = 0, $F38,
    AQ38 * (1 - IFERROR(INDEX('Inputs &amp; Assuptions'!$B$13:$B$72, COLUMN() - ($E38 + 5)), 0))
  )
)</f>
        <v>2600.15191867822</v>
      </c>
      <c r="AS38" s="80" t="n">
        <f aca="false" t="array" ref="AS38:AS38">IF(COLUMN() - ($E38 + 5) &lt; 0, 0,
  IF(COLUMN() - ($E38 + 5) = 0, $F38,
    AR38 * (1 - IFERROR(INDEX('Inputs &amp; Assuptions'!$B$13:$B$72, COLUMN() - ($E38 + 5)), 0))
  )
)</f>
        <v>2509.14660152448</v>
      </c>
      <c r="AT38" s="80" t="n">
        <f aca="false" t="array" ref="AT38:AT38">IF(COLUMN() - ($E38 + 5) &lt; 0, 0,
  IF(COLUMN() - ($E38 + 5) = 0, $F38,
    AS38 * (1 - IFERROR(INDEX('Inputs &amp; Assuptions'!$B$13:$B$72, COLUMN() - ($E38 + 5)), 0))
  )
)</f>
        <v>2433.87220347874</v>
      </c>
      <c r="AU38" s="80" t="n">
        <f aca="false" t="array" ref="AU38:AU38">IF(COLUMN() - ($E38 + 5) &lt; 0, 0,
  IF(COLUMN() - ($E38 + 5) = 0, $F38,
    AT38 * (1 - IFERROR(INDEX('Inputs &amp; Assuptions'!$B$13:$B$72, COLUMN() - ($E38 + 5)), 0))
  )
)</f>
        <v>2373.02539839178</v>
      </c>
      <c r="AV38" s="80" t="n">
        <f aca="false" t="array" ref="AV38:AV38">IF(COLUMN() - ($E38 + 5) &lt; 0, 0,
  IF(COLUMN() - ($E38 + 5) = 0, $F38,
    AU38 * (1 - IFERROR(INDEX('Inputs &amp; Assuptions'!$B$13:$B$72, COLUMN() - ($E38 + 5)), 0))
  )
)</f>
        <v>2325.56489042394</v>
      </c>
      <c r="AW38" s="80" t="n">
        <f aca="false" t="array" ref="AW38:AW38">IF(COLUMN() - ($E38 + 5) &lt; 0, 0,
  IF(COLUMN() - ($E38 + 5) = 0, $F38,
    AV38 * (1 - IFERROR(INDEX('Inputs &amp; Assuptions'!$B$13:$B$72, COLUMN() - ($E38 + 5)), 0))
  )
)</f>
        <v>2302.3092415197</v>
      </c>
      <c r="AX38" s="80" t="n">
        <f aca="false" t="array" ref="AX38:AX38">IF(COLUMN() - ($E38 + 5) &lt; 0, 0,
  IF(COLUMN() - ($E38 + 5) = 0, $F38,
    AW38 * (1 - IFERROR(INDEX('Inputs &amp; Assuptions'!$B$13:$B$72, COLUMN() - ($E38 + 5)), 0))
  )
)</f>
        <v>2279.2861491045</v>
      </c>
      <c r="AY38" s="80" t="n">
        <f aca="false" t="array" ref="AY38:AY38">IF(COLUMN() - ($E38 + 5) &lt; 0, 0,
  IF(COLUMN() - ($E38 + 5) = 0, $F38,
    AX38 * (1 - IFERROR(INDEX('Inputs &amp; Assuptions'!$B$13:$B$72, COLUMN() - ($E38 + 5)), 0))
  )
)</f>
        <v>2256.49328761346</v>
      </c>
      <c r="AZ38" s="80" t="n">
        <f aca="false" t="array" ref="AZ38:AZ38">IF(COLUMN() - ($E38 + 5) &lt; 0, 0,
  IF(COLUMN() - ($E38 + 5) = 0, $F38,
    AY38 * (1 - IFERROR(INDEX('Inputs &amp; Assuptions'!$B$13:$B$72, COLUMN() - ($E38 + 5)), 0))
  )
)</f>
        <v>2233.92835473732</v>
      </c>
      <c r="BA38" s="80" t="n">
        <f aca="false" t="array" ref="BA38:BA38">IF(COLUMN() - ($E38 + 5) &lt; 0, 0,
  IF(COLUMN() - ($E38 + 5) = 0, $F38,
    AZ38 * (1 - IFERROR(INDEX('Inputs &amp; Assuptions'!$B$13:$B$72, COLUMN() - ($E38 + 5)), 0))
  )
)</f>
        <v>2211.58907118995</v>
      </c>
      <c r="BB38" s="80" t="n">
        <f aca="false" t="array" ref="BB38:BB38">IF(COLUMN() - ($E38 + 5) &lt; 0, 0,
  IF(COLUMN() - ($E38 + 5) = 0, $F38,
    BA38 * (1 - IFERROR(INDEX('Inputs &amp; Assuptions'!$B$13:$B$72, COLUMN() - ($E38 + 5)), 0))
  )
)</f>
        <v>2189.47318047805</v>
      </c>
      <c r="BC38" s="80" t="n">
        <f aca="false" t="array" ref="BC38:BC38">IF(COLUMN() - ($E38 + 5) &lt; 0, 0,
  IF(COLUMN() - ($E38 + 5) = 0, $F38,
    BB38 * (1 - IFERROR(INDEX('Inputs &amp; Assuptions'!$B$13:$B$72, COLUMN() - ($E38 + 5)), 0))
  )
)</f>
        <v>2167.57844867327</v>
      </c>
      <c r="BD38" s="80" t="n">
        <f aca="false" t="array" ref="BD38:BD38">IF(COLUMN() - ($E38 + 5) &lt; 0, 0,
  IF(COLUMN() - ($E38 + 5) = 0, $F38,
    BC38 * (1 - IFERROR(INDEX('Inputs &amp; Assuptions'!$B$13:$B$72, COLUMN() - ($E38 + 5)), 0))
  )
)</f>
        <v>2145.90266418654</v>
      </c>
      <c r="BE38" s="80" t="n">
        <f aca="false" t="array" ref="BE38:BE38">IF(COLUMN() - ($E38 + 5) &lt; 0, 0,
  IF(COLUMN() - ($E38 + 5) = 0, $F38,
    BD38 * (1 - IFERROR(INDEX('Inputs &amp; Assuptions'!$B$13:$B$72, COLUMN() - ($E38 + 5)), 0))
  )
)</f>
        <v>2124.44363754467</v>
      </c>
      <c r="BF38" s="80" t="n">
        <f aca="false" t="array" ref="BF38:BF38">IF(COLUMN() - ($E38 + 5) &lt; 0, 0,
  IF(COLUMN() - ($E38 + 5) = 0, $F38,
    BE38 * (1 - IFERROR(INDEX('Inputs &amp; Assuptions'!$B$13:$B$72, COLUMN() - ($E38 + 5)), 0))
  )
)</f>
        <v>2103.19920116923</v>
      </c>
      <c r="BG38" s="80" t="n">
        <f aca="false" t="array" ref="BG38:BG38">IF(COLUMN() - ($E38 + 5) &lt; 0, 0,
  IF(COLUMN() - ($E38 + 5) = 0, $F38,
    BF38 * (1 - IFERROR(INDEX('Inputs &amp; Assuptions'!$B$13:$B$72, COLUMN() - ($E38 + 5)), 0))
  )
)</f>
        <v>2082.16720915753</v>
      </c>
      <c r="BH38" s="80" t="n">
        <f aca="false" t="array" ref="BH38:BH38">IF(COLUMN() - ($E38 + 5) &lt; 0, 0,
  IF(COLUMN() - ($E38 + 5) = 0, $F38,
    BG38 * (1 - IFERROR(INDEX('Inputs &amp; Assuptions'!$B$13:$B$72, COLUMN() - ($E38 + 5)), 0))
  )
)</f>
        <v>2061.34553706596</v>
      </c>
      <c r="BI38" s="80" t="n">
        <f aca="false" t="array" ref="BI38:BI38">IF(COLUMN() - ($E38 + 5) &lt; 0, 0,
  IF(COLUMN() - ($E38 + 5) = 0, $F38,
    BH38 * (1 - IFERROR(INDEX('Inputs &amp; Assuptions'!$B$13:$B$72, COLUMN() - ($E38 + 5)), 0))
  )
)</f>
        <v>2040.7320816953</v>
      </c>
      <c r="BJ38" s="80" t="n">
        <f aca="false" t="array" ref="BJ38:BJ38">IF(COLUMN() - ($E38 + 5) &lt; 0, 0,
  IF(COLUMN() - ($E38 + 5) = 0, $F38,
    BI38 * (1 - IFERROR(INDEX('Inputs &amp; Assuptions'!$B$13:$B$72, COLUMN() - ($E38 + 5)), 0))
  )
)</f>
        <v>2020.32476087835</v>
      </c>
      <c r="BK38" s="80" t="n">
        <f aca="false" t="array" ref="BK38:BK38">IF(COLUMN() - ($E38 + 5) &lt; 0, 0,
  IF(COLUMN() - ($E38 + 5) = 0, $F38,
    BJ38 * (1 - IFERROR(INDEX('Inputs &amp; Assuptions'!$B$13:$B$72, COLUMN() - ($E38 + 5)), 0))
  )
)</f>
        <v>2000.12151326956</v>
      </c>
      <c r="BL38" s="80" t="n">
        <f aca="false" t="array" ref="BL38:BL38">IF(COLUMN() - ($E38 + 5) &lt; 0, 0,
  IF(COLUMN() - ($E38 + 5) = 0, $F38,
    BK38 * (1 - IFERROR(INDEX('Inputs &amp; Assuptions'!$B$13:$B$72, COLUMN() - ($E38 + 5)), 0))
  )
)</f>
        <v>1980.12029813687</v>
      </c>
      <c r="BM38" s="81" t="n">
        <f aca="false" t="array" ref="BM38:BM38">IF(COLUMN() - ($E38 + 5) &lt; 0, 0,
  IF(COLUMN() - ($E38 + 5) = 0, $F38,
    BL38 * (1 - IFERROR(INDEX('Inputs &amp; Assuptions'!$B$13:$B$72, COLUMN() - ($E38 + 5)), 0))
  )
)</f>
        <v>1960.3190951555</v>
      </c>
      <c r="BN38" s="76"/>
    </row>
    <row r="39" customFormat="false" ht="14.25" hidden="false" customHeight="false" outlineLevel="0" collapsed="false">
      <c r="A39" s="29" t="n">
        <f aca="false">A38+1</f>
        <v>34</v>
      </c>
      <c r="B39" s="77" t="n">
        <f aca="false">IF(MOD($A39-1, 12) = 0, $B38 * 1.05, $B38)</f>
        <v>6615</v>
      </c>
      <c r="C39" s="78" t="n">
        <f aca="false">$B39*(1-'Inputs &amp; Assuptions'!$B$12)</f>
        <v>3836.7</v>
      </c>
      <c r="E39" s="29" t="n">
        <f aca="false">E38+1</f>
        <v>34</v>
      </c>
      <c r="F39" s="79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 t="n">
        <f aca="false">+$C39</f>
        <v>3836.7</v>
      </c>
      <c r="AN39" s="80" t="n">
        <f aca="false" t="array" ref="AN39:AN39">IF(COLUMN() - ($E39 + 5) &lt; 0, 0,
  IF(COLUMN() - ($E39 + 5) = 0, $F39,
    AM39 * (1 - IFERROR(INDEX('Inputs &amp; Assuptions'!$B$13:$B$72, COLUMN() - ($E39 + 5)), 0))
  )
)</f>
        <v>3433.8465</v>
      </c>
      <c r="AO39" s="80" t="n">
        <f aca="false" t="array" ref="AO39:AO39">IF(COLUMN() - ($E39 + 5) &lt; 0, 0,
  IF(COLUMN() - ($E39 + 5) = 0, $F39,
    AN39 * (1 - IFERROR(INDEX('Inputs &amp; Assuptions'!$B$13:$B$72, COLUMN() - ($E39 + 5)), 0))
  )
)</f>
        <v>3159.13878</v>
      </c>
      <c r="AP39" s="80" t="n">
        <f aca="false" t="array" ref="AP39:AP39">IF(COLUMN() - ($E39 + 5) &lt; 0, 0,
  IF(COLUMN() - ($E39 + 5) = 0, $F39,
    AO39 * (1 - IFERROR(INDEX('Inputs &amp; Assuptions'!$B$13:$B$72, COLUMN() - ($E39 + 5)), 0))
  )
)</f>
        <v>2985.3861471</v>
      </c>
      <c r="AQ39" s="80" t="n">
        <f aca="false" t="array" ref="AQ39:AQ39">IF(COLUMN() - ($E39 + 5) &lt; 0, 0,
  IF(COLUMN() - ($E39 + 5) = 0, $F39,
    AP39 * (1 - IFERROR(INDEX('Inputs &amp; Assuptions'!$B$13:$B$72, COLUMN() - ($E39 + 5)), 0))
  )
)</f>
        <v>2836.116839745</v>
      </c>
      <c r="AR39" s="80" t="n">
        <f aca="false" t="array" ref="AR39:AR39">IF(COLUMN() - ($E39 + 5) &lt; 0, 0,
  IF(COLUMN() - ($E39 + 5) = 0, $F39,
    AQ39 * (1 - IFERROR(INDEX('Inputs &amp; Assuptions'!$B$13:$B$72, COLUMN() - ($E39 + 5)), 0))
  )
)</f>
        <v>2708.49158195648</v>
      </c>
      <c r="AS39" s="80" t="n">
        <f aca="false" t="array" ref="AS39:AS39">IF(COLUMN() - ($E39 + 5) &lt; 0, 0,
  IF(COLUMN() - ($E39 + 5) = 0, $F39,
    AR39 * (1 - IFERROR(INDEX('Inputs &amp; Assuptions'!$B$13:$B$72, COLUMN() - ($E39 + 5)), 0))
  )
)</f>
        <v>2600.15191867822</v>
      </c>
      <c r="AT39" s="80" t="n">
        <f aca="false" t="array" ref="AT39:AT39">IF(COLUMN() - ($E39 + 5) &lt; 0, 0,
  IF(COLUMN() - ($E39 + 5) = 0, $F39,
    AS39 * (1 - IFERROR(INDEX('Inputs &amp; Assuptions'!$B$13:$B$72, COLUMN() - ($E39 + 5)), 0))
  )
)</f>
        <v>2509.14660152448</v>
      </c>
      <c r="AU39" s="80" t="n">
        <f aca="false" t="array" ref="AU39:AU39">IF(COLUMN() - ($E39 + 5) &lt; 0, 0,
  IF(COLUMN() - ($E39 + 5) = 0, $F39,
    AT39 * (1 - IFERROR(INDEX('Inputs &amp; Assuptions'!$B$13:$B$72, COLUMN() - ($E39 + 5)), 0))
  )
)</f>
        <v>2433.87220347874</v>
      </c>
      <c r="AV39" s="80" t="n">
        <f aca="false" t="array" ref="AV39:AV39">IF(COLUMN() - ($E39 + 5) &lt; 0, 0,
  IF(COLUMN() - ($E39 + 5) = 0, $F39,
    AU39 * (1 - IFERROR(INDEX('Inputs &amp; Assuptions'!$B$13:$B$72, COLUMN() - ($E39 + 5)), 0))
  )
)</f>
        <v>2373.02539839178</v>
      </c>
      <c r="AW39" s="80" t="n">
        <f aca="false" t="array" ref="AW39:AW39">IF(COLUMN() - ($E39 + 5) &lt; 0, 0,
  IF(COLUMN() - ($E39 + 5) = 0, $F39,
    AV39 * (1 - IFERROR(INDEX('Inputs &amp; Assuptions'!$B$13:$B$72, COLUMN() - ($E39 + 5)), 0))
  )
)</f>
        <v>2325.56489042394</v>
      </c>
      <c r="AX39" s="80" t="n">
        <f aca="false" t="array" ref="AX39:AX39">IF(COLUMN() - ($E39 + 5) &lt; 0, 0,
  IF(COLUMN() - ($E39 + 5) = 0, $F39,
    AW39 * (1 - IFERROR(INDEX('Inputs &amp; Assuptions'!$B$13:$B$72, COLUMN() - ($E39 + 5)), 0))
  )
)</f>
        <v>2302.3092415197</v>
      </c>
      <c r="AY39" s="80" t="n">
        <f aca="false" t="array" ref="AY39:AY39">IF(COLUMN() - ($E39 + 5) &lt; 0, 0,
  IF(COLUMN() - ($E39 + 5) = 0, $F39,
    AX39 * (1 - IFERROR(INDEX('Inputs &amp; Assuptions'!$B$13:$B$72, COLUMN() - ($E39 + 5)), 0))
  )
)</f>
        <v>2279.2861491045</v>
      </c>
      <c r="AZ39" s="80" t="n">
        <f aca="false" t="array" ref="AZ39:AZ39">IF(COLUMN() - ($E39 + 5) &lt; 0, 0,
  IF(COLUMN() - ($E39 + 5) = 0, $F39,
    AY39 * (1 - IFERROR(INDEX('Inputs &amp; Assuptions'!$B$13:$B$72, COLUMN() - ($E39 + 5)), 0))
  )
)</f>
        <v>2256.49328761346</v>
      </c>
      <c r="BA39" s="80" t="n">
        <f aca="false" t="array" ref="BA39:BA39">IF(COLUMN() - ($E39 + 5) &lt; 0, 0,
  IF(COLUMN() - ($E39 + 5) = 0, $F39,
    AZ39 * (1 - IFERROR(INDEX('Inputs &amp; Assuptions'!$B$13:$B$72, COLUMN() - ($E39 + 5)), 0))
  )
)</f>
        <v>2233.92835473732</v>
      </c>
      <c r="BB39" s="80" t="n">
        <f aca="false" t="array" ref="BB39:BB39">IF(COLUMN() - ($E39 + 5) &lt; 0, 0,
  IF(COLUMN() - ($E39 + 5) = 0, $F39,
    BA39 * (1 - IFERROR(INDEX('Inputs &amp; Assuptions'!$B$13:$B$72, COLUMN() - ($E39 + 5)), 0))
  )
)</f>
        <v>2211.58907118995</v>
      </c>
      <c r="BC39" s="80" t="n">
        <f aca="false" t="array" ref="BC39:BC39">IF(COLUMN() - ($E39 + 5) &lt; 0, 0,
  IF(COLUMN() - ($E39 + 5) = 0, $F39,
    BB39 * (1 - IFERROR(INDEX('Inputs &amp; Assuptions'!$B$13:$B$72, COLUMN() - ($E39 + 5)), 0))
  )
)</f>
        <v>2189.47318047805</v>
      </c>
      <c r="BD39" s="80" t="n">
        <f aca="false" t="array" ref="BD39:BD39">IF(COLUMN() - ($E39 + 5) &lt; 0, 0,
  IF(COLUMN() - ($E39 + 5) = 0, $F39,
    BC39 * (1 - IFERROR(INDEX('Inputs &amp; Assuptions'!$B$13:$B$72, COLUMN() - ($E39 + 5)), 0))
  )
)</f>
        <v>2167.57844867327</v>
      </c>
      <c r="BE39" s="80" t="n">
        <f aca="false" t="array" ref="BE39:BE39">IF(COLUMN() - ($E39 + 5) &lt; 0, 0,
  IF(COLUMN() - ($E39 + 5) = 0, $F39,
    BD39 * (1 - IFERROR(INDEX('Inputs &amp; Assuptions'!$B$13:$B$72, COLUMN() - ($E39 + 5)), 0))
  )
)</f>
        <v>2145.90266418654</v>
      </c>
      <c r="BF39" s="80" t="n">
        <f aca="false" t="array" ref="BF39:BF39">IF(COLUMN() - ($E39 + 5) &lt; 0, 0,
  IF(COLUMN() - ($E39 + 5) = 0, $F39,
    BE39 * (1 - IFERROR(INDEX('Inputs &amp; Assuptions'!$B$13:$B$72, COLUMN() - ($E39 + 5)), 0))
  )
)</f>
        <v>2124.44363754467</v>
      </c>
      <c r="BG39" s="80" t="n">
        <f aca="false" t="array" ref="BG39:BG39">IF(COLUMN() - ($E39 + 5) &lt; 0, 0,
  IF(COLUMN() - ($E39 + 5) = 0, $F39,
    BF39 * (1 - IFERROR(INDEX('Inputs &amp; Assuptions'!$B$13:$B$72, COLUMN() - ($E39 + 5)), 0))
  )
)</f>
        <v>2103.19920116923</v>
      </c>
      <c r="BH39" s="80" t="n">
        <f aca="false" t="array" ref="BH39:BH39">IF(COLUMN() - ($E39 + 5) &lt; 0, 0,
  IF(COLUMN() - ($E39 + 5) = 0, $F39,
    BG39 * (1 - IFERROR(INDEX('Inputs &amp; Assuptions'!$B$13:$B$72, COLUMN() - ($E39 + 5)), 0))
  )
)</f>
        <v>2082.16720915753</v>
      </c>
      <c r="BI39" s="80" t="n">
        <f aca="false" t="array" ref="BI39:BI39">IF(COLUMN() - ($E39 + 5) &lt; 0, 0,
  IF(COLUMN() - ($E39 + 5) = 0, $F39,
    BH39 * (1 - IFERROR(INDEX('Inputs &amp; Assuptions'!$B$13:$B$72, COLUMN() - ($E39 + 5)), 0))
  )
)</f>
        <v>2061.34553706596</v>
      </c>
      <c r="BJ39" s="80" t="n">
        <f aca="false" t="array" ref="BJ39:BJ39">IF(COLUMN() - ($E39 + 5) &lt; 0, 0,
  IF(COLUMN() - ($E39 + 5) = 0, $F39,
    BI39 * (1 - IFERROR(INDEX('Inputs &amp; Assuptions'!$B$13:$B$72, COLUMN() - ($E39 + 5)), 0))
  )
)</f>
        <v>2040.7320816953</v>
      </c>
      <c r="BK39" s="80" t="n">
        <f aca="false" t="array" ref="BK39:BK39">IF(COLUMN() - ($E39 + 5) &lt; 0, 0,
  IF(COLUMN() - ($E39 + 5) = 0, $F39,
    BJ39 * (1 - IFERROR(INDEX('Inputs &amp; Assuptions'!$B$13:$B$72, COLUMN() - ($E39 + 5)), 0))
  )
)</f>
        <v>2020.32476087835</v>
      </c>
      <c r="BL39" s="80" t="n">
        <f aca="false" t="array" ref="BL39:BL39">IF(COLUMN() - ($E39 + 5) &lt; 0, 0,
  IF(COLUMN() - ($E39 + 5) = 0, $F39,
    BK39 * (1 - IFERROR(INDEX('Inputs &amp; Assuptions'!$B$13:$B$72, COLUMN() - ($E39 + 5)), 0))
  )
)</f>
        <v>2000.12151326956</v>
      </c>
      <c r="BM39" s="81" t="n">
        <f aca="false" t="array" ref="BM39:BM39">IF(COLUMN() - ($E39 + 5) &lt; 0, 0,
  IF(COLUMN() - ($E39 + 5) = 0, $F39,
    BL39 * (1 - IFERROR(INDEX('Inputs &amp; Assuptions'!$B$13:$B$72, COLUMN() - ($E39 + 5)), 0))
  )
)</f>
        <v>1980.12029813687</v>
      </c>
      <c r="BN39" s="76"/>
    </row>
    <row r="40" customFormat="false" ht="14.25" hidden="false" customHeight="false" outlineLevel="0" collapsed="false">
      <c r="A40" s="29" t="n">
        <f aca="false">A39+1</f>
        <v>35</v>
      </c>
      <c r="B40" s="77" t="n">
        <f aca="false">IF(MOD($A40-1, 12) = 0, $B39 * 1.05, $B39)</f>
        <v>6615</v>
      </c>
      <c r="C40" s="78" t="n">
        <f aca="false">$B40*(1-'Inputs &amp; Assuptions'!$B$12)</f>
        <v>3836.7</v>
      </c>
      <c r="E40" s="29" t="n">
        <f aca="false">E39+1</f>
        <v>35</v>
      </c>
      <c r="F40" s="79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 t="n">
        <f aca="false">+$C40</f>
        <v>3836.7</v>
      </c>
      <c r="AO40" s="80" t="n">
        <f aca="false" t="array" ref="AO40:AO40">IF(COLUMN() - ($E40 + 5) &lt; 0, 0,
  IF(COLUMN() - ($E40 + 5) = 0, $F40,
    AN40 * (1 - IFERROR(INDEX('Inputs &amp; Assuptions'!$B$13:$B$72, COLUMN() - ($E40 + 5)), 0))
  )
)</f>
        <v>3433.8465</v>
      </c>
      <c r="AP40" s="80" t="n">
        <f aca="false" t="array" ref="AP40:AP40">IF(COLUMN() - ($E40 + 5) &lt; 0, 0,
  IF(COLUMN() - ($E40 + 5) = 0, $F40,
    AO40 * (1 - IFERROR(INDEX('Inputs &amp; Assuptions'!$B$13:$B$72, COLUMN() - ($E40 + 5)), 0))
  )
)</f>
        <v>3159.13878</v>
      </c>
      <c r="AQ40" s="80" t="n">
        <f aca="false" t="array" ref="AQ40:AQ40">IF(COLUMN() - ($E40 + 5) &lt; 0, 0,
  IF(COLUMN() - ($E40 + 5) = 0, $F40,
    AP40 * (1 - IFERROR(INDEX('Inputs &amp; Assuptions'!$B$13:$B$72, COLUMN() - ($E40 + 5)), 0))
  )
)</f>
        <v>2985.3861471</v>
      </c>
      <c r="AR40" s="80" t="n">
        <f aca="false" t="array" ref="AR40:AR40">IF(COLUMN() - ($E40 + 5) &lt; 0, 0,
  IF(COLUMN() - ($E40 + 5) = 0, $F40,
    AQ40 * (1 - IFERROR(INDEX('Inputs &amp; Assuptions'!$B$13:$B$72, COLUMN() - ($E40 + 5)), 0))
  )
)</f>
        <v>2836.116839745</v>
      </c>
      <c r="AS40" s="80" t="n">
        <f aca="false" t="array" ref="AS40:AS40">IF(COLUMN() - ($E40 + 5) &lt; 0, 0,
  IF(COLUMN() - ($E40 + 5) = 0, $F40,
    AR40 * (1 - IFERROR(INDEX('Inputs &amp; Assuptions'!$B$13:$B$72, COLUMN() - ($E40 + 5)), 0))
  )
)</f>
        <v>2708.49158195648</v>
      </c>
      <c r="AT40" s="80" t="n">
        <f aca="false" t="array" ref="AT40:AT40">IF(COLUMN() - ($E40 + 5) &lt; 0, 0,
  IF(COLUMN() - ($E40 + 5) = 0, $F40,
    AS40 * (1 - IFERROR(INDEX('Inputs &amp; Assuptions'!$B$13:$B$72, COLUMN() - ($E40 + 5)), 0))
  )
)</f>
        <v>2600.15191867822</v>
      </c>
      <c r="AU40" s="80" t="n">
        <f aca="false" t="array" ref="AU40:AU40">IF(COLUMN() - ($E40 + 5) &lt; 0, 0,
  IF(COLUMN() - ($E40 + 5) = 0, $F40,
    AT40 * (1 - IFERROR(INDEX('Inputs &amp; Assuptions'!$B$13:$B$72, COLUMN() - ($E40 + 5)), 0))
  )
)</f>
        <v>2509.14660152448</v>
      </c>
      <c r="AV40" s="80" t="n">
        <f aca="false" t="array" ref="AV40:AV40">IF(COLUMN() - ($E40 + 5) &lt; 0, 0,
  IF(COLUMN() - ($E40 + 5) = 0, $F40,
    AU40 * (1 - IFERROR(INDEX('Inputs &amp; Assuptions'!$B$13:$B$72, COLUMN() - ($E40 + 5)), 0))
  )
)</f>
        <v>2433.87220347874</v>
      </c>
      <c r="AW40" s="80" t="n">
        <f aca="false" t="array" ref="AW40:AW40">IF(COLUMN() - ($E40 + 5) &lt; 0, 0,
  IF(COLUMN() - ($E40 + 5) = 0, $F40,
    AV40 * (1 - IFERROR(INDEX('Inputs &amp; Assuptions'!$B$13:$B$72, COLUMN() - ($E40 + 5)), 0))
  )
)</f>
        <v>2373.02539839178</v>
      </c>
      <c r="AX40" s="80" t="n">
        <f aca="false" t="array" ref="AX40:AX40">IF(COLUMN() - ($E40 + 5) &lt; 0, 0,
  IF(COLUMN() - ($E40 + 5) = 0, $F40,
    AW40 * (1 - IFERROR(INDEX('Inputs &amp; Assuptions'!$B$13:$B$72, COLUMN() - ($E40 + 5)), 0))
  )
)</f>
        <v>2325.56489042394</v>
      </c>
      <c r="AY40" s="80" t="n">
        <f aca="false" t="array" ref="AY40:AY40">IF(COLUMN() - ($E40 + 5) &lt; 0, 0,
  IF(COLUMN() - ($E40 + 5) = 0, $F40,
    AX40 * (1 - IFERROR(INDEX('Inputs &amp; Assuptions'!$B$13:$B$72, COLUMN() - ($E40 + 5)), 0))
  )
)</f>
        <v>2302.3092415197</v>
      </c>
      <c r="AZ40" s="80" t="n">
        <f aca="false" t="array" ref="AZ40:AZ40">IF(COLUMN() - ($E40 + 5) &lt; 0, 0,
  IF(COLUMN() - ($E40 + 5) = 0, $F40,
    AY40 * (1 - IFERROR(INDEX('Inputs &amp; Assuptions'!$B$13:$B$72, COLUMN() - ($E40 + 5)), 0))
  )
)</f>
        <v>2279.2861491045</v>
      </c>
      <c r="BA40" s="80" t="n">
        <f aca="false" t="array" ref="BA40:BA40">IF(COLUMN() - ($E40 + 5) &lt; 0, 0,
  IF(COLUMN() - ($E40 + 5) = 0, $F40,
    AZ40 * (1 - IFERROR(INDEX('Inputs &amp; Assuptions'!$B$13:$B$72, COLUMN() - ($E40 + 5)), 0))
  )
)</f>
        <v>2256.49328761346</v>
      </c>
      <c r="BB40" s="80" t="n">
        <f aca="false" t="array" ref="BB40:BB40">IF(COLUMN() - ($E40 + 5) &lt; 0, 0,
  IF(COLUMN() - ($E40 + 5) = 0, $F40,
    BA40 * (1 - IFERROR(INDEX('Inputs &amp; Assuptions'!$B$13:$B$72, COLUMN() - ($E40 + 5)), 0))
  )
)</f>
        <v>2233.92835473732</v>
      </c>
      <c r="BC40" s="80" t="n">
        <f aca="false" t="array" ref="BC40:BC40">IF(COLUMN() - ($E40 + 5) &lt; 0, 0,
  IF(COLUMN() - ($E40 + 5) = 0, $F40,
    BB40 * (1 - IFERROR(INDEX('Inputs &amp; Assuptions'!$B$13:$B$72, COLUMN() - ($E40 + 5)), 0))
  )
)</f>
        <v>2211.58907118995</v>
      </c>
      <c r="BD40" s="80" t="n">
        <f aca="false" t="array" ref="BD40:BD40">IF(COLUMN() - ($E40 + 5) &lt; 0, 0,
  IF(COLUMN() - ($E40 + 5) = 0, $F40,
    BC40 * (1 - IFERROR(INDEX('Inputs &amp; Assuptions'!$B$13:$B$72, COLUMN() - ($E40 + 5)), 0))
  )
)</f>
        <v>2189.47318047805</v>
      </c>
      <c r="BE40" s="80" t="n">
        <f aca="false" t="array" ref="BE40:BE40">IF(COLUMN() - ($E40 + 5) &lt; 0, 0,
  IF(COLUMN() - ($E40 + 5) = 0, $F40,
    BD40 * (1 - IFERROR(INDEX('Inputs &amp; Assuptions'!$B$13:$B$72, COLUMN() - ($E40 + 5)), 0))
  )
)</f>
        <v>2167.57844867327</v>
      </c>
      <c r="BF40" s="80" t="n">
        <f aca="false" t="array" ref="BF40:BF40">IF(COLUMN() - ($E40 + 5) &lt; 0, 0,
  IF(COLUMN() - ($E40 + 5) = 0, $F40,
    BE40 * (1 - IFERROR(INDEX('Inputs &amp; Assuptions'!$B$13:$B$72, COLUMN() - ($E40 + 5)), 0))
  )
)</f>
        <v>2145.90266418654</v>
      </c>
      <c r="BG40" s="80" t="n">
        <f aca="false" t="array" ref="BG40:BG40">IF(COLUMN() - ($E40 + 5) &lt; 0, 0,
  IF(COLUMN() - ($E40 + 5) = 0, $F40,
    BF40 * (1 - IFERROR(INDEX('Inputs &amp; Assuptions'!$B$13:$B$72, COLUMN() - ($E40 + 5)), 0))
  )
)</f>
        <v>2124.44363754467</v>
      </c>
      <c r="BH40" s="80" t="n">
        <f aca="false" t="array" ref="BH40:BH40">IF(COLUMN() - ($E40 + 5) &lt; 0, 0,
  IF(COLUMN() - ($E40 + 5) = 0, $F40,
    BG40 * (1 - IFERROR(INDEX('Inputs &amp; Assuptions'!$B$13:$B$72, COLUMN() - ($E40 + 5)), 0))
  )
)</f>
        <v>2103.19920116923</v>
      </c>
      <c r="BI40" s="80" t="n">
        <f aca="false" t="array" ref="BI40:BI40">IF(COLUMN() - ($E40 + 5) &lt; 0, 0,
  IF(COLUMN() - ($E40 + 5) = 0, $F40,
    BH40 * (1 - IFERROR(INDEX('Inputs &amp; Assuptions'!$B$13:$B$72, COLUMN() - ($E40 + 5)), 0))
  )
)</f>
        <v>2082.16720915753</v>
      </c>
      <c r="BJ40" s="80" t="n">
        <f aca="false" t="array" ref="BJ40:BJ40">IF(COLUMN() - ($E40 + 5) &lt; 0, 0,
  IF(COLUMN() - ($E40 + 5) = 0, $F40,
    BI40 * (1 - IFERROR(INDEX('Inputs &amp; Assuptions'!$B$13:$B$72, COLUMN() - ($E40 + 5)), 0))
  )
)</f>
        <v>2061.34553706596</v>
      </c>
      <c r="BK40" s="80" t="n">
        <f aca="false" t="array" ref="BK40:BK40">IF(COLUMN() - ($E40 + 5) &lt; 0, 0,
  IF(COLUMN() - ($E40 + 5) = 0, $F40,
    BJ40 * (1 - IFERROR(INDEX('Inputs &amp; Assuptions'!$B$13:$B$72, COLUMN() - ($E40 + 5)), 0))
  )
)</f>
        <v>2040.7320816953</v>
      </c>
      <c r="BL40" s="80" t="n">
        <f aca="false" t="array" ref="BL40:BL40">IF(COLUMN() - ($E40 + 5) &lt; 0, 0,
  IF(COLUMN() - ($E40 + 5) = 0, $F40,
    BK40 * (1 - IFERROR(INDEX('Inputs &amp; Assuptions'!$B$13:$B$72, COLUMN() - ($E40 + 5)), 0))
  )
)</f>
        <v>2020.32476087835</v>
      </c>
      <c r="BM40" s="81" t="n">
        <f aca="false" t="array" ref="BM40:BM40">IF(COLUMN() - ($E40 + 5) &lt; 0, 0,
  IF(COLUMN() - ($E40 + 5) = 0, $F40,
    BL40 * (1 - IFERROR(INDEX('Inputs &amp; Assuptions'!$B$13:$B$72, COLUMN() - ($E40 + 5)), 0))
  )
)</f>
        <v>2000.12151326956</v>
      </c>
      <c r="BN40" s="76"/>
    </row>
    <row r="41" customFormat="false" ht="14.25" hidden="false" customHeight="false" outlineLevel="0" collapsed="false">
      <c r="A41" s="29" t="n">
        <f aca="false">A40+1</f>
        <v>36</v>
      </c>
      <c r="B41" s="77" t="n">
        <f aca="false">IF(MOD($A41-1, 12) = 0, $B40 * 1.05, $B40)</f>
        <v>6615</v>
      </c>
      <c r="C41" s="78" t="n">
        <f aca="false">$B41*(1-'Inputs &amp; Assuptions'!$B$12)</f>
        <v>3836.7</v>
      </c>
      <c r="E41" s="29" t="n">
        <f aca="false">E40+1</f>
        <v>36</v>
      </c>
      <c r="F41" s="7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 t="n">
        <f aca="false">+$C41</f>
        <v>3836.7</v>
      </c>
      <c r="AP41" s="80" t="n">
        <f aca="false" t="array" ref="AP41:AP41">IF(COLUMN() - ($E41 + 5) &lt; 0, 0,
  IF(COLUMN() - ($E41 + 5) = 0, $F41,
    AO41 * (1 - IFERROR(INDEX('Inputs &amp; Assuptions'!$B$13:$B$72, COLUMN() - ($E41 + 5)), 0))
  )
)</f>
        <v>3433.8465</v>
      </c>
      <c r="AQ41" s="80" t="n">
        <f aca="false" t="array" ref="AQ41:AQ41">IF(COLUMN() - ($E41 + 5) &lt; 0, 0,
  IF(COLUMN() - ($E41 + 5) = 0, $F41,
    AP41 * (1 - IFERROR(INDEX('Inputs &amp; Assuptions'!$B$13:$B$72, COLUMN() - ($E41 + 5)), 0))
  )
)</f>
        <v>3159.13878</v>
      </c>
      <c r="AR41" s="80" t="n">
        <f aca="false" t="array" ref="AR41:AR41">IF(COLUMN() - ($E41 + 5) &lt; 0, 0,
  IF(COLUMN() - ($E41 + 5) = 0, $F41,
    AQ41 * (1 - IFERROR(INDEX('Inputs &amp; Assuptions'!$B$13:$B$72, COLUMN() - ($E41 + 5)), 0))
  )
)</f>
        <v>2985.3861471</v>
      </c>
      <c r="AS41" s="80" t="n">
        <f aca="false" t="array" ref="AS41:AS41">IF(COLUMN() - ($E41 + 5) &lt; 0, 0,
  IF(COLUMN() - ($E41 + 5) = 0, $F41,
    AR41 * (1 - IFERROR(INDEX('Inputs &amp; Assuptions'!$B$13:$B$72, COLUMN() - ($E41 + 5)), 0))
  )
)</f>
        <v>2836.116839745</v>
      </c>
      <c r="AT41" s="80" t="n">
        <f aca="false" t="array" ref="AT41:AT41">IF(COLUMN() - ($E41 + 5) &lt; 0, 0,
  IF(COLUMN() - ($E41 + 5) = 0, $F41,
    AS41 * (1 - IFERROR(INDEX('Inputs &amp; Assuptions'!$B$13:$B$72, COLUMN() - ($E41 + 5)), 0))
  )
)</f>
        <v>2708.49158195648</v>
      </c>
      <c r="AU41" s="80" t="n">
        <f aca="false" t="array" ref="AU41:AU41">IF(COLUMN() - ($E41 + 5) &lt; 0, 0,
  IF(COLUMN() - ($E41 + 5) = 0, $F41,
    AT41 * (1 - IFERROR(INDEX('Inputs &amp; Assuptions'!$B$13:$B$72, COLUMN() - ($E41 + 5)), 0))
  )
)</f>
        <v>2600.15191867822</v>
      </c>
      <c r="AV41" s="80" t="n">
        <f aca="false" t="array" ref="AV41:AV41">IF(COLUMN() - ($E41 + 5) &lt; 0, 0,
  IF(COLUMN() - ($E41 + 5) = 0, $F41,
    AU41 * (1 - IFERROR(INDEX('Inputs &amp; Assuptions'!$B$13:$B$72, COLUMN() - ($E41 + 5)), 0))
  )
)</f>
        <v>2509.14660152448</v>
      </c>
      <c r="AW41" s="80" t="n">
        <f aca="false" t="array" ref="AW41:AW41">IF(COLUMN() - ($E41 + 5) &lt; 0, 0,
  IF(COLUMN() - ($E41 + 5) = 0, $F41,
    AV41 * (1 - IFERROR(INDEX('Inputs &amp; Assuptions'!$B$13:$B$72, COLUMN() - ($E41 + 5)), 0))
  )
)</f>
        <v>2433.87220347874</v>
      </c>
      <c r="AX41" s="80" t="n">
        <f aca="false" t="array" ref="AX41:AX41">IF(COLUMN() - ($E41 + 5) &lt; 0, 0,
  IF(COLUMN() - ($E41 + 5) = 0, $F41,
    AW41 * (1 - IFERROR(INDEX('Inputs &amp; Assuptions'!$B$13:$B$72, COLUMN() - ($E41 + 5)), 0))
  )
)</f>
        <v>2373.02539839178</v>
      </c>
      <c r="AY41" s="80" t="n">
        <f aca="false" t="array" ref="AY41:AY41">IF(COLUMN() - ($E41 + 5) &lt; 0, 0,
  IF(COLUMN() - ($E41 + 5) = 0, $F41,
    AX41 * (1 - IFERROR(INDEX('Inputs &amp; Assuptions'!$B$13:$B$72, COLUMN() - ($E41 + 5)), 0))
  )
)</f>
        <v>2325.56489042394</v>
      </c>
      <c r="AZ41" s="80" t="n">
        <f aca="false" t="array" ref="AZ41:AZ41">IF(COLUMN() - ($E41 + 5) &lt; 0, 0,
  IF(COLUMN() - ($E41 + 5) = 0, $F41,
    AY41 * (1 - IFERROR(INDEX('Inputs &amp; Assuptions'!$B$13:$B$72, COLUMN() - ($E41 + 5)), 0))
  )
)</f>
        <v>2302.3092415197</v>
      </c>
      <c r="BA41" s="80" t="n">
        <f aca="false" t="array" ref="BA41:BA41">IF(COLUMN() - ($E41 + 5) &lt; 0, 0,
  IF(COLUMN() - ($E41 + 5) = 0, $F41,
    AZ41 * (1 - IFERROR(INDEX('Inputs &amp; Assuptions'!$B$13:$B$72, COLUMN() - ($E41 + 5)), 0))
  )
)</f>
        <v>2279.2861491045</v>
      </c>
      <c r="BB41" s="80" t="n">
        <f aca="false" t="array" ref="BB41:BB41">IF(COLUMN() - ($E41 + 5) &lt; 0, 0,
  IF(COLUMN() - ($E41 + 5) = 0, $F41,
    BA41 * (1 - IFERROR(INDEX('Inputs &amp; Assuptions'!$B$13:$B$72, COLUMN() - ($E41 + 5)), 0))
  )
)</f>
        <v>2256.49328761346</v>
      </c>
      <c r="BC41" s="80" t="n">
        <f aca="false" t="array" ref="BC41:BC41">IF(COLUMN() - ($E41 + 5) &lt; 0, 0,
  IF(COLUMN() - ($E41 + 5) = 0, $F41,
    BB41 * (1 - IFERROR(INDEX('Inputs &amp; Assuptions'!$B$13:$B$72, COLUMN() - ($E41 + 5)), 0))
  )
)</f>
        <v>2233.92835473732</v>
      </c>
      <c r="BD41" s="80" t="n">
        <f aca="false" t="array" ref="BD41:BD41">IF(COLUMN() - ($E41 + 5) &lt; 0, 0,
  IF(COLUMN() - ($E41 + 5) = 0, $F41,
    BC41 * (1 - IFERROR(INDEX('Inputs &amp; Assuptions'!$B$13:$B$72, COLUMN() - ($E41 + 5)), 0))
  )
)</f>
        <v>2211.58907118995</v>
      </c>
      <c r="BE41" s="80" t="n">
        <f aca="false" t="array" ref="BE41:BE41">IF(COLUMN() - ($E41 + 5) &lt; 0, 0,
  IF(COLUMN() - ($E41 + 5) = 0, $F41,
    BD41 * (1 - IFERROR(INDEX('Inputs &amp; Assuptions'!$B$13:$B$72, COLUMN() - ($E41 + 5)), 0))
  )
)</f>
        <v>2189.47318047805</v>
      </c>
      <c r="BF41" s="80" t="n">
        <f aca="false" t="array" ref="BF41:BF41">IF(COLUMN() - ($E41 + 5) &lt; 0, 0,
  IF(COLUMN() - ($E41 + 5) = 0, $F41,
    BE41 * (1 - IFERROR(INDEX('Inputs &amp; Assuptions'!$B$13:$B$72, COLUMN() - ($E41 + 5)), 0))
  )
)</f>
        <v>2167.57844867327</v>
      </c>
      <c r="BG41" s="80" t="n">
        <f aca="false" t="array" ref="BG41:BG41">IF(COLUMN() - ($E41 + 5) &lt; 0, 0,
  IF(COLUMN() - ($E41 + 5) = 0, $F41,
    BF41 * (1 - IFERROR(INDEX('Inputs &amp; Assuptions'!$B$13:$B$72, COLUMN() - ($E41 + 5)), 0))
  )
)</f>
        <v>2145.90266418654</v>
      </c>
      <c r="BH41" s="80" t="n">
        <f aca="false" t="array" ref="BH41:BH41">IF(COLUMN() - ($E41 + 5) &lt; 0, 0,
  IF(COLUMN() - ($E41 + 5) = 0, $F41,
    BG41 * (1 - IFERROR(INDEX('Inputs &amp; Assuptions'!$B$13:$B$72, COLUMN() - ($E41 + 5)), 0))
  )
)</f>
        <v>2124.44363754467</v>
      </c>
      <c r="BI41" s="80" t="n">
        <f aca="false" t="array" ref="BI41:BI41">IF(COLUMN() - ($E41 + 5) &lt; 0, 0,
  IF(COLUMN() - ($E41 + 5) = 0, $F41,
    BH41 * (1 - IFERROR(INDEX('Inputs &amp; Assuptions'!$B$13:$B$72, COLUMN() - ($E41 + 5)), 0))
  )
)</f>
        <v>2103.19920116923</v>
      </c>
      <c r="BJ41" s="80" t="n">
        <f aca="false" t="array" ref="BJ41:BJ41">IF(COLUMN() - ($E41 + 5) &lt; 0, 0,
  IF(COLUMN() - ($E41 + 5) = 0, $F41,
    BI41 * (1 - IFERROR(INDEX('Inputs &amp; Assuptions'!$B$13:$B$72, COLUMN() - ($E41 + 5)), 0))
  )
)</f>
        <v>2082.16720915753</v>
      </c>
      <c r="BK41" s="80" t="n">
        <f aca="false" t="array" ref="BK41:BK41">IF(COLUMN() - ($E41 + 5) &lt; 0, 0,
  IF(COLUMN() - ($E41 + 5) = 0, $F41,
    BJ41 * (1 - IFERROR(INDEX('Inputs &amp; Assuptions'!$B$13:$B$72, COLUMN() - ($E41 + 5)), 0))
  )
)</f>
        <v>2061.34553706596</v>
      </c>
      <c r="BL41" s="80" t="n">
        <f aca="false" t="array" ref="BL41:BL41">IF(COLUMN() - ($E41 + 5) &lt; 0, 0,
  IF(COLUMN() - ($E41 + 5) = 0, $F41,
    BK41 * (1 - IFERROR(INDEX('Inputs &amp; Assuptions'!$B$13:$B$72, COLUMN() - ($E41 + 5)), 0))
  )
)</f>
        <v>2040.7320816953</v>
      </c>
      <c r="BM41" s="81" t="n">
        <f aca="false" t="array" ref="BM41:BM41">IF(COLUMN() - ($E41 + 5) &lt; 0, 0,
  IF(COLUMN() - ($E41 + 5) = 0, $F41,
    BL41 * (1 - IFERROR(INDEX('Inputs &amp; Assuptions'!$B$13:$B$72, COLUMN() - ($E41 + 5)), 0))
  )
)</f>
        <v>2020.32476087835</v>
      </c>
      <c r="BN41" s="76"/>
    </row>
    <row r="42" customFormat="false" ht="14.25" hidden="false" customHeight="false" outlineLevel="0" collapsed="false">
      <c r="A42" s="29" t="n">
        <f aca="false">A41+1</f>
        <v>37</v>
      </c>
      <c r="B42" s="77" t="n">
        <f aca="false">IF(MOD($A42-1, 12) = 0, $B41 * 1.05, $B41)</f>
        <v>6945.75</v>
      </c>
      <c r="C42" s="78" t="n">
        <f aca="false">$B42*(1-'Inputs &amp; Assuptions'!$B$12)</f>
        <v>4028.535</v>
      </c>
      <c r="E42" s="29" t="n">
        <f aca="false">E41+1</f>
        <v>37</v>
      </c>
      <c r="F42" s="79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 t="n">
        <f aca="false">+$C42</f>
        <v>4028.535</v>
      </c>
      <c r="AQ42" s="80" t="n">
        <f aca="false" t="array" ref="AQ42:AQ42">IF(COLUMN() - ($E42 + 5) &lt; 0, 0,
  IF(COLUMN() - ($E42 + 5) = 0, $F42,
    AP42 * (1 - IFERROR(INDEX('Inputs &amp; Assuptions'!$B$13:$B$72, COLUMN() - ($E42 + 5)), 0))
  )
)</f>
        <v>3605.538825</v>
      </c>
      <c r="AR42" s="80" t="n">
        <f aca="false" t="array" ref="AR42:AR42">IF(COLUMN() - ($E42 + 5) &lt; 0, 0,
  IF(COLUMN() - ($E42 + 5) = 0, $F42,
    AQ42 * (1 - IFERROR(INDEX('Inputs &amp; Assuptions'!$B$13:$B$72, COLUMN() - ($E42 + 5)), 0))
  )
)</f>
        <v>3317.095719</v>
      </c>
      <c r="AS42" s="80" t="n">
        <f aca="false" t="array" ref="AS42:AS42">IF(COLUMN() - ($E42 + 5) &lt; 0, 0,
  IF(COLUMN() - ($E42 + 5) = 0, $F42,
    AR42 * (1 - IFERROR(INDEX('Inputs &amp; Assuptions'!$B$13:$B$72, COLUMN() - ($E42 + 5)), 0))
  )
)</f>
        <v>3134.655454455</v>
      </c>
      <c r="AT42" s="80" t="n">
        <f aca="false" t="array" ref="AT42:AT42">IF(COLUMN() - ($E42 + 5) &lt; 0, 0,
  IF(COLUMN() - ($E42 + 5) = 0, $F42,
    AS42 * (1 - IFERROR(INDEX('Inputs &amp; Assuptions'!$B$13:$B$72, COLUMN() - ($E42 + 5)), 0))
  )
)</f>
        <v>2977.92268173225</v>
      </c>
      <c r="AU42" s="80" t="n">
        <f aca="false" t="array" ref="AU42:AU42">IF(COLUMN() - ($E42 + 5) &lt; 0, 0,
  IF(COLUMN() - ($E42 + 5) = 0, $F42,
    AT42 * (1 - IFERROR(INDEX('Inputs &amp; Assuptions'!$B$13:$B$72, COLUMN() - ($E42 + 5)), 0))
  )
)</f>
        <v>2843.9161610543</v>
      </c>
      <c r="AV42" s="80" t="n">
        <f aca="false" t="array" ref="AV42:AV42">IF(COLUMN() - ($E42 + 5) &lt; 0, 0,
  IF(COLUMN() - ($E42 + 5) = 0, $F42,
    AU42 * (1 - IFERROR(INDEX('Inputs &amp; Assuptions'!$B$13:$B$72, COLUMN() - ($E42 + 5)), 0))
  )
)</f>
        <v>2730.15951461213</v>
      </c>
      <c r="AW42" s="80" t="n">
        <f aca="false" t="array" ref="AW42:AW42">IF(COLUMN() - ($E42 + 5) &lt; 0, 0,
  IF(COLUMN() - ($E42 + 5) = 0, $F42,
    AV42 * (1 - IFERROR(INDEX('Inputs &amp; Assuptions'!$B$13:$B$72, COLUMN() - ($E42 + 5)), 0))
  )
)</f>
        <v>2634.6039316007</v>
      </c>
      <c r="AX42" s="80" t="n">
        <f aca="false" t="array" ref="AX42:AX42">IF(COLUMN() - ($E42 + 5) &lt; 0, 0,
  IF(COLUMN() - ($E42 + 5) = 0, $F42,
    AW42 * (1 - IFERROR(INDEX('Inputs &amp; Assuptions'!$B$13:$B$72, COLUMN() - ($E42 + 5)), 0))
  )
)</f>
        <v>2555.56581365268</v>
      </c>
      <c r="AY42" s="80" t="n">
        <f aca="false" t="array" ref="AY42:AY42">IF(COLUMN() - ($E42 + 5) &lt; 0, 0,
  IF(COLUMN() - ($E42 + 5) = 0, $F42,
    AX42 * (1 - IFERROR(INDEX('Inputs &amp; Assuptions'!$B$13:$B$72, COLUMN() - ($E42 + 5)), 0))
  )
)</f>
        <v>2491.67666831136</v>
      </c>
      <c r="AZ42" s="80" t="n">
        <f aca="false" t="array" ref="AZ42:AZ42">IF(COLUMN() - ($E42 + 5) &lt; 0, 0,
  IF(COLUMN() - ($E42 + 5) = 0, $F42,
    AY42 * (1 - IFERROR(INDEX('Inputs &amp; Assuptions'!$B$13:$B$72, COLUMN() - ($E42 + 5)), 0))
  )
)</f>
        <v>2441.84313494514</v>
      </c>
      <c r="BA42" s="80" t="n">
        <f aca="false" t="array" ref="BA42:BA42">IF(COLUMN() - ($E42 + 5) &lt; 0, 0,
  IF(COLUMN() - ($E42 + 5) = 0, $F42,
    AZ42 * (1 - IFERROR(INDEX('Inputs &amp; Assuptions'!$B$13:$B$72, COLUMN() - ($E42 + 5)), 0))
  )
)</f>
        <v>2417.42470359569</v>
      </c>
      <c r="BB42" s="80" t="n">
        <f aca="false" t="array" ref="BB42:BB42">IF(COLUMN() - ($E42 + 5) &lt; 0, 0,
  IF(COLUMN() - ($E42 + 5) = 0, $F42,
    BA42 * (1 - IFERROR(INDEX('Inputs &amp; Assuptions'!$B$13:$B$72, COLUMN() - ($E42 + 5)), 0))
  )
)</f>
        <v>2393.25045655973</v>
      </c>
      <c r="BC42" s="80" t="n">
        <f aca="false" t="array" ref="BC42:BC42">IF(COLUMN() - ($E42 + 5) &lt; 0, 0,
  IF(COLUMN() - ($E42 + 5) = 0, $F42,
    BB42 * (1 - IFERROR(INDEX('Inputs &amp; Assuptions'!$B$13:$B$72, COLUMN() - ($E42 + 5)), 0))
  )
)</f>
        <v>2369.31795199413</v>
      </c>
      <c r="BD42" s="80" t="n">
        <f aca="false" t="array" ref="BD42:BD42">IF(COLUMN() - ($E42 + 5) &lt; 0, 0,
  IF(COLUMN() - ($E42 + 5) = 0, $F42,
    BC42 * (1 - IFERROR(INDEX('Inputs &amp; Assuptions'!$B$13:$B$72, COLUMN() - ($E42 + 5)), 0))
  )
)</f>
        <v>2345.62477247419</v>
      </c>
      <c r="BE42" s="80" t="n">
        <f aca="false" t="array" ref="BE42:BE42">IF(COLUMN() - ($E42 + 5) &lt; 0, 0,
  IF(COLUMN() - ($E42 + 5) = 0, $F42,
    BD42 * (1 - IFERROR(INDEX('Inputs &amp; Assuptions'!$B$13:$B$72, COLUMN() - ($E42 + 5)), 0))
  )
)</f>
        <v>2322.16852474945</v>
      </c>
      <c r="BF42" s="80" t="n">
        <f aca="false" t="array" ref="BF42:BF42">IF(COLUMN() - ($E42 + 5) &lt; 0, 0,
  IF(COLUMN() - ($E42 + 5) = 0, $F42,
    BE42 * (1 - IFERROR(INDEX('Inputs &amp; Assuptions'!$B$13:$B$72, COLUMN() - ($E42 + 5)), 0))
  )
)</f>
        <v>2298.94683950195</v>
      </c>
      <c r="BG42" s="80" t="n">
        <f aca="false" t="array" ref="BG42:BG42">IF(COLUMN() - ($E42 + 5) &lt; 0, 0,
  IF(COLUMN() - ($E42 + 5) = 0, $F42,
    BF42 * (1 - IFERROR(INDEX('Inputs &amp; Assuptions'!$B$13:$B$72, COLUMN() - ($E42 + 5)), 0))
  )
)</f>
        <v>2275.95737110693</v>
      </c>
      <c r="BH42" s="80" t="n">
        <f aca="false" t="array" ref="BH42:BH42">IF(COLUMN() - ($E42 + 5) &lt; 0, 0,
  IF(COLUMN() - ($E42 + 5) = 0, $F42,
    BG42 * (1 - IFERROR(INDEX('Inputs &amp; Assuptions'!$B$13:$B$72, COLUMN() - ($E42 + 5)), 0))
  )
)</f>
        <v>2253.19779739587</v>
      </c>
      <c r="BI42" s="80" t="n">
        <f aca="false" t="array" ref="BI42:BI42">IF(COLUMN() - ($E42 + 5) &lt; 0, 0,
  IF(COLUMN() - ($E42 + 5) = 0, $F42,
    BH42 * (1 - IFERROR(INDEX('Inputs &amp; Assuptions'!$B$13:$B$72, COLUMN() - ($E42 + 5)), 0))
  )
)</f>
        <v>2230.66581942191</v>
      </c>
      <c r="BJ42" s="80" t="n">
        <f aca="false" t="array" ref="BJ42:BJ42">IF(COLUMN() - ($E42 + 5) &lt; 0, 0,
  IF(COLUMN() - ($E42 + 5) = 0, $F42,
    BI42 * (1 - IFERROR(INDEX('Inputs &amp; Assuptions'!$B$13:$B$72, COLUMN() - ($E42 + 5)), 0))
  )
)</f>
        <v>2208.35916122769</v>
      </c>
      <c r="BK42" s="80" t="n">
        <f aca="false" t="array" ref="BK42:BK42">IF(COLUMN() - ($E42 + 5) &lt; 0, 0,
  IF(COLUMN() - ($E42 + 5) = 0, $F42,
    BJ42 * (1 - IFERROR(INDEX('Inputs &amp; Assuptions'!$B$13:$B$72, COLUMN() - ($E42 + 5)), 0))
  )
)</f>
        <v>2186.27556961541</v>
      </c>
      <c r="BL42" s="80" t="n">
        <f aca="false" t="array" ref="BL42:BL42">IF(COLUMN() - ($E42 + 5) &lt; 0, 0,
  IF(COLUMN() - ($E42 + 5) = 0, $F42,
    BK42 * (1 - IFERROR(INDEX('Inputs &amp; Assuptions'!$B$13:$B$72, COLUMN() - ($E42 + 5)), 0))
  )
)</f>
        <v>2164.41281391926</v>
      </c>
      <c r="BM42" s="81" t="n">
        <f aca="false" t="array" ref="BM42:BM42">IF(COLUMN() - ($E42 + 5) &lt; 0, 0,
  IF(COLUMN() - ($E42 + 5) = 0, $F42,
    BL42 * (1 - IFERROR(INDEX('Inputs &amp; Assuptions'!$B$13:$B$72, COLUMN() - ($E42 + 5)), 0))
  )
)</f>
        <v>2142.76868578006</v>
      </c>
      <c r="BN42" s="76"/>
    </row>
    <row r="43" customFormat="false" ht="14.25" hidden="false" customHeight="false" outlineLevel="0" collapsed="false">
      <c r="A43" s="29" t="n">
        <f aca="false">A42+1</f>
        <v>38</v>
      </c>
      <c r="B43" s="77" t="n">
        <f aca="false">IF(MOD($A43-1, 12) = 0, $B42 * 1.05, $B42)</f>
        <v>6945.75</v>
      </c>
      <c r="C43" s="78" t="n">
        <f aca="false">$B43*(1-'Inputs &amp; Assuptions'!$B$12)</f>
        <v>4028.535</v>
      </c>
      <c r="E43" s="29" t="n">
        <f aca="false">E42+1</f>
        <v>38</v>
      </c>
      <c r="F43" s="79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 t="n">
        <f aca="false">+$C43</f>
        <v>4028.535</v>
      </c>
      <c r="AR43" s="80" t="n">
        <f aca="false" t="array" ref="AR43:AR43">IF(COLUMN() - ($E43 + 5) &lt; 0, 0,
  IF(COLUMN() - ($E43 + 5) = 0, $F43,
    AQ43 * (1 - IFERROR(INDEX('Inputs &amp; Assuptions'!$B$13:$B$72, COLUMN() - ($E43 + 5)), 0))
  )
)</f>
        <v>3605.538825</v>
      </c>
      <c r="AS43" s="80" t="n">
        <f aca="false" t="array" ref="AS43:AS43">IF(COLUMN() - ($E43 + 5) &lt; 0, 0,
  IF(COLUMN() - ($E43 + 5) = 0, $F43,
    AR43 * (1 - IFERROR(INDEX('Inputs &amp; Assuptions'!$B$13:$B$72, COLUMN() - ($E43 + 5)), 0))
  )
)</f>
        <v>3317.095719</v>
      </c>
      <c r="AT43" s="80" t="n">
        <f aca="false" t="array" ref="AT43:AT43">IF(COLUMN() - ($E43 + 5) &lt; 0, 0,
  IF(COLUMN() - ($E43 + 5) = 0, $F43,
    AS43 * (1 - IFERROR(INDEX('Inputs &amp; Assuptions'!$B$13:$B$72, COLUMN() - ($E43 + 5)), 0))
  )
)</f>
        <v>3134.655454455</v>
      </c>
      <c r="AU43" s="80" t="n">
        <f aca="false" t="array" ref="AU43:AU43">IF(COLUMN() - ($E43 + 5) &lt; 0, 0,
  IF(COLUMN() - ($E43 + 5) = 0, $F43,
    AT43 * (1 - IFERROR(INDEX('Inputs &amp; Assuptions'!$B$13:$B$72, COLUMN() - ($E43 + 5)), 0))
  )
)</f>
        <v>2977.92268173225</v>
      </c>
      <c r="AV43" s="80" t="n">
        <f aca="false" t="array" ref="AV43:AV43">IF(COLUMN() - ($E43 + 5) &lt; 0, 0,
  IF(COLUMN() - ($E43 + 5) = 0, $F43,
    AU43 * (1 - IFERROR(INDEX('Inputs &amp; Assuptions'!$B$13:$B$72, COLUMN() - ($E43 + 5)), 0))
  )
)</f>
        <v>2843.9161610543</v>
      </c>
      <c r="AW43" s="80" t="n">
        <f aca="false" t="array" ref="AW43:AW43">IF(COLUMN() - ($E43 + 5) &lt; 0, 0,
  IF(COLUMN() - ($E43 + 5) = 0, $F43,
    AV43 * (1 - IFERROR(INDEX('Inputs &amp; Assuptions'!$B$13:$B$72, COLUMN() - ($E43 + 5)), 0))
  )
)</f>
        <v>2730.15951461213</v>
      </c>
      <c r="AX43" s="80" t="n">
        <f aca="false" t="array" ref="AX43:AX43">IF(COLUMN() - ($E43 + 5) &lt; 0, 0,
  IF(COLUMN() - ($E43 + 5) = 0, $F43,
    AW43 * (1 - IFERROR(INDEX('Inputs &amp; Assuptions'!$B$13:$B$72, COLUMN() - ($E43 + 5)), 0))
  )
)</f>
        <v>2634.6039316007</v>
      </c>
      <c r="AY43" s="80" t="n">
        <f aca="false" t="array" ref="AY43:AY43">IF(COLUMN() - ($E43 + 5) &lt; 0, 0,
  IF(COLUMN() - ($E43 + 5) = 0, $F43,
    AX43 * (1 - IFERROR(INDEX('Inputs &amp; Assuptions'!$B$13:$B$72, COLUMN() - ($E43 + 5)), 0))
  )
)</f>
        <v>2555.56581365268</v>
      </c>
      <c r="AZ43" s="80" t="n">
        <f aca="false" t="array" ref="AZ43:AZ43">IF(COLUMN() - ($E43 + 5) &lt; 0, 0,
  IF(COLUMN() - ($E43 + 5) = 0, $F43,
    AY43 * (1 - IFERROR(INDEX('Inputs &amp; Assuptions'!$B$13:$B$72, COLUMN() - ($E43 + 5)), 0))
  )
)</f>
        <v>2491.67666831136</v>
      </c>
      <c r="BA43" s="80" t="n">
        <f aca="false" t="array" ref="BA43:BA43">IF(COLUMN() - ($E43 + 5) &lt; 0, 0,
  IF(COLUMN() - ($E43 + 5) = 0, $F43,
    AZ43 * (1 - IFERROR(INDEX('Inputs &amp; Assuptions'!$B$13:$B$72, COLUMN() - ($E43 + 5)), 0))
  )
)</f>
        <v>2441.84313494514</v>
      </c>
      <c r="BB43" s="80" t="n">
        <f aca="false" t="array" ref="BB43:BB43">IF(COLUMN() - ($E43 + 5) &lt; 0, 0,
  IF(COLUMN() - ($E43 + 5) = 0, $F43,
    BA43 * (1 - IFERROR(INDEX('Inputs &amp; Assuptions'!$B$13:$B$72, COLUMN() - ($E43 + 5)), 0))
  )
)</f>
        <v>2417.42470359569</v>
      </c>
      <c r="BC43" s="80" t="n">
        <f aca="false" t="array" ref="BC43:BC43">IF(COLUMN() - ($E43 + 5) &lt; 0, 0,
  IF(COLUMN() - ($E43 + 5) = 0, $F43,
    BB43 * (1 - IFERROR(INDEX('Inputs &amp; Assuptions'!$B$13:$B$72, COLUMN() - ($E43 + 5)), 0))
  )
)</f>
        <v>2393.25045655973</v>
      </c>
      <c r="BD43" s="80" t="n">
        <f aca="false" t="array" ref="BD43:BD43">IF(COLUMN() - ($E43 + 5) &lt; 0, 0,
  IF(COLUMN() - ($E43 + 5) = 0, $F43,
    BC43 * (1 - IFERROR(INDEX('Inputs &amp; Assuptions'!$B$13:$B$72, COLUMN() - ($E43 + 5)), 0))
  )
)</f>
        <v>2369.31795199413</v>
      </c>
      <c r="BE43" s="80" t="n">
        <f aca="false" t="array" ref="BE43:BE43">IF(COLUMN() - ($E43 + 5) &lt; 0, 0,
  IF(COLUMN() - ($E43 + 5) = 0, $F43,
    BD43 * (1 - IFERROR(INDEX('Inputs &amp; Assuptions'!$B$13:$B$72, COLUMN() - ($E43 + 5)), 0))
  )
)</f>
        <v>2345.62477247419</v>
      </c>
      <c r="BF43" s="80" t="n">
        <f aca="false" t="array" ref="BF43:BF43">IF(COLUMN() - ($E43 + 5) &lt; 0, 0,
  IF(COLUMN() - ($E43 + 5) = 0, $F43,
    BE43 * (1 - IFERROR(INDEX('Inputs &amp; Assuptions'!$B$13:$B$72, COLUMN() - ($E43 + 5)), 0))
  )
)</f>
        <v>2322.16852474945</v>
      </c>
      <c r="BG43" s="80" t="n">
        <f aca="false" t="array" ref="BG43:BG43">IF(COLUMN() - ($E43 + 5) &lt; 0, 0,
  IF(COLUMN() - ($E43 + 5) = 0, $F43,
    BF43 * (1 - IFERROR(INDEX('Inputs &amp; Assuptions'!$B$13:$B$72, COLUMN() - ($E43 + 5)), 0))
  )
)</f>
        <v>2298.94683950195</v>
      </c>
      <c r="BH43" s="80" t="n">
        <f aca="false" t="array" ref="BH43:BH43">IF(COLUMN() - ($E43 + 5) &lt; 0, 0,
  IF(COLUMN() - ($E43 + 5) = 0, $F43,
    BG43 * (1 - IFERROR(INDEX('Inputs &amp; Assuptions'!$B$13:$B$72, COLUMN() - ($E43 + 5)), 0))
  )
)</f>
        <v>2275.95737110693</v>
      </c>
      <c r="BI43" s="80" t="n">
        <f aca="false" t="array" ref="BI43:BI43">IF(COLUMN() - ($E43 + 5) &lt; 0, 0,
  IF(COLUMN() - ($E43 + 5) = 0, $F43,
    BH43 * (1 - IFERROR(INDEX('Inputs &amp; Assuptions'!$B$13:$B$72, COLUMN() - ($E43 + 5)), 0))
  )
)</f>
        <v>2253.19779739587</v>
      </c>
      <c r="BJ43" s="80" t="n">
        <f aca="false" t="array" ref="BJ43:BJ43">IF(COLUMN() - ($E43 + 5) &lt; 0, 0,
  IF(COLUMN() - ($E43 + 5) = 0, $F43,
    BI43 * (1 - IFERROR(INDEX('Inputs &amp; Assuptions'!$B$13:$B$72, COLUMN() - ($E43 + 5)), 0))
  )
)</f>
        <v>2230.66581942191</v>
      </c>
      <c r="BK43" s="80" t="n">
        <f aca="false" t="array" ref="BK43:BK43">IF(COLUMN() - ($E43 + 5) &lt; 0, 0,
  IF(COLUMN() - ($E43 + 5) = 0, $F43,
    BJ43 * (1 - IFERROR(INDEX('Inputs &amp; Assuptions'!$B$13:$B$72, COLUMN() - ($E43 + 5)), 0))
  )
)</f>
        <v>2208.35916122769</v>
      </c>
      <c r="BL43" s="80" t="n">
        <f aca="false" t="array" ref="BL43:BL43">IF(COLUMN() - ($E43 + 5) &lt; 0, 0,
  IF(COLUMN() - ($E43 + 5) = 0, $F43,
    BK43 * (1 - IFERROR(INDEX('Inputs &amp; Assuptions'!$B$13:$B$72, COLUMN() - ($E43 + 5)), 0))
  )
)</f>
        <v>2186.27556961541</v>
      </c>
      <c r="BM43" s="81" t="n">
        <f aca="false" t="array" ref="BM43:BM43">IF(COLUMN() - ($E43 + 5) &lt; 0, 0,
  IF(COLUMN() - ($E43 + 5) = 0, $F43,
    BL43 * (1 - IFERROR(INDEX('Inputs &amp; Assuptions'!$B$13:$B$72, COLUMN() - ($E43 + 5)), 0))
  )
)</f>
        <v>2164.41281391926</v>
      </c>
      <c r="BN43" s="76"/>
    </row>
    <row r="44" customFormat="false" ht="14.25" hidden="false" customHeight="false" outlineLevel="0" collapsed="false">
      <c r="A44" s="29" t="n">
        <f aca="false">A43+1</f>
        <v>39</v>
      </c>
      <c r="B44" s="77" t="n">
        <f aca="false">IF(MOD($A44-1, 12) = 0, $B43 * 1.05, $B43)</f>
        <v>6945.75</v>
      </c>
      <c r="C44" s="78" t="n">
        <f aca="false">$B44*(1-'Inputs &amp; Assuptions'!$B$12)</f>
        <v>4028.535</v>
      </c>
      <c r="E44" s="29" t="n">
        <f aca="false">E43+1</f>
        <v>39</v>
      </c>
      <c r="F44" s="79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 t="n">
        <f aca="false">+$C44</f>
        <v>4028.535</v>
      </c>
      <c r="AS44" s="80" t="n">
        <f aca="false" t="array" ref="AS44:AS44">IF(COLUMN() - ($E44 + 5) &lt; 0, 0,
  IF(COLUMN() - ($E44 + 5) = 0, $F44,
    AR44 * (1 - IFERROR(INDEX('Inputs &amp; Assuptions'!$B$13:$B$72, COLUMN() - ($E44 + 5)), 0))
  )
)</f>
        <v>3605.538825</v>
      </c>
      <c r="AT44" s="80" t="n">
        <f aca="false" t="array" ref="AT44:AT44">IF(COLUMN() - ($E44 + 5) &lt; 0, 0,
  IF(COLUMN() - ($E44 + 5) = 0, $F44,
    AS44 * (1 - IFERROR(INDEX('Inputs &amp; Assuptions'!$B$13:$B$72, COLUMN() - ($E44 + 5)), 0))
  )
)</f>
        <v>3317.095719</v>
      </c>
      <c r="AU44" s="80" t="n">
        <f aca="false" t="array" ref="AU44:AU44">IF(COLUMN() - ($E44 + 5) &lt; 0, 0,
  IF(COLUMN() - ($E44 + 5) = 0, $F44,
    AT44 * (1 - IFERROR(INDEX('Inputs &amp; Assuptions'!$B$13:$B$72, COLUMN() - ($E44 + 5)), 0))
  )
)</f>
        <v>3134.655454455</v>
      </c>
      <c r="AV44" s="80" t="n">
        <f aca="false" t="array" ref="AV44:AV44">IF(COLUMN() - ($E44 + 5) &lt; 0, 0,
  IF(COLUMN() - ($E44 + 5) = 0, $F44,
    AU44 * (1 - IFERROR(INDEX('Inputs &amp; Assuptions'!$B$13:$B$72, COLUMN() - ($E44 + 5)), 0))
  )
)</f>
        <v>2977.92268173225</v>
      </c>
      <c r="AW44" s="80" t="n">
        <f aca="false" t="array" ref="AW44:AW44">IF(COLUMN() - ($E44 + 5) &lt; 0, 0,
  IF(COLUMN() - ($E44 + 5) = 0, $F44,
    AV44 * (1 - IFERROR(INDEX('Inputs &amp; Assuptions'!$B$13:$B$72, COLUMN() - ($E44 + 5)), 0))
  )
)</f>
        <v>2843.9161610543</v>
      </c>
      <c r="AX44" s="80" t="n">
        <f aca="false" t="array" ref="AX44:AX44">IF(COLUMN() - ($E44 + 5) &lt; 0, 0,
  IF(COLUMN() - ($E44 + 5) = 0, $F44,
    AW44 * (1 - IFERROR(INDEX('Inputs &amp; Assuptions'!$B$13:$B$72, COLUMN() - ($E44 + 5)), 0))
  )
)</f>
        <v>2730.15951461213</v>
      </c>
      <c r="AY44" s="80" t="n">
        <f aca="false" t="array" ref="AY44:AY44">IF(COLUMN() - ($E44 + 5) &lt; 0, 0,
  IF(COLUMN() - ($E44 + 5) = 0, $F44,
    AX44 * (1 - IFERROR(INDEX('Inputs &amp; Assuptions'!$B$13:$B$72, COLUMN() - ($E44 + 5)), 0))
  )
)</f>
        <v>2634.6039316007</v>
      </c>
      <c r="AZ44" s="80" t="n">
        <f aca="false" t="array" ref="AZ44:AZ44">IF(COLUMN() - ($E44 + 5) &lt; 0, 0,
  IF(COLUMN() - ($E44 + 5) = 0, $F44,
    AY44 * (1 - IFERROR(INDEX('Inputs &amp; Assuptions'!$B$13:$B$72, COLUMN() - ($E44 + 5)), 0))
  )
)</f>
        <v>2555.56581365268</v>
      </c>
      <c r="BA44" s="80" t="n">
        <f aca="false" t="array" ref="BA44:BA44">IF(COLUMN() - ($E44 + 5) &lt; 0, 0,
  IF(COLUMN() - ($E44 + 5) = 0, $F44,
    AZ44 * (1 - IFERROR(INDEX('Inputs &amp; Assuptions'!$B$13:$B$72, COLUMN() - ($E44 + 5)), 0))
  )
)</f>
        <v>2491.67666831136</v>
      </c>
      <c r="BB44" s="80" t="n">
        <f aca="false" t="array" ref="BB44:BB44">IF(COLUMN() - ($E44 + 5) &lt; 0, 0,
  IF(COLUMN() - ($E44 + 5) = 0, $F44,
    BA44 * (1 - IFERROR(INDEX('Inputs &amp; Assuptions'!$B$13:$B$72, COLUMN() - ($E44 + 5)), 0))
  )
)</f>
        <v>2441.84313494514</v>
      </c>
      <c r="BC44" s="80" t="n">
        <f aca="false" t="array" ref="BC44:BC44">IF(COLUMN() - ($E44 + 5) &lt; 0, 0,
  IF(COLUMN() - ($E44 + 5) = 0, $F44,
    BB44 * (1 - IFERROR(INDEX('Inputs &amp; Assuptions'!$B$13:$B$72, COLUMN() - ($E44 + 5)), 0))
  )
)</f>
        <v>2417.42470359569</v>
      </c>
      <c r="BD44" s="80" t="n">
        <f aca="false" t="array" ref="BD44:BD44">IF(COLUMN() - ($E44 + 5) &lt; 0, 0,
  IF(COLUMN() - ($E44 + 5) = 0, $F44,
    BC44 * (1 - IFERROR(INDEX('Inputs &amp; Assuptions'!$B$13:$B$72, COLUMN() - ($E44 + 5)), 0))
  )
)</f>
        <v>2393.25045655973</v>
      </c>
      <c r="BE44" s="80" t="n">
        <f aca="false" t="array" ref="BE44:BE44">IF(COLUMN() - ($E44 + 5) &lt; 0, 0,
  IF(COLUMN() - ($E44 + 5) = 0, $F44,
    BD44 * (1 - IFERROR(INDEX('Inputs &amp; Assuptions'!$B$13:$B$72, COLUMN() - ($E44 + 5)), 0))
  )
)</f>
        <v>2369.31795199413</v>
      </c>
      <c r="BF44" s="80" t="n">
        <f aca="false" t="array" ref="BF44:BF44">IF(COLUMN() - ($E44 + 5) &lt; 0, 0,
  IF(COLUMN() - ($E44 + 5) = 0, $F44,
    BE44 * (1 - IFERROR(INDEX('Inputs &amp; Assuptions'!$B$13:$B$72, COLUMN() - ($E44 + 5)), 0))
  )
)</f>
        <v>2345.62477247419</v>
      </c>
      <c r="BG44" s="80" t="n">
        <f aca="false" t="array" ref="BG44:BG44">IF(COLUMN() - ($E44 + 5) &lt; 0, 0,
  IF(COLUMN() - ($E44 + 5) = 0, $F44,
    BF44 * (1 - IFERROR(INDEX('Inputs &amp; Assuptions'!$B$13:$B$72, COLUMN() - ($E44 + 5)), 0))
  )
)</f>
        <v>2322.16852474945</v>
      </c>
      <c r="BH44" s="80" t="n">
        <f aca="false" t="array" ref="BH44:BH44">IF(COLUMN() - ($E44 + 5) &lt; 0, 0,
  IF(COLUMN() - ($E44 + 5) = 0, $F44,
    BG44 * (1 - IFERROR(INDEX('Inputs &amp; Assuptions'!$B$13:$B$72, COLUMN() - ($E44 + 5)), 0))
  )
)</f>
        <v>2298.94683950195</v>
      </c>
      <c r="BI44" s="80" t="n">
        <f aca="false" t="array" ref="BI44:BI44">IF(COLUMN() - ($E44 + 5) &lt; 0, 0,
  IF(COLUMN() - ($E44 + 5) = 0, $F44,
    BH44 * (1 - IFERROR(INDEX('Inputs &amp; Assuptions'!$B$13:$B$72, COLUMN() - ($E44 + 5)), 0))
  )
)</f>
        <v>2275.95737110693</v>
      </c>
      <c r="BJ44" s="80" t="n">
        <f aca="false" t="array" ref="BJ44:BJ44">IF(COLUMN() - ($E44 + 5) &lt; 0, 0,
  IF(COLUMN() - ($E44 + 5) = 0, $F44,
    BI44 * (1 - IFERROR(INDEX('Inputs &amp; Assuptions'!$B$13:$B$72, COLUMN() - ($E44 + 5)), 0))
  )
)</f>
        <v>2253.19779739587</v>
      </c>
      <c r="BK44" s="80" t="n">
        <f aca="false" t="array" ref="BK44:BK44">IF(COLUMN() - ($E44 + 5) &lt; 0, 0,
  IF(COLUMN() - ($E44 + 5) = 0, $F44,
    BJ44 * (1 - IFERROR(INDEX('Inputs &amp; Assuptions'!$B$13:$B$72, COLUMN() - ($E44 + 5)), 0))
  )
)</f>
        <v>2230.66581942191</v>
      </c>
      <c r="BL44" s="80" t="n">
        <f aca="false" t="array" ref="BL44:BL44">IF(COLUMN() - ($E44 + 5) &lt; 0, 0,
  IF(COLUMN() - ($E44 + 5) = 0, $F44,
    BK44 * (1 - IFERROR(INDEX('Inputs &amp; Assuptions'!$B$13:$B$72, COLUMN() - ($E44 + 5)), 0))
  )
)</f>
        <v>2208.35916122769</v>
      </c>
      <c r="BM44" s="81" t="n">
        <f aca="false" t="array" ref="BM44:BM44">IF(COLUMN() - ($E44 + 5) &lt; 0, 0,
  IF(COLUMN() - ($E44 + 5) = 0, $F44,
    BL44 * (1 - IFERROR(INDEX('Inputs &amp; Assuptions'!$B$13:$B$72, COLUMN() - ($E44 + 5)), 0))
  )
)</f>
        <v>2186.27556961541</v>
      </c>
      <c r="BN44" s="76"/>
    </row>
    <row r="45" customFormat="false" ht="14.25" hidden="false" customHeight="false" outlineLevel="0" collapsed="false">
      <c r="A45" s="29" t="n">
        <f aca="false">A44+1</f>
        <v>40</v>
      </c>
      <c r="B45" s="77" t="n">
        <f aca="false">IF(MOD($A45-1, 12) = 0, $B44 * 1.05, $B44)</f>
        <v>6945.75</v>
      </c>
      <c r="C45" s="78" t="n">
        <f aca="false">$B45*(1-'Inputs &amp; Assuptions'!$B$12)</f>
        <v>4028.535</v>
      </c>
      <c r="E45" s="29" t="n">
        <f aca="false">E44+1</f>
        <v>40</v>
      </c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 t="n">
        <f aca="false">+$C45</f>
        <v>4028.535</v>
      </c>
      <c r="AT45" s="80" t="n">
        <f aca="false" t="array" ref="AT45:AT45">IF(COLUMN() - ($E45 + 5) &lt; 0, 0,
  IF(COLUMN() - ($E45 + 5) = 0, $F45,
    AS45 * (1 - IFERROR(INDEX('Inputs &amp; Assuptions'!$B$13:$B$72, COLUMN() - ($E45 + 5)), 0))
  )
)</f>
        <v>3605.538825</v>
      </c>
      <c r="AU45" s="80" t="n">
        <f aca="false" t="array" ref="AU45:AU45">IF(COLUMN() - ($E45 + 5) &lt; 0, 0,
  IF(COLUMN() - ($E45 + 5) = 0, $F45,
    AT45 * (1 - IFERROR(INDEX('Inputs &amp; Assuptions'!$B$13:$B$72, COLUMN() - ($E45 + 5)), 0))
  )
)</f>
        <v>3317.095719</v>
      </c>
      <c r="AV45" s="80" t="n">
        <f aca="false" t="array" ref="AV45:AV45">IF(COLUMN() - ($E45 + 5) &lt; 0, 0,
  IF(COLUMN() - ($E45 + 5) = 0, $F45,
    AU45 * (1 - IFERROR(INDEX('Inputs &amp; Assuptions'!$B$13:$B$72, COLUMN() - ($E45 + 5)), 0))
  )
)</f>
        <v>3134.655454455</v>
      </c>
      <c r="AW45" s="80" t="n">
        <f aca="false" t="array" ref="AW45:AW45">IF(COLUMN() - ($E45 + 5) &lt; 0, 0,
  IF(COLUMN() - ($E45 + 5) = 0, $F45,
    AV45 * (1 - IFERROR(INDEX('Inputs &amp; Assuptions'!$B$13:$B$72, COLUMN() - ($E45 + 5)), 0))
  )
)</f>
        <v>2977.92268173225</v>
      </c>
      <c r="AX45" s="80" t="n">
        <f aca="false" t="array" ref="AX45:AX45">IF(COLUMN() - ($E45 + 5) &lt; 0, 0,
  IF(COLUMN() - ($E45 + 5) = 0, $F45,
    AW45 * (1 - IFERROR(INDEX('Inputs &amp; Assuptions'!$B$13:$B$72, COLUMN() - ($E45 + 5)), 0))
  )
)</f>
        <v>2843.9161610543</v>
      </c>
      <c r="AY45" s="80" t="n">
        <f aca="false" t="array" ref="AY45:AY45">IF(COLUMN() - ($E45 + 5) &lt; 0, 0,
  IF(COLUMN() - ($E45 + 5) = 0, $F45,
    AX45 * (1 - IFERROR(INDEX('Inputs &amp; Assuptions'!$B$13:$B$72, COLUMN() - ($E45 + 5)), 0))
  )
)</f>
        <v>2730.15951461213</v>
      </c>
      <c r="AZ45" s="80" t="n">
        <f aca="false" t="array" ref="AZ45:AZ45">IF(COLUMN() - ($E45 + 5) &lt; 0, 0,
  IF(COLUMN() - ($E45 + 5) = 0, $F45,
    AY45 * (1 - IFERROR(INDEX('Inputs &amp; Assuptions'!$B$13:$B$72, COLUMN() - ($E45 + 5)), 0))
  )
)</f>
        <v>2634.6039316007</v>
      </c>
      <c r="BA45" s="80" t="n">
        <f aca="false" t="array" ref="BA45:BA45">IF(COLUMN() - ($E45 + 5) &lt; 0, 0,
  IF(COLUMN() - ($E45 + 5) = 0, $F45,
    AZ45 * (1 - IFERROR(INDEX('Inputs &amp; Assuptions'!$B$13:$B$72, COLUMN() - ($E45 + 5)), 0))
  )
)</f>
        <v>2555.56581365268</v>
      </c>
      <c r="BB45" s="80" t="n">
        <f aca="false" t="array" ref="BB45:BB45">IF(COLUMN() - ($E45 + 5) &lt; 0, 0,
  IF(COLUMN() - ($E45 + 5) = 0, $F45,
    BA45 * (1 - IFERROR(INDEX('Inputs &amp; Assuptions'!$B$13:$B$72, COLUMN() - ($E45 + 5)), 0))
  )
)</f>
        <v>2491.67666831136</v>
      </c>
      <c r="BC45" s="80" t="n">
        <f aca="false" t="array" ref="BC45:BC45">IF(COLUMN() - ($E45 + 5) &lt; 0, 0,
  IF(COLUMN() - ($E45 + 5) = 0, $F45,
    BB45 * (1 - IFERROR(INDEX('Inputs &amp; Assuptions'!$B$13:$B$72, COLUMN() - ($E45 + 5)), 0))
  )
)</f>
        <v>2441.84313494514</v>
      </c>
      <c r="BD45" s="80" t="n">
        <f aca="false" t="array" ref="BD45:BD45">IF(COLUMN() - ($E45 + 5) &lt; 0, 0,
  IF(COLUMN() - ($E45 + 5) = 0, $F45,
    BC45 * (1 - IFERROR(INDEX('Inputs &amp; Assuptions'!$B$13:$B$72, COLUMN() - ($E45 + 5)), 0))
  )
)</f>
        <v>2417.42470359569</v>
      </c>
      <c r="BE45" s="80" t="n">
        <f aca="false" t="array" ref="BE45:BE45">IF(COLUMN() - ($E45 + 5) &lt; 0, 0,
  IF(COLUMN() - ($E45 + 5) = 0, $F45,
    BD45 * (1 - IFERROR(INDEX('Inputs &amp; Assuptions'!$B$13:$B$72, COLUMN() - ($E45 + 5)), 0))
  )
)</f>
        <v>2393.25045655973</v>
      </c>
      <c r="BF45" s="80" t="n">
        <f aca="false" t="array" ref="BF45:BF45">IF(COLUMN() - ($E45 + 5) &lt; 0, 0,
  IF(COLUMN() - ($E45 + 5) = 0, $F45,
    BE45 * (1 - IFERROR(INDEX('Inputs &amp; Assuptions'!$B$13:$B$72, COLUMN() - ($E45 + 5)), 0))
  )
)</f>
        <v>2369.31795199413</v>
      </c>
      <c r="BG45" s="80" t="n">
        <f aca="false" t="array" ref="BG45:BG45">IF(COLUMN() - ($E45 + 5) &lt; 0, 0,
  IF(COLUMN() - ($E45 + 5) = 0, $F45,
    BF45 * (1 - IFERROR(INDEX('Inputs &amp; Assuptions'!$B$13:$B$72, COLUMN() - ($E45 + 5)), 0))
  )
)</f>
        <v>2345.62477247419</v>
      </c>
      <c r="BH45" s="80" t="n">
        <f aca="false" t="array" ref="BH45:BH45">IF(COLUMN() - ($E45 + 5) &lt; 0, 0,
  IF(COLUMN() - ($E45 + 5) = 0, $F45,
    BG45 * (1 - IFERROR(INDEX('Inputs &amp; Assuptions'!$B$13:$B$72, COLUMN() - ($E45 + 5)), 0))
  )
)</f>
        <v>2322.16852474945</v>
      </c>
      <c r="BI45" s="80" t="n">
        <f aca="false" t="array" ref="BI45:BI45">IF(COLUMN() - ($E45 + 5) &lt; 0, 0,
  IF(COLUMN() - ($E45 + 5) = 0, $F45,
    BH45 * (1 - IFERROR(INDEX('Inputs &amp; Assuptions'!$B$13:$B$72, COLUMN() - ($E45 + 5)), 0))
  )
)</f>
        <v>2298.94683950195</v>
      </c>
      <c r="BJ45" s="80" t="n">
        <f aca="false" t="array" ref="BJ45:BJ45">IF(COLUMN() - ($E45 + 5) &lt; 0, 0,
  IF(COLUMN() - ($E45 + 5) = 0, $F45,
    BI45 * (1 - IFERROR(INDEX('Inputs &amp; Assuptions'!$B$13:$B$72, COLUMN() - ($E45 + 5)), 0))
  )
)</f>
        <v>2275.95737110693</v>
      </c>
      <c r="BK45" s="80" t="n">
        <f aca="false" t="array" ref="BK45:BK45">IF(COLUMN() - ($E45 + 5) &lt; 0, 0,
  IF(COLUMN() - ($E45 + 5) = 0, $F45,
    BJ45 * (1 - IFERROR(INDEX('Inputs &amp; Assuptions'!$B$13:$B$72, COLUMN() - ($E45 + 5)), 0))
  )
)</f>
        <v>2253.19779739587</v>
      </c>
      <c r="BL45" s="80" t="n">
        <f aca="false" t="array" ref="BL45:BL45">IF(COLUMN() - ($E45 + 5) &lt; 0, 0,
  IF(COLUMN() - ($E45 + 5) = 0, $F45,
    BK45 * (1 - IFERROR(INDEX('Inputs &amp; Assuptions'!$B$13:$B$72, COLUMN() - ($E45 + 5)), 0))
  )
)</f>
        <v>2230.66581942191</v>
      </c>
      <c r="BM45" s="81" t="n">
        <f aca="false" t="array" ref="BM45:BM45">IF(COLUMN() - ($E45 + 5) &lt; 0, 0,
  IF(COLUMN() - ($E45 + 5) = 0, $F45,
    BL45 * (1 - IFERROR(INDEX('Inputs &amp; Assuptions'!$B$13:$B$72, COLUMN() - ($E45 + 5)), 0))
  )
)</f>
        <v>2208.35916122769</v>
      </c>
      <c r="BN45" s="76"/>
    </row>
    <row r="46" customFormat="false" ht="14.25" hidden="false" customHeight="false" outlineLevel="0" collapsed="false">
      <c r="A46" s="29" t="n">
        <f aca="false">A45+1</f>
        <v>41</v>
      </c>
      <c r="B46" s="77" t="n">
        <f aca="false">IF(MOD($A46-1, 12) = 0, $B45 * 1.05, $B45)</f>
        <v>6945.75</v>
      </c>
      <c r="C46" s="78" t="n">
        <f aca="false">$B46*(1-'Inputs &amp; Assuptions'!$B$12)</f>
        <v>4028.535</v>
      </c>
      <c r="E46" s="29" t="n">
        <f aca="false">E45+1</f>
        <v>41</v>
      </c>
      <c r="F46" s="7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 t="n">
        <f aca="false">+$C46</f>
        <v>4028.535</v>
      </c>
      <c r="AU46" s="80" t="n">
        <f aca="false" t="array" ref="AU46:AU46">IF(COLUMN() - ($E46 + 5) &lt; 0, 0,
  IF(COLUMN() - ($E46 + 5) = 0, $F46,
    AT46 * (1 - IFERROR(INDEX('Inputs &amp; Assuptions'!$B$13:$B$72, COLUMN() - ($E46 + 5)), 0))
  )
)</f>
        <v>3605.538825</v>
      </c>
      <c r="AV46" s="80" t="n">
        <f aca="false" t="array" ref="AV46:AV46">IF(COLUMN() - ($E46 + 5) &lt; 0, 0,
  IF(COLUMN() - ($E46 + 5) = 0, $F46,
    AU46 * (1 - IFERROR(INDEX('Inputs &amp; Assuptions'!$B$13:$B$72, COLUMN() - ($E46 + 5)), 0))
  )
)</f>
        <v>3317.095719</v>
      </c>
      <c r="AW46" s="80" t="n">
        <f aca="false" t="array" ref="AW46:AW46">IF(COLUMN() - ($E46 + 5) &lt; 0, 0,
  IF(COLUMN() - ($E46 + 5) = 0, $F46,
    AV46 * (1 - IFERROR(INDEX('Inputs &amp; Assuptions'!$B$13:$B$72, COLUMN() - ($E46 + 5)), 0))
  )
)</f>
        <v>3134.655454455</v>
      </c>
      <c r="AX46" s="80" t="n">
        <f aca="false" t="array" ref="AX46:AX46">IF(COLUMN() - ($E46 + 5) &lt; 0, 0,
  IF(COLUMN() - ($E46 + 5) = 0, $F46,
    AW46 * (1 - IFERROR(INDEX('Inputs &amp; Assuptions'!$B$13:$B$72, COLUMN() - ($E46 + 5)), 0))
  )
)</f>
        <v>2977.92268173225</v>
      </c>
      <c r="AY46" s="80" t="n">
        <f aca="false" t="array" ref="AY46:AY46">IF(COLUMN() - ($E46 + 5) &lt; 0, 0,
  IF(COLUMN() - ($E46 + 5) = 0, $F46,
    AX46 * (1 - IFERROR(INDEX('Inputs &amp; Assuptions'!$B$13:$B$72, COLUMN() - ($E46 + 5)), 0))
  )
)</f>
        <v>2843.9161610543</v>
      </c>
      <c r="AZ46" s="80" t="n">
        <f aca="false" t="array" ref="AZ46:AZ46">IF(COLUMN() - ($E46 + 5) &lt; 0, 0,
  IF(COLUMN() - ($E46 + 5) = 0, $F46,
    AY46 * (1 - IFERROR(INDEX('Inputs &amp; Assuptions'!$B$13:$B$72, COLUMN() - ($E46 + 5)), 0))
  )
)</f>
        <v>2730.15951461213</v>
      </c>
      <c r="BA46" s="80" t="n">
        <f aca="false" t="array" ref="BA46:BA46">IF(COLUMN() - ($E46 + 5) &lt; 0, 0,
  IF(COLUMN() - ($E46 + 5) = 0, $F46,
    AZ46 * (1 - IFERROR(INDEX('Inputs &amp; Assuptions'!$B$13:$B$72, COLUMN() - ($E46 + 5)), 0))
  )
)</f>
        <v>2634.6039316007</v>
      </c>
      <c r="BB46" s="80" t="n">
        <f aca="false" t="array" ref="BB46:BB46">IF(COLUMN() - ($E46 + 5) &lt; 0, 0,
  IF(COLUMN() - ($E46 + 5) = 0, $F46,
    BA46 * (1 - IFERROR(INDEX('Inputs &amp; Assuptions'!$B$13:$B$72, COLUMN() - ($E46 + 5)), 0))
  )
)</f>
        <v>2555.56581365268</v>
      </c>
      <c r="BC46" s="80" t="n">
        <f aca="false" t="array" ref="BC46:BC46">IF(COLUMN() - ($E46 + 5) &lt; 0, 0,
  IF(COLUMN() - ($E46 + 5) = 0, $F46,
    BB46 * (1 - IFERROR(INDEX('Inputs &amp; Assuptions'!$B$13:$B$72, COLUMN() - ($E46 + 5)), 0))
  )
)</f>
        <v>2491.67666831136</v>
      </c>
      <c r="BD46" s="80" t="n">
        <f aca="false" t="array" ref="BD46:BD46">IF(COLUMN() - ($E46 + 5) &lt; 0, 0,
  IF(COLUMN() - ($E46 + 5) = 0, $F46,
    BC46 * (1 - IFERROR(INDEX('Inputs &amp; Assuptions'!$B$13:$B$72, COLUMN() - ($E46 + 5)), 0))
  )
)</f>
        <v>2441.84313494514</v>
      </c>
      <c r="BE46" s="80" t="n">
        <f aca="false" t="array" ref="BE46:BE46">IF(COLUMN() - ($E46 + 5) &lt; 0, 0,
  IF(COLUMN() - ($E46 + 5) = 0, $F46,
    BD46 * (1 - IFERROR(INDEX('Inputs &amp; Assuptions'!$B$13:$B$72, COLUMN() - ($E46 + 5)), 0))
  )
)</f>
        <v>2417.42470359569</v>
      </c>
      <c r="BF46" s="80" t="n">
        <f aca="false" t="array" ref="BF46:BF46">IF(COLUMN() - ($E46 + 5) &lt; 0, 0,
  IF(COLUMN() - ($E46 + 5) = 0, $F46,
    BE46 * (1 - IFERROR(INDEX('Inputs &amp; Assuptions'!$B$13:$B$72, COLUMN() - ($E46 + 5)), 0))
  )
)</f>
        <v>2393.25045655973</v>
      </c>
      <c r="BG46" s="80" t="n">
        <f aca="false" t="array" ref="BG46:BG46">IF(COLUMN() - ($E46 + 5) &lt; 0, 0,
  IF(COLUMN() - ($E46 + 5) = 0, $F46,
    BF46 * (1 - IFERROR(INDEX('Inputs &amp; Assuptions'!$B$13:$B$72, COLUMN() - ($E46 + 5)), 0))
  )
)</f>
        <v>2369.31795199413</v>
      </c>
      <c r="BH46" s="80" t="n">
        <f aca="false" t="array" ref="BH46:BH46">IF(COLUMN() - ($E46 + 5) &lt; 0, 0,
  IF(COLUMN() - ($E46 + 5) = 0, $F46,
    BG46 * (1 - IFERROR(INDEX('Inputs &amp; Assuptions'!$B$13:$B$72, COLUMN() - ($E46 + 5)), 0))
  )
)</f>
        <v>2345.62477247419</v>
      </c>
      <c r="BI46" s="80" t="n">
        <f aca="false" t="array" ref="BI46:BI46">IF(COLUMN() - ($E46 + 5) &lt; 0, 0,
  IF(COLUMN() - ($E46 + 5) = 0, $F46,
    BH46 * (1 - IFERROR(INDEX('Inputs &amp; Assuptions'!$B$13:$B$72, COLUMN() - ($E46 + 5)), 0))
  )
)</f>
        <v>2322.16852474945</v>
      </c>
      <c r="BJ46" s="80" t="n">
        <f aca="false" t="array" ref="BJ46:BJ46">IF(COLUMN() - ($E46 + 5) &lt; 0, 0,
  IF(COLUMN() - ($E46 + 5) = 0, $F46,
    BI46 * (1 - IFERROR(INDEX('Inputs &amp; Assuptions'!$B$13:$B$72, COLUMN() - ($E46 + 5)), 0))
  )
)</f>
        <v>2298.94683950195</v>
      </c>
      <c r="BK46" s="80" t="n">
        <f aca="false" t="array" ref="BK46:BK46">IF(COLUMN() - ($E46 + 5) &lt; 0, 0,
  IF(COLUMN() - ($E46 + 5) = 0, $F46,
    BJ46 * (1 - IFERROR(INDEX('Inputs &amp; Assuptions'!$B$13:$B$72, COLUMN() - ($E46 + 5)), 0))
  )
)</f>
        <v>2275.95737110693</v>
      </c>
      <c r="BL46" s="80" t="n">
        <f aca="false" t="array" ref="BL46:BL46">IF(COLUMN() - ($E46 + 5) &lt; 0, 0,
  IF(COLUMN() - ($E46 + 5) = 0, $F46,
    BK46 * (1 - IFERROR(INDEX('Inputs &amp; Assuptions'!$B$13:$B$72, COLUMN() - ($E46 + 5)), 0))
  )
)</f>
        <v>2253.19779739587</v>
      </c>
      <c r="BM46" s="81" t="n">
        <f aca="false" t="array" ref="BM46:BM46">IF(COLUMN() - ($E46 + 5) &lt; 0, 0,
  IF(COLUMN() - ($E46 + 5) = 0, $F46,
    BL46 * (1 - IFERROR(INDEX('Inputs &amp; Assuptions'!$B$13:$B$72, COLUMN() - ($E46 + 5)), 0))
  )
)</f>
        <v>2230.66581942191</v>
      </c>
      <c r="BN46" s="76"/>
    </row>
    <row r="47" customFormat="false" ht="14.25" hidden="false" customHeight="false" outlineLevel="0" collapsed="false">
      <c r="A47" s="29" t="n">
        <f aca="false">A46+1</f>
        <v>42</v>
      </c>
      <c r="B47" s="77" t="n">
        <f aca="false">IF(MOD($A47-1, 12) = 0, $B46 * 1.05, $B46)</f>
        <v>6945.75</v>
      </c>
      <c r="C47" s="78" t="n">
        <f aca="false">$B47*(1-'Inputs &amp; Assuptions'!$B$12)</f>
        <v>4028.535</v>
      </c>
      <c r="E47" s="29" t="n">
        <f aca="false">E46+1</f>
        <v>42</v>
      </c>
      <c r="F47" s="7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 t="n">
        <f aca="false">+$C47</f>
        <v>4028.535</v>
      </c>
      <c r="AV47" s="80" t="n">
        <f aca="false" t="array" ref="AV47:AV47">IF(COLUMN() - ($E47 + 5) &lt; 0, 0,
  IF(COLUMN() - ($E47 + 5) = 0, $F47,
    AU47 * (1 - IFERROR(INDEX('Inputs &amp; Assuptions'!$B$13:$B$72, COLUMN() - ($E47 + 5)), 0))
  )
)</f>
        <v>3605.538825</v>
      </c>
      <c r="AW47" s="80" t="n">
        <f aca="false" t="array" ref="AW47:AW47">IF(COLUMN() - ($E47 + 5) &lt; 0, 0,
  IF(COLUMN() - ($E47 + 5) = 0, $F47,
    AV47 * (1 - IFERROR(INDEX('Inputs &amp; Assuptions'!$B$13:$B$72, COLUMN() - ($E47 + 5)), 0))
  )
)</f>
        <v>3317.095719</v>
      </c>
      <c r="AX47" s="80" t="n">
        <f aca="false" t="array" ref="AX47:AX47">IF(COLUMN() - ($E47 + 5) &lt; 0, 0,
  IF(COLUMN() - ($E47 + 5) = 0, $F47,
    AW47 * (1 - IFERROR(INDEX('Inputs &amp; Assuptions'!$B$13:$B$72, COLUMN() - ($E47 + 5)), 0))
  )
)</f>
        <v>3134.655454455</v>
      </c>
      <c r="AY47" s="80" t="n">
        <f aca="false" t="array" ref="AY47:AY47">IF(COLUMN() - ($E47 + 5) &lt; 0, 0,
  IF(COLUMN() - ($E47 + 5) = 0, $F47,
    AX47 * (1 - IFERROR(INDEX('Inputs &amp; Assuptions'!$B$13:$B$72, COLUMN() - ($E47 + 5)), 0))
  )
)</f>
        <v>2977.92268173225</v>
      </c>
      <c r="AZ47" s="80" t="n">
        <f aca="false" t="array" ref="AZ47:AZ47">IF(COLUMN() - ($E47 + 5) &lt; 0, 0,
  IF(COLUMN() - ($E47 + 5) = 0, $F47,
    AY47 * (1 - IFERROR(INDEX('Inputs &amp; Assuptions'!$B$13:$B$72, COLUMN() - ($E47 + 5)), 0))
  )
)</f>
        <v>2843.9161610543</v>
      </c>
      <c r="BA47" s="80" t="n">
        <f aca="false" t="array" ref="BA47:BA47">IF(COLUMN() - ($E47 + 5) &lt; 0, 0,
  IF(COLUMN() - ($E47 + 5) = 0, $F47,
    AZ47 * (1 - IFERROR(INDEX('Inputs &amp; Assuptions'!$B$13:$B$72, COLUMN() - ($E47 + 5)), 0))
  )
)</f>
        <v>2730.15951461213</v>
      </c>
      <c r="BB47" s="80" t="n">
        <f aca="false" t="array" ref="BB47:BB47">IF(COLUMN() - ($E47 + 5) &lt; 0, 0,
  IF(COLUMN() - ($E47 + 5) = 0, $F47,
    BA47 * (1 - IFERROR(INDEX('Inputs &amp; Assuptions'!$B$13:$B$72, COLUMN() - ($E47 + 5)), 0))
  )
)</f>
        <v>2634.6039316007</v>
      </c>
      <c r="BC47" s="80" t="n">
        <f aca="false" t="array" ref="BC47:BC47">IF(COLUMN() - ($E47 + 5) &lt; 0, 0,
  IF(COLUMN() - ($E47 + 5) = 0, $F47,
    BB47 * (1 - IFERROR(INDEX('Inputs &amp; Assuptions'!$B$13:$B$72, COLUMN() - ($E47 + 5)), 0))
  )
)</f>
        <v>2555.56581365268</v>
      </c>
      <c r="BD47" s="80" t="n">
        <f aca="false" t="array" ref="BD47:BD47">IF(COLUMN() - ($E47 + 5) &lt; 0, 0,
  IF(COLUMN() - ($E47 + 5) = 0, $F47,
    BC47 * (1 - IFERROR(INDEX('Inputs &amp; Assuptions'!$B$13:$B$72, COLUMN() - ($E47 + 5)), 0))
  )
)</f>
        <v>2491.67666831136</v>
      </c>
      <c r="BE47" s="80" t="n">
        <f aca="false" t="array" ref="BE47:BE47">IF(COLUMN() - ($E47 + 5) &lt; 0, 0,
  IF(COLUMN() - ($E47 + 5) = 0, $F47,
    BD47 * (1 - IFERROR(INDEX('Inputs &amp; Assuptions'!$B$13:$B$72, COLUMN() - ($E47 + 5)), 0))
  )
)</f>
        <v>2441.84313494514</v>
      </c>
      <c r="BF47" s="80" t="n">
        <f aca="false" t="array" ref="BF47:BF47">IF(COLUMN() - ($E47 + 5) &lt; 0, 0,
  IF(COLUMN() - ($E47 + 5) = 0, $F47,
    BE47 * (1 - IFERROR(INDEX('Inputs &amp; Assuptions'!$B$13:$B$72, COLUMN() - ($E47 + 5)), 0))
  )
)</f>
        <v>2417.42470359569</v>
      </c>
      <c r="BG47" s="80" t="n">
        <f aca="false" t="array" ref="BG47:BG47">IF(COLUMN() - ($E47 + 5) &lt; 0, 0,
  IF(COLUMN() - ($E47 + 5) = 0, $F47,
    BF47 * (1 - IFERROR(INDEX('Inputs &amp; Assuptions'!$B$13:$B$72, COLUMN() - ($E47 + 5)), 0))
  )
)</f>
        <v>2393.25045655973</v>
      </c>
      <c r="BH47" s="80" t="n">
        <f aca="false" t="array" ref="BH47:BH47">IF(COLUMN() - ($E47 + 5) &lt; 0, 0,
  IF(COLUMN() - ($E47 + 5) = 0, $F47,
    BG47 * (1 - IFERROR(INDEX('Inputs &amp; Assuptions'!$B$13:$B$72, COLUMN() - ($E47 + 5)), 0))
  )
)</f>
        <v>2369.31795199413</v>
      </c>
      <c r="BI47" s="80" t="n">
        <f aca="false" t="array" ref="BI47:BI47">IF(COLUMN() - ($E47 + 5) &lt; 0, 0,
  IF(COLUMN() - ($E47 + 5) = 0, $F47,
    BH47 * (1 - IFERROR(INDEX('Inputs &amp; Assuptions'!$B$13:$B$72, COLUMN() - ($E47 + 5)), 0))
  )
)</f>
        <v>2345.62477247419</v>
      </c>
      <c r="BJ47" s="80" t="n">
        <f aca="false" t="array" ref="BJ47:BJ47">IF(COLUMN() - ($E47 + 5) &lt; 0, 0,
  IF(COLUMN() - ($E47 + 5) = 0, $F47,
    BI47 * (1 - IFERROR(INDEX('Inputs &amp; Assuptions'!$B$13:$B$72, COLUMN() - ($E47 + 5)), 0))
  )
)</f>
        <v>2322.16852474945</v>
      </c>
      <c r="BK47" s="80" t="n">
        <f aca="false" t="array" ref="BK47:BK47">IF(COLUMN() - ($E47 + 5) &lt; 0, 0,
  IF(COLUMN() - ($E47 + 5) = 0, $F47,
    BJ47 * (1 - IFERROR(INDEX('Inputs &amp; Assuptions'!$B$13:$B$72, COLUMN() - ($E47 + 5)), 0))
  )
)</f>
        <v>2298.94683950195</v>
      </c>
      <c r="BL47" s="80" t="n">
        <f aca="false" t="array" ref="BL47:BL47">IF(COLUMN() - ($E47 + 5) &lt; 0, 0,
  IF(COLUMN() - ($E47 + 5) = 0, $F47,
    BK47 * (1 - IFERROR(INDEX('Inputs &amp; Assuptions'!$B$13:$B$72, COLUMN() - ($E47 + 5)), 0))
  )
)</f>
        <v>2275.95737110693</v>
      </c>
      <c r="BM47" s="81" t="n">
        <f aca="false" t="array" ref="BM47:BM47">IF(COLUMN() - ($E47 + 5) &lt; 0, 0,
  IF(COLUMN() - ($E47 + 5) = 0, $F47,
    BL47 * (1 - IFERROR(INDEX('Inputs &amp; Assuptions'!$B$13:$B$72, COLUMN() - ($E47 + 5)), 0))
  )
)</f>
        <v>2253.19779739587</v>
      </c>
      <c r="BN47" s="76"/>
    </row>
    <row r="48" customFormat="false" ht="14.25" hidden="false" customHeight="false" outlineLevel="0" collapsed="false">
      <c r="A48" s="29" t="n">
        <f aca="false">A47+1</f>
        <v>43</v>
      </c>
      <c r="B48" s="77" t="n">
        <f aca="false">IF(MOD($A48-1, 12) = 0, $B47 * 1.05, $B47)</f>
        <v>6945.75</v>
      </c>
      <c r="C48" s="78" t="n">
        <f aca="false">$B48*(1-'Inputs &amp; Assuptions'!$B$12)</f>
        <v>4028.535</v>
      </c>
      <c r="E48" s="29" t="n">
        <f aca="false">E47+1</f>
        <v>43</v>
      </c>
      <c r="F48" s="7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 t="n">
        <f aca="false">+$C48</f>
        <v>4028.535</v>
      </c>
      <c r="AW48" s="80" t="n">
        <f aca="false" t="array" ref="AW48:AW48">IF(COLUMN() - ($E48 + 5) &lt; 0, 0,
  IF(COLUMN() - ($E48 + 5) = 0, $F48,
    AV48 * (1 - IFERROR(INDEX('Inputs &amp; Assuptions'!$B$13:$B$72, COLUMN() - ($E48 + 5)), 0))
  )
)</f>
        <v>3605.538825</v>
      </c>
      <c r="AX48" s="80" t="n">
        <f aca="false" t="array" ref="AX48:AX48">IF(COLUMN() - ($E48 + 5) &lt; 0, 0,
  IF(COLUMN() - ($E48 + 5) = 0, $F48,
    AW48 * (1 - IFERROR(INDEX('Inputs &amp; Assuptions'!$B$13:$B$72, COLUMN() - ($E48 + 5)), 0))
  )
)</f>
        <v>3317.095719</v>
      </c>
      <c r="AY48" s="80" t="n">
        <f aca="false" t="array" ref="AY48:AY48">IF(COLUMN() - ($E48 + 5) &lt; 0, 0,
  IF(COLUMN() - ($E48 + 5) = 0, $F48,
    AX48 * (1 - IFERROR(INDEX('Inputs &amp; Assuptions'!$B$13:$B$72, COLUMN() - ($E48 + 5)), 0))
  )
)</f>
        <v>3134.655454455</v>
      </c>
      <c r="AZ48" s="80" t="n">
        <f aca="false" t="array" ref="AZ48:AZ48">IF(COLUMN() - ($E48 + 5) &lt; 0, 0,
  IF(COLUMN() - ($E48 + 5) = 0, $F48,
    AY48 * (1 - IFERROR(INDEX('Inputs &amp; Assuptions'!$B$13:$B$72, COLUMN() - ($E48 + 5)), 0))
  )
)</f>
        <v>2977.92268173225</v>
      </c>
      <c r="BA48" s="80" t="n">
        <f aca="false" t="array" ref="BA48:BA48">IF(COLUMN() - ($E48 + 5) &lt; 0, 0,
  IF(COLUMN() - ($E48 + 5) = 0, $F48,
    AZ48 * (1 - IFERROR(INDEX('Inputs &amp; Assuptions'!$B$13:$B$72, COLUMN() - ($E48 + 5)), 0))
  )
)</f>
        <v>2843.9161610543</v>
      </c>
      <c r="BB48" s="80" t="n">
        <f aca="false" t="array" ref="BB48:BB48">IF(COLUMN() - ($E48 + 5) &lt; 0, 0,
  IF(COLUMN() - ($E48 + 5) = 0, $F48,
    BA48 * (1 - IFERROR(INDEX('Inputs &amp; Assuptions'!$B$13:$B$72, COLUMN() - ($E48 + 5)), 0))
  )
)</f>
        <v>2730.15951461213</v>
      </c>
      <c r="BC48" s="80" t="n">
        <f aca="false" t="array" ref="BC48:BC48">IF(COLUMN() - ($E48 + 5) &lt; 0, 0,
  IF(COLUMN() - ($E48 + 5) = 0, $F48,
    BB48 * (1 - IFERROR(INDEX('Inputs &amp; Assuptions'!$B$13:$B$72, COLUMN() - ($E48 + 5)), 0))
  )
)</f>
        <v>2634.6039316007</v>
      </c>
      <c r="BD48" s="80" t="n">
        <f aca="false" t="array" ref="BD48:BD48">IF(COLUMN() - ($E48 + 5) &lt; 0, 0,
  IF(COLUMN() - ($E48 + 5) = 0, $F48,
    BC48 * (1 - IFERROR(INDEX('Inputs &amp; Assuptions'!$B$13:$B$72, COLUMN() - ($E48 + 5)), 0))
  )
)</f>
        <v>2555.56581365268</v>
      </c>
      <c r="BE48" s="80" t="n">
        <f aca="false" t="array" ref="BE48:BE48">IF(COLUMN() - ($E48 + 5) &lt; 0, 0,
  IF(COLUMN() - ($E48 + 5) = 0, $F48,
    BD48 * (1 - IFERROR(INDEX('Inputs &amp; Assuptions'!$B$13:$B$72, COLUMN() - ($E48 + 5)), 0))
  )
)</f>
        <v>2491.67666831136</v>
      </c>
      <c r="BF48" s="80" t="n">
        <f aca="false" t="array" ref="BF48:BF48">IF(COLUMN() - ($E48 + 5) &lt; 0, 0,
  IF(COLUMN() - ($E48 + 5) = 0, $F48,
    BE48 * (1 - IFERROR(INDEX('Inputs &amp; Assuptions'!$B$13:$B$72, COLUMN() - ($E48 + 5)), 0))
  )
)</f>
        <v>2441.84313494514</v>
      </c>
      <c r="BG48" s="80" t="n">
        <f aca="false" t="array" ref="BG48:BG48">IF(COLUMN() - ($E48 + 5) &lt; 0, 0,
  IF(COLUMN() - ($E48 + 5) = 0, $F48,
    BF48 * (1 - IFERROR(INDEX('Inputs &amp; Assuptions'!$B$13:$B$72, COLUMN() - ($E48 + 5)), 0))
  )
)</f>
        <v>2417.42470359569</v>
      </c>
      <c r="BH48" s="80" t="n">
        <f aca="false" t="array" ref="BH48:BH48">IF(COLUMN() - ($E48 + 5) &lt; 0, 0,
  IF(COLUMN() - ($E48 + 5) = 0, $F48,
    BG48 * (1 - IFERROR(INDEX('Inputs &amp; Assuptions'!$B$13:$B$72, COLUMN() - ($E48 + 5)), 0))
  )
)</f>
        <v>2393.25045655973</v>
      </c>
      <c r="BI48" s="80" t="n">
        <f aca="false" t="array" ref="BI48:BI48">IF(COLUMN() - ($E48 + 5) &lt; 0, 0,
  IF(COLUMN() - ($E48 + 5) = 0, $F48,
    BH48 * (1 - IFERROR(INDEX('Inputs &amp; Assuptions'!$B$13:$B$72, COLUMN() - ($E48 + 5)), 0))
  )
)</f>
        <v>2369.31795199413</v>
      </c>
      <c r="BJ48" s="80" t="n">
        <f aca="false" t="array" ref="BJ48:BJ48">IF(COLUMN() - ($E48 + 5) &lt; 0, 0,
  IF(COLUMN() - ($E48 + 5) = 0, $F48,
    BI48 * (1 - IFERROR(INDEX('Inputs &amp; Assuptions'!$B$13:$B$72, COLUMN() - ($E48 + 5)), 0))
  )
)</f>
        <v>2345.62477247419</v>
      </c>
      <c r="BK48" s="80" t="n">
        <f aca="false" t="array" ref="BK48:BK48">IF(COLUMN() - ($E48 + 5) &lt; 0, 0,
  IF(COLUMN() - ($E48 + 5) = 0, $F48,
    BJ48 * (1 - IFERROR(INDEX('Inputs &amp; Assuptions'!$B$13:$B$72, COLUMN() - ($E48 + 5)), 0))
  )
)</f>
        <v>2322.16852474945</v>
      </c>
      <c r="BL48" s="80" t="n">
        <f aca="false" t="array" ref="BL48:BL48">IF(COLUMN() - ($E48 + 5) &lt; 0, 0,
  IF(COLUMN() - ($E48 + 5) = 0, $F48,
    BK48 * (1 - IFERROR(INDEX('Inputs &amp; Assuptions'!$B$13:$B$72, COLUMN() - ($E48 + 5)), 0))
  )
)</f>
        <v>2298.94683950195</v>
      </c>
      <c r="BM48" s="81" t="n">
        <f aca="false" t="array" ref="BM48:BM48">IF(COLUMN() - ($E48 + 5) &lt; 0, 0,
  IF(COLUMN() - ($E48 + 5) = 0, $F48,
    BL48 * (1 - IFERROR(INDEX('Inputs &amp; Assuptions'!$B$13:$B$72, COLUMN() - ($E48 + 5)), 0))
  )
)</f>
        <v>2275.95737110693</v>
      </c>
      <c r="BN48" s="76"/>
    </row>
    <row r="49" customFormat="false" ht="14.25" hidden="false" customHeight="false" outlineLevel="0" collapsed="false">
      <c r="A49" s="29" t="n">
        <f aca="false">A48+1</f>
        <v>44</v>
      </c>
      <c r="B49" s="77" t="n">
        <f aca="false">IF(MOD($A49-1, 12) = 0, $B48 * 1.05, $B48)</f>
        <v>6945.75</v>
      </c>
      <c r="C49" s="78" t="n">
        <f aca="false">$B49*(1-'Inputs &amp; Assuptions'!$B$12)</f>
        <v>4028.535</v>
      </c>
      <c r="E49" s="29" t="n">
        <f aca="false">E48+1</f>
        <v>44</v>
      </c>
      <c r="F49" s="7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 t="n">
        <f aca="false">+$C49</f>
        <v>4028.535</v>
      </c>
      <c r="AX49" s="80" t="n">
        <f aca="false" t="array" ref="AX49:AX49">IF(COLUMN() - ($E49 + 5) &lt; 0, 0,
  IF(COLUMN() - ($E49 + 5) = 0, $F49,
    AW49 * (1 - IFERROR(INDEX('Inputs &amp; Assuptions'!$B$13:$B$72, COLUMN() - ($E49 + 5)), 0))
  )
)</f>
        <v>3605.538825</v>
      </c>
      <c r="AY49" s="80" t="n">
        <f aca="false" t="array" ref="AY49:AY49">IF(COLUMN() - ($E49 + 5) &lt; 0, 0,
  IF(COLUMN() - ($E49 + 5) = 0, $F49,
    AX49 * (1 - IFERROR(INDEX('Inputs &amp; Assuptions'!$B$13:$B$72, COLUMN() - ($E49 + 5)), 0))
  )
)</f>
        <v>3317.095719</v>
      </c>
      <c r="AZ49" s="80" t="n">
        <f aca="false" t="array" ref="AZ49:AZ49">IF(COLUMN() - ($E49 + 5) &lt; 0, 0,
  IF(COLUMN() - ($E49 + 5) = 0, $F49,
    AY49 * (1 - IFERROR(INDEX('Inputs &amp; Assuptions'!$B$13:$B$72, COLUMN() - ($E49 + 5)), 0))
  )
)</f>
        <v>3134.655454455</v>
      </c>
      <c r="BA49" s="80" t="n">
        <f aca="false" t="array" ref="BA49:BA49">IF(COLUMN() - ($E49 + 5) &lt; 0, 0,
  IF(COLUMN() - ($E49 + 5) = 0, $F49,
    AZ49 * (1 - IFERROR(INDEX('Inputs &amp; Assuptions'!$B$13:$B$72, COLUMN() - ($E49 + 5)), 0))
  )
)</f>
        <v>2977.92268173225</v>
      </c>
      <c r="BB49" s="80" t="n">
        <f aca="false" t="array" ref="BB49:BB49">IF(COLUMN() - ($E49 + 5) &lt; 0, 0,
  IF(COLUMN() - ($E49 + 5) = 0, $F49,
    BA49 * (1 - IFERROR(INDEX('Inputs &amp; Assuptions'!$B$13:$B$72, COLUMN() - ($E49 + 5)), 0))
  )
)</f>
        <v>2843.9161610543</v>
      </c>
      <c r="BC49" s="80" t="n">
        <f aca="false" t="array" ref="BC49:BC49">IF(COLUMN() - ($E49 + 5) &lt; 0, 0,
  IF(COLUMN() - ($E49 + 5) = 0, $F49,
    BB49 * (1 - IFERROR(INDEX('Inputs &amp; Assuptions'!$B$13:$B$72, COLUMN() - ($E49 + 5)), 0))
  )
)</f>
        <v>2730.15951461213</v>
      </c>
      <c r="BD49" s="80" t="n">
        <f aca="false" t="array" ref="BD49:BD49">IF(COLUMN() - ($E49 + 5) &lt; 0, 0,
  IF(COLUMN() - ($E49 + 5) = 0, $F49,
    BC49 * (1 - IFERROR(INDEX('Inputs &amp; Assuptions'!$B$13:$B$72, COLUMN() - ($E49 + 5)), 0))
  )
)</f>
        <v>2634.6039316007</v>
      </c>
      <c r="BE49" s="80" t="n">
        <f aca="false" t="array" ref="BE49:BE49">IF(COLUMN() - ($E49 + 5) &lt; 0, 0,
  IF(COLUMN() - ($E49 + 5) = 0, $F49,
    BD49 * (1 - IFERROR(INDEX('Inputs &amp; Assuptions'!$B$13:$B$72, COLUMN() - ($E49 + 5)), 0))
  )
)</f>
        <v>2555.56581365268</v>
      </c>
      <c r="BF49" s="80" t="n">
        <f aca="false" t="array" ref="BF49:BF49">IF(COLUMN() - ($E49 + 5) &lt; 0, 0,
  IF(COLUMN() - ($E49 + 5) = 0, $F49,
    BE49 * (1 - IFERROR(INDEX('Inputs &amp; Assuptions'!$B$13:$B$72, COLUMN() - ($E49 + 5)), 0))
  )
)</f>
        <v>2491.67666831136</v>
      </c>
      <c r="BG49" s="80" t="n">
        <f aca="false" t="array" ref="BG49:BG49">IF(COLUMN() - ($E49 + 5) &lt; 0, 0,
  IF(COLUMN() - ($E49 + 5) = 0, $F49,
    BF49 * (1 - IFERROR(INDEX('Inputs &amp; Assuptions'!$B$13:$B$72, COLUMN() - ($E49 + 5)), 0))
  )
)</f>
        <v>2441.84313494514</v>
      </c>
      <c r="BH49" s="80" t="n">
        <f aca="false" t="array" ref="BH49:BH49">IF(COLUMN() - ($E49 + 5) &lt; 0, 0,
  IF(COLUMN() - ($E49 + 5) = 0, $F49,
    BG49 * (1 - IFERROR(INDEX('Inputs &amp; Assuptions'!$B$13:$B$72, COLUMN() - ($E49 + 5)), 0))
  )
)</f>
        <v>2417.42470359569</v>
      </c>
      <c r="BI49" s="80" t="n">
        <f aca="false" t="array" ref="BI49:BI49">IF(COLUMN() - ($E49 + 5) &lt; 0, 0,
  IF(COLUMN() - ($E49 + 5) = 0, $F49,
    BH49 * (1 - IFERROR(INDEX('Inputs &amp; Assuptions'!$B$13:$B$72, COLUMN() - ($E49 + 5)), 0))
  )
)</f>
        <v>2393.25045655973</v>
      </c>
      <c r="BJ49" s="80" t="n">
        <f aca="false" t="array" ref="BJ49:BJ49">IF(COLUMN() - ($E49 + 5) &lt; 0, 0,
  IF(COLUMN() - ($E49 + 5) = 0, $F49,
    BI49 * (1 - IFERROR(INDEX('Inputs &amp; Assuptions'!$B$13:$B$72, COLUMN() - ($E49 + 5)), 0))
  )
)</f>
        <v>2369.31795199413</v>
      </c>
      <c r="BK49" s="80" t="n">
        <f aca="false" t="array" ref="BK49:BK49">IF(COLUMN() - ($E49 + 5) &lt; 0, 0,
  IF(COLUMN() - ($E49 + 5) = 0, $F49,
    BJ49 * (1 - IFERROR(INDEX('Inputs &amp; Assuptions'!$B$13:$B$72, COLUMN() - ($E49 + 5)), 0))
  )
)</f>
        <v>2345.62477247419</v>
      </c>
      <c r="BL49" s="80" t="n">
        <f aca="false" t="array" ref="BL49:BL49">IF(COLUMN() - ($E49 + 5) &lt; 0, 0,
  IF(COLUMN() - ($E49 + 5) = 0, $F49,
    BK49 * (1 - IFERROR(INDEX('Inputs &amp; Assuptions'!$B$13:$B$72, COLUMN() - ($E49 + 5)), 0))
  )
)</f>
        <v>2322.16852474945</v>
      </c>
      <c r="BM49" s="81" t="n">
        <f aca="false" t="array" ref="BM49:BM49">IF(COLUMN() - ($E49 + 5) &lt; 0, 0,
  IF(COLUMN() - ($E49 + 5) = 0, $F49,
    BL49 * (1 - IFERROR(INDEX('Inputs &amp; Assuptions'!$B$13:$B$72, COLUMN() - ($E49 + 5)), 0))
  )
)</f>
        <v>2298.94683950195</v>
      </c>
      <c r="BN49" s="76"/>
    </row>
    <row r="50" customFormat="false" ht="14.25" hidden="false" customHeight="false" outlineLevel="0" collapsed="false">
      <c r="A50" s="29" t="n">
        <f aca="false">A49+1</f>
        <v>45</v>
      </c>
      <c r="B50" s="77" t="n">
        <f aca="false">IF(MOD($A50-1, 12) = 0, $B49 * 1.05, $B49)</f>
        <v>6945.75</v>
      </c>
      <c r="C50" s="78" t="n">
        <f aca="false">$B50*(1-'Inputs &amp; Assuptions'!$B$12)</f>
        <v>4028.535</v>
      </c>
      <c r="E50" s="29" t="n">
        <f aca="false">E49+1</f>
        <v>45</v>
      </c>
      <c r="F50" s="79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 t="n">
        <f aca="false">+$C50</f>
        <v>4028.535</v>
      </c>
      <c r="AY50" s="80" t="n">
        <f aca="false" t="array" ref="AY50:AY50">IF(COLUMN() - ($E50 + 5) &lt; 0, 0,
  IF(COLUMN() - ($E50 + 5) = 0, $F50,
    AX50 * (1 - IFERROR(INDEX('Inputs &amp; Assuptions'!$B$13:$B$72, COLUMN() - ($E50 + 5)), 0))
  )
)</f>
        <v>3605.538825</v>
      </c>
      <c r="AZ50" s="80" t="n">
        <f aca="false" t="array" ref="AZ50:AZ50">IF(COLUMN() - ($E50 + 5) &lt; 0, 0,
  IF(COLUMN() - ($E50 + 5) = 0, $F50,
    AY50 * (1 - IFERROR(INDEX('Inputs &amp; Assuptions'!$B$13:$B$72, COLUMN() - ($E50 + 5)), 0))
  )
)</f>
        <v>3317.095719</v>
      </c>
      <c r="BA50" s="80" t="n">
        <f aca="false" t="array" ref="BA50:BA50">IF(COLUMN() - ($E50 + 5) &lt; 0, 0,
  IF(COLUMN() - ($E50 + 5) = 0, $F50,
    AZ50 * (1 - IFERROR(INDEX('Inputs &amp; Assuptions'!$B$13:$B$72, COLUMN() - ($E50 + 5)), 0))
  )
)</f>
        <v>3134.655454455</v>
      </c>
      <c r="BB50" s="80" t="n">
        <f aca="false" t="array" ref="BB50:BB50">IF(COLUMN() - ($E50 + 5) &lt; 0, 0,
  IF(COLUMN() - ($E50 + 5) = 0, $F50,
    BA50 * (1 - IFERROR(INDEX('Inputs &amp; Assuptions'!$B$13:$B$72, COLUMN() - ($E50 + 5)), 0))
  )
)</f>
        <v>2977.92268173225</v>
      </c>
      <c r="BC50" s="80" t="n">
        <f aca="false" t="array" ref="BC50:BC50">IF(COLUMN() - ($E50 + 5) &lt; 0, 0,
  IF(COLUMN() - ($E50 + 5) = 0, $F50,
    BB50 * (1 - IFERROR(INDEX('Inputs &amp; Assuptions'!$B$13:$B$72, COLUMN() - ($E50 + 5)), 0))
  )
)</f>
        <v>2843.9161610543</v>
      </c>
      <c r="BD50" s="80" t="n">
        <f aca="false" t="array" ref="BD50:BD50">IF(COLUMN() - ($E50 + 5) &lt; 0, 0,
  IF(COLUMN() - ($E50 + 5) = 0, $F50,
    BC50 * (1 - IFERROR(INDEX('Inputs &amp; Assuptions'!$B$13:$B$72, COLUMN() - ($E50 + 5)), 0))
  )
)</f>
        <v>2730.15951461213</v>
      </c>
      <c r="BE50" s="80" t="n">
        <f aca="false" t="array" ref="BE50:BE50">IF(COLUMN() - ($E50 + 5) &lt; 0, 0,
  IF(COLUMN() - ($E50 + 5) = 0, $F50,
    BD50 * (1 - IFERROR(INDEX('Inputs &amp; Assuptions'!$B$13:$B$72, COLUMN() - ($E50 + 5)), 0))
  )
)</f>
        <v>2634.6039316007</v>
      </c>
      <c r="BF50" s="80" t="n">
        <f aca="false" t="array" ref="BF50:BF50">IF(COLUMN() - ($E50 + 5) &lt; 0, 0,
  IF(COLUMN() - ($E50 + 5) = 0, $F50,
    BE50 * (1 - IFERROR(INDEX('Inputs &amp; Assuptions'!$B$13:$B$72, COLUMN() - ($E50 + 5)), 0))
  )
)</f>
        <v>2555.56581365268</v>
      </c>
      <c r="BG50" s="80" t="n">
        <f aca="false" t="array" ref="BG50:BG50">IF(COLUMN() - ($E50 + 5) &lt; 0, 0,
  IF(COLUMN() - ($E50 + 5) = 0, $F50,
    BF50 * (1 - IFERROR(INDEX('Inputs &amp; Assuptions'!$B$13:$B$72, COLUMN() - ($E50 + 5)), 0))
  )
)</f>
        <v>2491.67666831136</v>
      </c>
      <c r="BH50" s="80" t="n">
        <f aca="false" t="array" ref="BH50:BH50">IF(COLUMN() - ($E50 + 5) &lt; 0, 0,
  IF(COLUMN() - ($E50 + 5) = 0, $F50,
    BG50 * (1 - IFERROR(INDEX('Inputs &amp; Assuptions'!$B$13:$B$72, COLUMN() - ($E50 + 5)), 0))
  )
)</f>
        <v>2441.84313494514</v>
      </c>
      <c r="BI50" s="80" t="n">
        <f aca="false" t="array" ref="BI50:BI50">IF(COLUMN() - ($E50 + 5) &lt; 0, 0,
  IF(COLUMN() - ($E50 + 5) = 0, $F50,
    BH50 * (1 - IFERROR(INDEX('Inputs &amp; Assuptions'!$B$13:$B$72, COLUMN() - ($E50 + 5)), 0))
  )
)</f>
        <v>2417.42470359569</v>
      </c>
      <c r="BJ50" s="80" t="n">
        <f aca="false" t="array" ref="BJ50:BJ50">IF(COLUMN() - ($E50 + 5) &lt; 0, 0,
  IF(COLUMN() - ($E50 + 5) = 0, $F50,
    BI50 * (1 - IFERROR(INDEX('Inputs &amp; Assuptions'!$B$13:$B$72, COLUMN() - ($E50 + 5)), 0))
  )
)</f>
        <v>2393.25045655973</v>
      </c>
      <c r="BK50" s="80" t="n">
        <f aca="false" t="array" ref="BK50:BK50">IF(COLUMN() - ($E50 + 5) &lt; 0, 0,
  IF(COLUMN() - ($E50 + 5) = 0, $F50,
    BJ50 * (1 - IFERROR(INDEX('Inputs &amp; Assuptions'!$B$13:$B$72, COLUMN() - ($E50 + 5)), 0))
  )
)</f>
        <v>2369.31795199413</v>
      </c>
      <c r="BL50" s="80" t="n">
        <f aca="false" t="array" ref="BL50:BL50">IF(COLUMN() - ($E50 + 5) &lt; 0, 0,
  IF(COLUMN() - ($E50 + 5) = 0, $F50,
    BK50 * (1 - IFERROR(INDEX('Inputs &amp; Assuptions'!$B$13:$B$72, COLUMN() - ($E50 + 5)), 0))
  )
)</f>
        <v>2345.62477247419</v>
      </c>
      <c r="BM50" s="81" t="n">
        <f aca="false" t="array" ref="BM50:BM50">IF(COLUMN() - ($E50 + 5) &lt; 0, 0,
  IF(COLUMN() - ($E50 + 5) = 0, $F50,
    BL50 * (1 - IFERROR(INDEX('Inputs &amp; Assuptions'!$B$13:$B$72, COLUMN() - ($E50 + 5)), 0))
  )
)</f>
        <v>2322.16852474945</v>
      </c>
      <c r="BN50" s="76"/>
    </row>
    <row r="51" customFormat="false" ht="14.25" hidden="false" customHeight="false" outlineLevel="0" collapsed="false">
      <c r="A51" s="29" t="n">
        <f aca="false">A50+1</f>
        <v>46</v>
      </c>
      <c r="B51" s="77" t="n">
        <f aca="false">IF(MOD($A51-1, 12) = 0, $B50 * 1.05, $B50)</f>
        <v>6945.75</v>
      </c>
      <c r="C51" s="78" t="n">
        <f aca="false">$B51*(1-'Inputs &amp; Assuptions'!$B$12)</f>
        <v>4028.535</v>
      </c>
      <c r="E51" s="29" t="n">
        <f aca="false">E50+1</f>
        <v>46</v>
      </c>
      <c r="F51" s="79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 t="n">
        <f aca="false">+$C51</f>
        <v>4028.535</v>
      </c>
      <c r="AZ51" s="80" t="n">
        <f aca="false" t="array" ref="AZ51:AZ51">IF(COLUMN() - ($E51 + 5) &lt; 0, 0,
  IF(COLUMN() - ($E51 + 5) = 0, $F51,
    AY51 * (1 - IFERROR(INDEX('Inputs &amp; Assuptions'!$B$13:$B$72, COLUMN() - ($E51 + 5)), 0))
  )
)</f>
        <v>3605.538825</v>
      </c>
      <c r="BA51" s="80" t="n">
        <f aca="false" t="array" ref="BA51:BA51">IF(COLUMN() - ($E51 + 5) &lt; 0, 0,
  IF(COLUMN() - ($E51 + 5) = 0, $F51,
    AZ51 * (1 - IFERROR(INDEX('Inputs &amp; Assuptions'!$B$13:$B$72, COLUMN() - ($E51 + 5)), 0))
  )
)</f>
        <v>3317.095719</v>
      </c>
      <c r="BB51" s="80" t="n">
        <f aca="false" t="array" ref="BB51:BB51">IF(COLUMN() - ($E51 + 5) &lt; 0, 0,
  IF(COLUMN() - ($E51 + 5) = 0, $F51,
    BA51 * (1 - IFERROR(INDEX('Inputs &amp; Assuptions'!$B$13:$B$72, COLUMN() - ($E51 + 5)), 0))
  )
)</f>
        <v>3134.655454455</v>
      </c>
      <c r="BC51" s="80" t="n">
        <f aca="false" t="array" ref="BC51:BC51">IF(COLUMN() - ($E51 + 5) &lt; 0, 0,
  IF(COLUMN() - ($E51 + 5) = 0, $F51,
    BB51 * (1 - IFERROR(INDEX('Inputs &amp; Assuptions'!$B$13:$B$72, COLUMN() - ($E51 + 5)), 0))
  )
)</f>
        <v>2977.92268173225</v>
      </c>
      <c r="BD51" s="80" t="n">
        <f aca="false" t="array" ref="BD51:BD51">IF(COLUMN() - ($E51 + 5) &lt; 0, 0,
  IF(COLUMN() - ($E51 + 5) = 0, $F51,
    BC51 * (1 - IFERROR(INDEX('Inputs &amp; Assuptions'!$B$13:$B$72, COLUMN() - ($E51 + 5)), 0))
  )
)</f>
        <v>2843.9161610543</v>
      </c>
      <c r="BE51" s="80" t="n">
        <f aca="false" t="array" ref="BE51:BE51">IF(COLUMN() - ($E51 + 5) &lt; 0, 0,
  IF(COLUMN() - ($E51 + 5) = 0, $F51,
    BD51 * (1 - IFERROR(INDEX('Inputs &amp; Assuptions'!$B$13:$B$72, COLUMN() - ($E51 + 5)), 0))
  )
)</f>
        <v>2730.15951461213</v>
      </c>
      <c r="BF51" s="80" t="n">
        <f aca="false" t="array" ref="BF51:BF51">IF(COLUMN() - ($E51 + 5) &lt; 0, 0,
  IF(COLUMN() - ($E51 + 5) = 0, $F51,
    BE51 * (1 - IFERROR(INDEX('Inputs &amp; Assuptions'!$B$13:$B$72, COLUMN() - ($E51 + 5)), 0))
  )
)</f>
        <v>2634.6039316007</v>
      </c>
      <c r="BG51" s="80" t="n">
        <f aca="false" t="array" ref="BG51:BG51">IF(COLUMN() - ($E51 + 5) &lt; 0, 0,
  IF(COLUMN() - ($E51 + 5) = 0, $F51,
    BF51 * (1 - IFERROR(INDEX('Inputs &amp; Assuptions'!$B$13:$B$72, COLUMN() - ($E51 + 5)), 0))
  )
)</f>
        <v>2555.56581365268</v>
      </c>
      <c r="BH51" s="80" t="n">
        <f aca="false" t="array" ref="BH51:BH51">IF(COLUMN() - ($E51 + 5) &lt; 0, 0,
  IF(COLUMN() - ($E51 + 5) = 0, $F51,
    BG51 * (1 - IFERROR(INDEX('Inputs &amp; Assuptions'!$B$13:$B$72, COLUMN() - ($E51 + 5)), 0))
  )
)</f>
        <v>2491.67666831136</v>
      </c>
      <c r="BI51" s="80" t="n">
        <f aca="false" t="array" ref="BI51:BI51">IF(COLUMN() - ($E51 + 5) &lt; 0, 0,
  IF(COLUMN() - ($E51 + 5) = 0, $F51,
    BH51 * (1 - IFERROR(INDEX('Inputs &amp; Assuptions'!$B$13:$B$72, COLUMN() - ($E51 + 5)), 0))
  )
)</f>
        <v>2441.84313494514</v>
      </c>
      <c r="BJ51" s="80" t="n">
        <f aca="false" t="array" ref="BJ51:BJ51">IF(COLUMN() - ($E51 + 5) &lt; 0, 0,
  IF(COLUMN() - ($E51 + 5) = 0, $F51,
    BI51 * (1 - IFERROR(INDEX('Inputs &amp; Assuptions'!$B$13:$B$72, COLUMN() - ($E51 + 5)), 0))
  )
)</f>
        <v>2417.42470359569</v>
      </c>
      <c r="BK51" s="80" t="n">
        <f aca="false" t="array" ref="BK51:BK51">IF(COLUMN() - ($E51 + 5) &lt; 0, 0,
  IF(COLUMN() - ($E51 + 5) = 0, $F51,
    BJ51 * (1 - IFERROR(INDEX('Inputs &amp; Assuptions'!$B$13:$B$72, COLUMN() - ($E51 + 5)), 0))
  )
)</f>
        <v>2393.25045655973</v>
      </c>
      <c r="BL51" s="80" t="n">
        <f aca="false" t="array" ref="BL51:BL51">IF(COLUMN() - ($E51 + 5) &lt; 0, 0,
  IF(COLUMN() - ($E51 + 5) = 0, $F51,
    BK51 * (1 - IFERROR(INDEX('Inputs &amp; Assuptions'!$B$13:$B$72, COLUMN() - ($E51 + 5)), 0))
  )
)</f>
        <v>2369.31795199413</v>
      </c>
      <c r="BM51" s="81" t="n">
        <f aca="false" t="array" ref="BM51:BM51">IF(COLUMN() - ($E51 + 5) &lt; 0, 0,
  IF(COLUMN() - ($E51 + 5) = 0, $F51,
    BL51 * (1 - IFERROR(INDEX('Inputs &amp; Assuptions'!$B$13:$B$72, COLUMN() - ($E51 + 5)), 0))
  )
)</f>
        <v>2345.62477247419</v>
      </c>
      <c r="BN51" s="76"/>
    </row>
    <row r="52" customFormat="false" ht="14.25" hidden="false" customHeight="false" outlineLevel="0" collapsed="false">
      <c r="A52" s="29" t="n">
        <f aca="false">A51+1</f>
        <v>47</v>
      </c>
      <c r="B52" s="77" t="n">
        <f aca="false">IF(MOD($A52-1, 12) = 0, $B51 * 1.05, $B51)</f>
        <v>6945.75</v>
      </c>
      <c r="C52" s="78" t="n">
        <f aca="false">$B52*(1-'Inputs &amp; Assuptions'!$B$12)</f>
        <v>4028.535</v>
      </c>
      <c r="E52" s="29" t="n">
        <f aca="false">E51+1</f>
        <v>47</v>
      </c>
      <c r="F52" s="79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 t="n">
        <f aca="false">+$C52</f>
        <v>4028.535</v>
      </c>
      <c r="BA52" s="80" t="n">
        <f aca="false" t="array" ref="BA52:BA52">IF(COLUMN() - ($E52 + 5) &lt; 0, 0,
  IF(COLUMN() - ($E52 + 5) = 0, $F52,
    AZ52 * (1 - IFERROR(INDEX('Inputs &amp; Assuptions'!$B$13:$B$72, COLUMN() - ($E52 + 5)), 0))
  )
)</f>
        <v>3605.538825</v>
      </c>
      <c r="BB52" s="80" t="n">
        <f aca="false" t="array" ref="BB52:BB52">IF(COLUMN() - ($E52 + 5) &lt; 0, 0,
  IF(COLUMN() - ($E52 + 5) = 0, $F52,
    BA52 * (1 - IFERROR(INDEX('Inputs &amp; Assuptions'!$B$13:$B$72, COLUMN() - ($E52 + 5)), 0))
  )
)</f>
        <v>3317.095719</v>
      </c>
      <c r="BC52" s="80" t="n">
        <f aca="false" t="array" ref="BC52:BC52">IF(COLUMN() - ($E52 + 5) &lt; 0, 0,
  IF(COLUMN() - ($E52 + 5) = 0, $F52,
    BB52 * (1 - IFERROR(INDEX('Inputs &amp; Assuptions'!$B$13:$B$72, COLUMN() - ($E52 + 5)), 0))
  )
)</f>
        <v>3134.655454455</v>
      </c>
      <c r="BD52" s="80" t="n">
        <f aca="false" t="array" ref="BD52:BD52">IF(COLUMN() - ($E52 + 5) &lt; 0, 0,
  IF(COLUMN() - ($E52 + 5) = 0, $F52,
    BC52 * (1 - IFERROR(INDEX('Inputs &amp; Assuptions'!$B$13:$B$72, COLUMN() - ($E52 + 5)), 0))
  )
)</f>
        <v>2977.92268173225</v>
      </c>
      <c r="BE52" s="80" t="n">
        <f aca="false" t="array" ref="BE52:BE52">IF(COLUMN() - ($E52 + 5) &lt; 0, 0,
  IF(COLUMN() - ($E52 + 5) = 0, $F52,
    BD52 * (1 - IFERROR(INDEX('Inputs &amp; Assuptions'!$B$13:$B$72, COLUMN() - ($E52 + 5)), 0))
  )
)</f>
        <v>2843.9161610543</v>
      </c>
      <c r="BF52" s="80" t="n">
        <f aca="false" t="array" ref="BF52:BF52">IF(COLUMN() - ($E52 + 5) &lt; 0, 0,
  IF(COLUMN() - ($E52 + 5) = 0, $F52,
    BE52 * (1 - IFERROR(INDEX('Inputs &amp; Assuptions'!$B$13:$B$72, COLUMN() - ($E52 + 5)), 0))
  )
)</f>
        <v>2730.15951461213</v>
      </c>
      <c r="BG52" s="80" t="n">
        <f aca="false" t="array" ref="BG52:BG52">IF(COLUMN() - ($E52 + 5) &lt; 0, 0,
  IF(COLUMN() - ($E52 + 5) = 0, $F52,
    BF52 * (1 - IFERROR(INDEX('Inputs &amp; Assuptions'!$B$13:$B$72, COLUMN() - ($E52 + 5)), 0))
  )
)</f>
        <v>2634.6039316007</v>
      </c>
      <c r="BH52" s="80" t="n">
        <f aca="false" t="array" ref="BH52:BH52">IF(COLUMN() - ($E52 + 5) &lt; 0, 0,
  IF(COLUMN() - ($E52 + 5) = 0, $F52,
    BG52 * (1 - IFERROR(INDEX('Inputs &amp; Assuptions'!$B$13:$B$72, COLUMN() - ($E52 + 5)), 0))
  )
)</f>
        <v>2555.56581365268</v>
      </c>
      <c r="BI52" s="80" t="n">
        <f aca="false" t="array" ref="BI52:BI52">IF(COLUMN() - ($E52 + 5) &lt; 0, 0,
  IF(COLUMN() - ($E52 + 5) = 0, $F52,
    BH52 * (1 - IFERROR(INDEX('Inputs &amp; Assuptions'!$B$13:$B$72, COLUMN() - ($E52 + 5)), 0))
  )
)</f>
        <v>2491.67666831136</v>
      </c>
      <c r="BJ52" s="80" t="n">
        <f aca="false" t="array" ref="BJ52:BJ52">IF(COLUMN() - ($E52 + 5) &lt; 0, 0,
  IF(COLUMN() - ($E52 + 5) = 0, $F52,
    BI52 * (1 - IFERROR(INDEX('Inputs &amp; Assuptions'!$B$13:$B$72, COLUMN() - ($E52 + 5)), 0))
  )
)</f>
        <v>2441.84313494514</v>
      </c>
      <c r="BK52" s="80" t="n">
        <f aca="false" t="array" ref="BK52:BK52">IF(COLUMN() - ($E52 + 5) &lt; 0, 0,
  IF(COLUMN() - ($E52 + 5) = 0, $F52,
    BJ52 * (1 - IFERROR(INDEX('Inputs &amp; Assuptions'!$B$13:$B$72, COLUMN() - ($E52 + 5)), 0))
  )
)</f>
        <v>2417.42470359569</v>
      </c>
      <c r="BL52" s="80" t="n">
        <f aca="false" t="array" ref="BL52:BL52">IF(COLUMN() - ($E52 + 5) &lt; 0, 0,
  IF(COLUMN() - ($E52 + 5) = 0, $F52,
    BK52 * (1 - IFERROR(INDEX('Inputs &amp; Assuptions'!$B$13:$B$72, COLUMN() - ($E52 + 5)), 0))
  )
)</f>
        <v>2393.25045655973</v>
      </c>
      <c r="BM52" s="81" t="n">
        <f aca="false" t="array" ref="BM52:BM52">IF(COLUMN() - ($E52 + 5) &lt; 0, 0,
  IF(COLUMN() - ($E52 + 5) = 0, $F52,
    BL52 * (1 - IFERROR(INDEX('Inputs &amp; Assuptions'!$B$13:$B$72, COLUMN() - ($E52 + 5)), 0))
  )
)</f>
        <v>2369.31795199413</v>
      </c>
      <c r="BN52" s="76"/>
    </row>
    <row r="53" customFormat="false" ht="14.25" hidden="false" customHeight="false" outlineLevel="0" collapsed="false">
      <c r="A53" s="29" t="n">
        <f aca="false">A52+1</f>
        <v>48</v>
      </c>
      <c r="B53" s="77" t="n">
        <f aca="false">IF(MOD($A53-1, 12) = 0, $B52 * 1.05, $B52)</f>
        <v>6945.75</v>
      </c>
      <c r="C53" s="78" t="n">
        <f aca="false">$B53*(1-'Inputs &amp; Assuptions'!$B$12)</f>
        <v>4028.535</v>
      </c>
      <c r="E53" s="29" t="n">
        <f aca="false">E52+1</f>
        <v>48</v>
      </c>
      <c r="F53" s="79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 t="n">
        <f aca="false">+$C53</f>
        <v>4028.535</v>
      </c>
      <c r="BB53" s="80" t="n">
        <f aca="false" t="array" ref="BB53:BB53">IF(COLUMN() - ($E53 + 5) &lt; 0, 0,
  IF(COLUMN() - ($E53 + 5) = 0, $F53,
    BA53 * (1 - IFERROR(INDEX('Inputs &amp; Assuptions'!$B$13:$B$72, COLUMN() - ($E53 + 5)), 0))
  )
)</f>
        <v>3605.538825</v>
      </c>
      <c r="BC53" s="80" t="n">
        <f aca="false" t="array" ref="BC53:BC53">IF(COLUMN() - ($E53 + 5) &lt; 0, 0,
  IF(COLUMN() - ($E53 + 5) = 0, $F53,
    BB53 * (1 - IFERROR(INDEX('Inputs &amp; Assuptions'!$B$13:$B$72, COLUMN() - ($E53 + 5)), 0))
  )
)</f>
        <v>3317.095719</v>
      </c>
      <c r="BD53" s="80" t="n">
        <f aca="false" t="array" ref="BD53:BD53">IF(COLUMN() - ($E53 + 5) &lt; 0, 0,
  IF(COLUMN() - ($E53 + 5) = 0, $F53,
    BC53 * (1 - IFERROR(INDEX('Inputs &amp; Assuptions'!$B$13:$B$72, COLUMN() - ($E53 + 5)), 0))
  )
)</f>
        <v>3134.655454455</v>
      </c>
      <c r="BE53" s="80" t="n">
        <f aca="false" t="array" ref="BE53:BE53">IF(COLUMN() - ($E53 + 5) &lt; 0, 0,
  IF(COLUMN() - ($E53 + 5) = 0, $F53,
    BD53 * (1 - IFERROR(INDEX('Inputs &amp; Assuptions'!$B$13:$B$72, COLUMN() - ($E53 + 5)), 0))
  )
)</f>
        <v>2977.92268173225</v>
      </c>
      <c r="BF53" s="80" t="n">
        <f aca="false" t="array" ref="BF53:BF53">IF(COLUMN() - ($E53 + 5) &lt; 0, 0,
  IF(COLUMN() - ($E53 + 5) = 0, $F53,
    BE53 * (1 - IFERROR(INDEX('Inputs &amp; Assuptions'!$B$13:$B$72, COLUMN() - ($E53 + 5)), 0))
  )
)</f>
        <v>2843.9161610543</v>
      </c>
      <c r="BG53" s="80" t="n">
        <f aca="false" t="array" ref="BG53:BG53">IF(COLUMN() - ($E53 + 5) &lt; 0, 0,
  IF(COLUMN() - ($E53 + 5) = 0, $F53,
    BF53 * (1 - IFERROR(INDEX('Inputs &amp; Assuptions'!$B$13:$B$72, COLUMN() - ($E53 + 5)), 0))
  )
)</f>
        <v>2730.15951461213</v>
      </c>
      <c r="BH53" s="80" t="n">
        <f aca="false" t="array" ref="BH53:BH53">IF(COLUMN() - ($E53 + 5) &lt; 0, 0,
  IF(COLUMN() - ($E53 + 5) = 0, $F53,
    BG53 * (1 - IFERROR(INDEX('Inputs &amp; Assuptions'!$B$13:$B$72, COLUMN() - ($E53 + 5)), 0))
  )
)</f>
        <v>2634.6039316007</v>
      </c>
      <c r="BI53" s="80" t="n">
        <f aca="false" t="array" ref="BI53:BI53">IF(COLUMN() - ($E53 + 5) &lt; 0, 0,
  IF(COLUMN() - ($E53 + 5) = 0, $F53,
    BH53 * (1 - IFERROR(INDEX('Inputs &amp; Assuptions'!$B$13:$B$72, COLUMN() - ($E53 + 5)), 0))
  )
)</f>
        <v>2555.56581365268</v>
      </c>
      <c r="BJ53" s="80" t="n">
        <f aca="false" t="array" ref="BJ53:BJ53">IF(COLUMN() - ($E53 + 5) &lt; 0, 0,
  IF(COLUMN() - ($E53 + 5) = 0, $F53,
    BI53 * (1 - IFERROR(INDEX('Inputs &amp; Assuptions'!$B$13:$B$72, COLUMN() - ($E53 + 5)), 0))
  )
)</f>
        <v>2491.67666831136</v>
      </c>
      <c r="BK53" s="80" t="n">
        <f aca="false" t="array" ref="BK53:BK53">IF(COLUMN() - ($E53 + 5) &lt; 0, 0,
  IF(COLUMN() - ($E53 + 5) = 0, $F53,
    BJ53 * (1 - IFERROR(INDEX('Inputs &amp; Assuptions'!$B$13:$B$72, COLUMN() - ($E53 + 5)), 0))
  )
)</f>
        <v>2441.84313494514</v>
      </c>
      <c r="BL53" s="80" t="n">
        <f aca="false" t="array" ref="BL53:BL53">IF(COLUMN() - ($E53 + 5) &lt; 0, 0,
  IF(COLUMN() - ($E53 + 5) = 0, $F53,
    BK53 * (1 - IFERROR(INDEX('Inputs &amp; Assuptions'!$B$13:$B$72, COLUMN() - ($E53 + 5)), 0))
  )
)</f>
        <v>2417.42470359569</v>
      </c>
      <c r="BM53" s="81" t="n">
        <f aca="false" t="array" ref="BM53:BM53">IF(COLUMN() - ($E53 + 5) &lt; 0, 0,
  IF(COLUMN() - ($E53 + 5) = 0, $F53,
    BL53 * (1 - IFERROR(INDEX('Inputs &amp; Assuptions'!$B$13:$B$72, COLUMN() - ($E53 + 5)), 0))
  )
)</f>
        <v>2393.25045655973</v>
      </c>
      <c r="BN53" s="76"/>
    </row>
    <row r="54" customFormat="false" ht="14.25" hidden="false" customHeight="false" outlineLevel="0" collapsed="false">
      <c r="A54" s="29" t="n">
        <f aca="false">A53+1</f>
        <v>49</v>
      </c>
      <c r="B54" s="77" t="n">
        <f aca="false">IF(MOD($A54-1, 12) = 0, $B53 * 1.05, $B53)</f>
        <v>7293.0375</v>
      </c>
      <c r="C54" s="78" t="n">
        <f aca="false">$B54*(1-'Inputs &amp; Assuptions'!$B$12)</f>
        <v>4229.96175</v>
      </c>
      <c r="E54" s="29" t="n">
        <f aca="false">E53+1</f>
        <v>49</v>
      </c>
      <c r="F54" s="79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 t="n">
        <f aca="false">+$C54</f>
        <v>4229.96175</v>
      </c>
      <c r="BC54" s="80" t="n">
        <f aca="false" t="array" ref="BC54:BC54">IF(COLUMN() - ($E54 + 5) &lt; 0, 0,
  IF(COLUMN() - ($E54 + 5) = 0, $F54,
    BB54 * (1 - IFERROR(INDEX('Inputs &amp; Assuptions'!$B$13:$B$72, COLUMN() - ($E54 + 5)), 0))
  )
)</f>
        <v>3785.81576625</v>
      </c>
      <c r="BD54" s="80" t="n">
        <f aca="false" t="array" ref="BD54:BD54">IF(COLUMN() - ($E54 + 5) &lt; 0, 0,
  IF(COLUMN() - ($E54 + 5) = 0, $F54,
    BC54 * (1 - IFERROR(INDEX('Inputs &amp; Assuptions'!$B$13:$B$72, COLUMN() - ($E54 + 5)), 0))
  )
)</f>
        <v>3482.95050495</v>
      </c>
      <c r="BE54" s="80" t="n">
        <f aca="false" t="array" ref="BE54:BE54">IF(COLUMN() - ($E54 + 5) &lt; 0, 0,
  IF(COLUMN() - ($E54 + 5) = 0, $F54,
    BD54 * (1 - IFERROR(INDEX('Inputs &amp; Assuptions'!$B$13:$B$72, COLUMN() - ($E54 + 5)), 0))
  )
)</f>
        <v>3291.38822717775</v>
      </c>
      <c r="BF54" s="80" t="n">
        <f aca="false" t="array" ref="BF54:BF54">IF(COLUMN() - ($E54 + 5) &lt; 0, 0,
  IF(COLUMN() - ($E54 + 5) = 0, $F54,
    BE54 * (1 - IFERROR(INDEX('Inputs &amp; Assuptions'!$B$13:$B$72, COLUMN() - ($E54 + 5)), 0))
  )
)</f>
        <v>3126.81881581886</v>
      </c>
      <c r="BG54" s="80" t="n">
        <f aca="false" t="array" ref="BG54:BG54">IF(COLUMN() - ($E54 + 5) &lt; 0, 0,
  IF(COLUMN() - ($E54 + 5) = 0, $F54,
    BF54 * (1 - IFERROR(INDEX('Inputs &amp; Assuptions'!$B$13:$B$72, COLUMN() - ($E54 + 5)), 0))
  )
)</f>
        <v>2986.11196910701</v>
      </c>
      <c r="BH54" s="80" t="n">
        <f aca="false" t="array" ref="BH54:BH54">IF(COLUMN() - ($E54 + 5) &lt; 0, 0,
  IF(COLUMN() - ($E54 + 5) = 0, $F54,
    BG54 * (1 - IFERROR(INDEX('Inputs &amp; Assuptions'!$B$13:$B$72, COLUMN() - ($E54 + 5)), 0))
  )
)</f>
        <v>2866.66749034273</v>
      </c>
      <c r="BI54" s="80" t="n">
        <f aca="false" t="array" ref="BI54:BI54">IF(COLUMN() - ($E54 + 5) &lt; 0, 0,
  IF(COLUMN() - ($E54 + 5) = 0, $F54,
    BH54 * (1 - IFERROR(INDEX('Inputs &amp; Assuptions'!$B$13:$B$72, COLUMN() - ($E54 + 5)), 0))
  )
)</f>
        <v>2766.33412818074</v>
      </c>
      <c r="BJ54" s="80" t="n">
        <f aca="false" t="array" ref="BJ54:BJ54">IF(COLUMN() - ($E54 + 5) &lt; 0, 0,
  IF(COLUMN() - ($E54 + 5) = 0, $F54,
    BI54 * (1 - IFERROR(INDEX('Inputs &amp; Assuptions'!$B$13:$B$72, COLUMN() - ($E54 + 5)), 0))
  )
)</f>
        <v>2683.34410433532</v>
      </c>
      <c r="BK54" s="80" t="n">
        <f aca="false" t="array" ref="BK54:BK54">IF(COLUMN() - ($E54 + 5) &lt; 0, 0,
  IF(COLUMN() - ($E54 + 5) = 0, $F54,
    BJ54 * (1 - IFERROR(INDEX('Inputs &amp; Assuptions'!$B$13:$B$72, COLUMN() - ($E54 + 5)), 0))
  )
)</f>
        <v>2616.26050172693</v>
      </c>
      <c r="BL54" s="80" t="n">
        <f aca="false" t="array" ref="BL54:BL54">IF(COLUMN() - ($E54 + 5) &lt; 0, 0,
  IF(COLUMN() - ($E54 + 5) = 0, $F54,
    BK54 * (1 - IFERROR(INDEX('Inputs &amp; Assuptions'!$B$13:$B$72, COLUMN() - ($E54 + 5)), 0))
  )
)</f>
        <v>2563.93529169239</v>
      </c>
      <c r="BM54" s="81" t="n">
        <f aca="false" t="array" ref="BM54:BM54">IF(COLUMN() - ($E54 + 5) &lt; 0, 0,
  IF(COLUMN() - ($E54 + 5) = 0, $F54,
    BL54 * (1 - IFERROR(INDEX('Inputs &amp; Assuptions'!$B$13:$B$72, COLUMN() - ($E54 + 5)), 0))
  )
)</f>
        <v>2538.29593877547</v>
      </c>
      <c r="BN54" s="76"/>
    </row>
    <row r="55" customFormat="false" ht="14.25" hidden="false" customHeight="false" outlineLevel="0" collapsed="false">
      <c r="A55" s="29" t="n">
        <f aca="false">A54+1</f>
        <v>50</v>
      </c>
      <c r="B55" s="77" t="n">
        <f aca="false">IF(MOD($A55-1, 12) = 0, $B54 * 1.05, $B54)</f>
        <v>7293.0375</v>
      </c>
      <c r="C55" s="78" t="n">
        <f aca="false">$B55*(1-'Inputs &amp; Assuptions'!$B$12)</f>
        <v>4229.96175</v>
      </c>
      <c r="E55" s="29" t="n">
        <f aca="false">E54+1</f>
        <v>50</v>
      </c>
      <c r="F55" s="79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 t="n">
        <f aca="false">+$C55</f>
        <v>4229.96175</v>
      </c>
      <c r="BD55" s="80" t="n">
        <f aca="false" t="array" ref="BD55:BD55">IF(COLUMN() - ($E55 + 5) &lt; 0, 0,
  IF(COLUMN() - ($E55 + 5) = 0, $F55,
    BC55 * (1 - IFERROR(INDEX('Inputs &amp; Assuptions'!$B$13:$B$72, COLUMN() - ($E55 + 5)), 0))
  )
)</f>
        <v>3785.81576625</v>
      </c>
      <c r="BE55" s="80" t="n">
        <f aca="false" t="array" ref="BE55:BE55">IF(COLUMN() - ($E55 + 5) &lt; 0, 0,
  IF(COLUMN() - ($E55 + 5) = 0, $F55,
    BD55 * (1 - IFERROR(INDEX('Inputs &amp; Assuptions'!$B$13:$B$72, COLUMN() - ($E55 + 5)), 0))
  )
)</f>
        <v>3482.95050495</v>
      </c>
      <c r="BF55" s="80" t="n">
        <f aca="false" t="array" ref="BF55:BF55">IF(COLUMN() - ($E55 + 5) &lt; 0, 0,
  IF(COLUMN() - ($E55 + 5) = 0, $F55,
    BE55 * (1 - IFERROR(INDEX('Inputs &amp; Assuptions'!$B$13:$B$72, COLUMN() - ($E55 + 5)), 0))
  )
)</f>
        <v>3291.38822717775</v>
      </c>
      <c r="BG55" s="80" t="n">
        <f aca="false" t="array" ref="BG55:BG55">IF(COLUMN() - ($E55 + 5) &lt; 0, 0,
  IF(COLUMN() - ($E55 + 5) = 0, $F55,
    BF55 * (1 - IFERROR(INDEX('Inputs &amp; Assuptions'!$B$13:$B$72, COLUMN() - ($E55 + 5)), 0))
  )
)</f>
        <v>3126.81881581886</v>
      </c>
      <c r="BH55" s="80" t="n">
        <f aca="false" t="array" ref="BH55:BH55">IF(COLUMN() - ($E55 + 5) &lt; 0, 0,
  IF(COLUMN() - ($E55 + 5) = 0, $F55,
    BG55 * (1 - IFERROR(INDEX('Inputs &amp; Assuptions'!$B$13:$B$72, COLUMN() - ($E55 + 5)), 0))
  )
)</f>
        <v>2986.11196910701</v>
      </c>
      <c r="BI55" s="80" t="n">
        <f aca="false" t="array" ref="BI55:BI55">IF(COLUMN() - ($E55 + 5) &lt; 0, 0,
  IF(COLUMN() - ($E55 + 5) = 0, $F55,
    BH55 * (1 - IFERROR(INDEX('Inputs &amp; Assuptions'!$B$13:$B$72, COLUMN() - ($E55 + 5)), 0))
  )
)</f>
        <v>2866.66749034273</v>
      </c>
      <c r="BJ55" s="80" t="n">
        <f aca="false" t="array" ref="BJ55:BJ55">IF(COLUMN() - ($E55 + 5) &lt; 0, 0,
  IF(COLUMN() - ($E55 + 5) = 0, $F55,
    BI55 * (1 - IFERROR(INDEX('Inputs &amp; Assuptions'!$B$13:$B$72, COLUMN() - ($E55 + 5)), 0))
  )
)</f>
        <v>2766.33412818074</v>
      </c>
      <c r="BK55" s="80" t="n">
        <f aca="false" t="array" ref="BK55:BK55">IF(COLUMN() - ($E55 + 5) &lt; 0, 0,
  IF(COLUMN() - ($E55 + 5) = 0, $F55,
    BJ55 * (1 - IFERROR(INDEX('Inputs &amp; Assuptions'!$B$13:$B$72, COLUMN() - ($E55 + 5)), 0))
  )
)</f>
        <v>2683.34410433532</v>
      </c>
      <c r="BL55" s="80" t="n">
        <f aca="false" t="array" ref="BL55:BL55">IF(COLUMN() - ($E55 + 5) &lt; 0, 0,
  IF(COLUMN() - ($E55 + 5) = 0, $F55,
    BK55 * (1 - IFERROR(INDEX('Inputs &amp; Assuptions'!$B$13:$B$72, COLUMN() - ($E55 + 5)), 0))
  )
)</f>
        <v>2616.26050172693</v>
      </c>
      <c r="BM55" s="81" t="n">
        <f aca="false" t="array" ref="BM55:BM55">IF(COLUMN() - ($E55 + 5) &lt; 0, 0,
  IF(COLUMN() - ($E55 + 5) = 0, $F55,
    BL55 * (1 - IFERROR(INDEX('Inputs &amp; Assuptions'!$B$13:$B$72, COLUMN() - ($E55 + 5)), 0))
  )
)</f>
        <v>2563.93529169239</v>
      </c>
      <c r="BN55" s="76"/>
    </row>
    <row r="56" customFormat="false" ht="14.25" hidden="false" customHeight="false" outlineLevel="0" collapsed="false">
      <c r="A56" s="29" t="n">
        <f aca="false">A55+1</f>
        <v>51</v>
      </c>
      <c r="B56" s="77" t="n">
        <f aca="false">IF(MOD($A56-1, 12) = 0, $B55 * 1.05, $B55)</f>
        <v>7293.0375</v>
      </c>
      <c r="C56" s="78" t="n">
        <f aca="false">$B56*(1-'Inputs &amp; Assuptions'!$B$12)</f>
        <v>4229.96175</v>
      </c>
      <c r="E56" s="29" t="n">
        <f aca="false">E55+1</f>
        <v>51</v>
      </c>
      <c r="F56" s="79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 t="n">
        <f aca="false">+$C56</f>
        <v>4229.96175</v>
      </c>
      <c r="BE56" s="80" t="n">
        <f aca="false" t="array" ref="BE56:BE56">IF(COLUMN() - ($E56 + 5) &lt; 0, 0,
  IF(COLUMN() - ($E56 + 5) = 0, $F56,
    BD56 * (1 - IFERROR(INDEX('Inputs &amp; Assuptions'!$B$13:$B$72, COLUMN() - ($E56 + 5)), 0))
  )
)</f>
        <v>3785.81576625</v>
      </c>
      <c r="BF56" s="80" t="n">
        <f aca="false" t="array" ref="BF56:BF56">IF(COLUMN() - ($E56 + 5) &lt; 0, 0,
  IF(COLUMN() - ($E56 + 5) = 0, $F56,
    BE56 * (1 - IFERROR(INDEX('Inputs &amp; Assuptions'!$B$13:$B$72, COLUMN() - ($E56 + 5)), 0))
  )
)</f>
        <v>3482.95050495</v>
      </c>
      <c r="BG56" s="80" t="n">
        <f aca="false" t="array" ref="BG56:BG56">IF(COLUMN() - ($E56 + 5) &lt; 0, 0,
  IF(COLUMN() - ($E56 + 5) = 0, $F56,
    BF56 * (1 - IFERROR(INDEX('Inputs &amp; Assuptions'!$B$13:$B$72, COLUMN() - ($E56 + 5)), 0))
  )
)</f>
        <v>3291.38822717775</v>
      </c>
      <c r="BH56" s="80" t="n">
        <f aca="false" t="array" ref="BH56:BH56">IF(COLUMN() - ($E56 + 5) &lt; 0, 0,
  IF(COLUMN() - ($E56 + 5) = 0, $F56,
    BG56 * (1 - IFERROR(INDEX('Inputs &amp; Assuptions'!$B$13:$B$72, COLUMN() - ($E56 + 5)), 0))
  )
)</f>
        <v>3126.81881581886</v>
      </c>
      <c r="BI56" s="80" t="n">
        <f aca="false" t="array" ref="BI56:BI56">IF(COLUMN() - ($E56 + 5) &lt; 0, 0,
  IF(COLUMN() - ($E56 + 5) = 0, $F56,
    BH56 * (1 - IFERROR(INDEX('Inputs &amp; Assuptions'!$B$13:$B$72, COLUMN() - ($E56 + 5)), 0))
  )
)</f>
        <v>2986.11196910701</v>
      </c>
      <c r="BJ56" s="80" t="n">
        <f aca="false" t="array" ref="BJ56:BJ56">IF(COLUMN() - ($E56 + 5) &lt; 0, 0,
  IF(COLUMN() - ($E56 + 5) = 0, $F56,
    BI56 * (1 - IFERROR(INDEX('Inputs &amp; Assuptions'!$B$13:$B$72, COLUMN() - ($E56 + 5)), 0))
  )
)</f>
        <v>2866.66749034273</v>
      </c>
      <c r="BK56" s="80" t="n">
        <f aca="false" t="array" ref="BK56:BK56">IF(COLUMN() - ($E56 + 5) &lt; 0, 0,
  IF(COLUMN() - ($E56 + 5) = 0, $F56,
    BJ56 * (1 - IFERROR(INDEX('Inputs &amp; Assuptions'!$B$13:$B$72, COLUMN() - ($E56 + 5)), 0))
  )
)</f>
        <v>2766.33412818074</v>
      </c>
      <c r="BL56" s="80" t="n">
        <f aca="false" t="array" ref="BL56:BL56">IF(COLUMN() - ($E56 + 5) &lt; 0, 0,
  IF(COLUMN() - ($E56 + 5) = 0, $F56,
    BK56 * (1 - IFERROR(INDEX('Inputs &amp; Assuptions'!$B$13:$B$72, COLUMN() - ($E56 + 5)), 0))
  )
)</f>
        <v>2683.34410433532</v>
      </c>
      <c r="BM56" s="81" t="n">
        <f aca="false" t="array" ref="BM56:BM56">IF(COLUMN() - ($E56 + 5) &lt; 0, 0,
  IF(COLUMN() - ($E56 + 5) = 0, $F56,
    BL56 * (1 - IFERROR(INDEX('Inputs &amp; Assuptions'!$B$13:$B$72, COLUMN() - ($E56 + 5)), 0))
  )
)</f>
        <v>2616.26050172693</v>
      </c>
      <c r="BN56" s="76"/>
    </row>
    <row r="57" customFormat="false" ht="14.25" hidden="false" customHeight="false" outlineLevel="0" collapsed="false">
      <c r="A57" s="29" t="n">
        <f aca="false">A56+1</f>
        <v>52</v>
      </c>
      <c r="B57" s="77" t="n">
        <f aca="false">IF(MOD($A57-1, 12) = 0, $B56 * 1.05, $B56)</f>
        <v>7293.0375</v>
      </c>
      <c r="C57" s="78" t="n">
        <f aca="false">$B57*(1-'Inputs &amp; Assuptions'!$B$12)</f>
        <v>4229.96175</v>
      </c>
      <c r="E57" s="29" t="n">
        <f aca="false">E56+1</f>
        <v>52</v>
      </c>
      <c r="F57" s="7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 t="n">
        <f aca="false">+$C57</f>
        <v>4229.96175</v>
      </c>
      <c r="BF57" s="80" t="n">
        <f aca="false" t="array" ref="BF57:BF57">IF(COLUMN() - ($E57 + 5) &lt; 0, 0,
  IF(COLUMN() - ($E57 + 5) = 0, $F57,
    BE57 * (1 - IFERROR(INDEX('Inputs &amp; Assuptions'!$B$13:$B$72, COLUMN() - ($E57 + 5)), 0))
  )
)</f>
        <v>3785.81576625</v>
      </c>
      <c r="BG57" s="80" t="n">
        <f aca="false" t="array" ref="BG57:BG57">IF(COLUMN() - ($E57 + 5) &lt; 0, 0,
  IF(COLUMN() - ($E57 + 5) = 0, $F57,
    BF57 * (1 - IFERROR(INDEX('Inputs &amp; Assuptions'!$B$13:$B$72, COLUMN() - ($E57 + 5)), 0))
  )
)</f>
        <v>3482.95050495</v>
      </c>
      <c r="BH57" s="80" t="n">
        <f aca="false" t="array" ref="BH57:BH57">IF(COLUMN() - ($E57 + 5) &lt; 0, 0,
  IF(COLUMN() - ($E57 + 5) = 0, $F57,
    BG57 * (1 - IFERROR(INDEX('Inputs &amp; Assuptions'!$B$13:$B$72, COLUMN() - ($E57 + 5)), 0))
  )
)</f>
        <v>3291.38822717775</v>
      </c>
      <c r="BI57" s="80" t="n">
        <f aca="false" t="array" ref="BI57:BI57">IF(COLUMN() - ($E57 + 5) &lt; 0, 0,
  IF(COLUMN() - ($E57 + 5) = 0, $F57,
    BH57 * (1 - IFERROR(INDEX('Inputs &amp; Assuptions'!$B$13:$B$72, COLUMN() - ($E57 + 5)), 0))
  )
)</f>
        <v>3126.81881581886</v>
      </c>
      <c r="BJ57" s="80" t="n">
        <f aca="false" t="array" ref="BJ57:BJ57">IF(COLUMN() - ($E57 + 5) &lt; 0, 0,
  IF(COLUMN() - ($E57 + 5) = 0, $F57,
    BI57 * (1 - IFERROR(INDEX('Inputs &amp; Assuptions'!$B$13:$B$72, COLUMN() - ($E57 + 5)), 0))
  )
)</f>
        <v>2986.11196910701</v>
      </c>
      <c r="BK57" s="80" t="n">
        <f aca="false" t="array" ref="BK57:BK57">IF(COLUMN() - ($E57 + 5) &lt; 0, 0,
  IF(COLUMN() - ($E57 + 5) = 0, $F57,
    BJ57 * (1 - IFERROR(INDEX('Inputs &amp; Assuptions'!$B$13:$B$72, COLUMN() - ($E57 + 5)), 0))
  )
)</f>
        <v>2866.66749034273</v>
      </c>
      <c r="BL57" s="80" t="n">
        <f aca="false" t="array" ref="BL57:BL57">IF(COLUMN() - ($E57 + 5) &lt; 0, 0,
  IF(COLUMN() - ($E57 + 5) = 0, $F57,
    BK57 * (1 - IFERROR(INDEX('Inputs &amp; Assuptions'!$B$13:$B$72, COLUMN() - ($E57 + 5)), 0))
  )
)</f>
        <v>2766.33412818074</v>
      </c>
      <c r="BM57" s="81" t="n">
        <f aca="false" t="array" ref="BM57:BM57">IF(COLUMN() - ($E57 + 5) &lt; 0, 0,
  IF(COLUMN() - ($E57 + 5) = 0, $F57,
    BL57 * (1 - IFERROR(INDEX('Inputs &amp; Assuptions'!$B$13:$B$72, COLUMN() - ($E57 + 5)), 0))
  )
)</f>
        <v>2683.34410433532</v>
      </c>
      <c r="BN57" s="76"/>
    </row>
    <row r="58" customFormat="false" ht="14.25" hidden="false" customHeight="false" outlineLevel="0" collapsed="false">
      <c r="A58" s="29" t="n">
        <f aca="false">A57+1</f>
        <v>53</v>
      </c>
      <c r="B58" s="77" t="n">
        <f aca="false">IF(MOD($A58-1, 12) = 0, $B57 * 1.05, $B57)</f>
        <v>7293.0375</v>
      </c>
      <c r="C58" s="78" t="n">
        <f aca="false">$B58*(1-'Inputs &amp; Assuptions'!$B$12)</f>
        <v>4229.96175</v>
      </c>
      <c r="E58" s="29" t="n">
        <f aca="false">E57+1</f>
        <v>53</v>
      </c>
      <c r="F58" s="79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 t="n">
        <f aca="false">+$C58</f>
        <v>4229.96175</v>
      </c>
      <c r="BG58" s="80" t="n">
        <f aca="false" t="array" ref="BG58:BG58">IF(COLUMN() - ($E58 + 5) &lt; 0, 0,
  IF(COLUMN() - ($E58 + 5) = 0, $F58,
    BF58 * (1 - IFERROR(INDEX('Inputs &amp; Assuptions'!$B$13:$B$72, COLUMN() - ($E58 + 5)), 0))
  )
)</f>
        <v>3785.81576625</v>
      </c>
      <c r="BH58" s="80" t="n">
        <f aca="false" t="array" ref="BH58:BH58">IF(COLUMN() - ($E58 + 5) &lt; 0, 0,
  IF(COLUMN() - ($E58 + 5) = 0, $F58,
    BG58 * (1 - IFERROR(INDEX('Inputs &amp; Assuptions'!$B$13:$B$72, COLUMN() - ($E58 + 5)), 0))
  )
)</f>
        <v>3482.95050495</v>
      </c>
      <c r="BI58" s="80" t="n">
        <f aca="false" t="array" ref="BI58:BI58">IF(COLUMN() - ($E58 + 5) &lt; 0, 0,
  IF(COLUMN() - ($E58 + 5) = 0, $F58,
    BH58 * (1 - IFERROR(INDEX('Inputs &amp; Assuptions'!$B$13:$B$72, COLUMN() - ($E58 + 5)), 0))
  )
)</f>
        <v>3291.38822717775</v>
      </c>
      <c r="BJ58" s="80" t="n">
        <f aca="false" t="array" ref="BJ58:BJ58">IF(COLUMN() - ($E58 + 5) &lt; 0, 0,
  IF(COLUMN() - ($E58 + 5) = 0, $F58,
    BI58 * (1 - IFERROR(INDEX('Inputs &amp; Assuptions'!$B$13:$B$72, COLUMN() - ($E58 + 5)), 0))
  )
)</f>
        <v>3126.81881581886</v>
      </c>
      <c r="BK58" s="80" t="n">
        <f aca="false" t="array" ref="BK58:BK58">IF(COLUMN() - ($E58 + 5) &lt; 0, 0,
  IF(COLUMN() - ($E58 + 5) = 0, $F58,
    BJ58 * (1 - IFERROR(INDEX('Inputs &amp; Assuptions'!$B$13:$B$72, COLUMN() - ($E58 + 5)), 0))
  )
)</f>
        <v>2986.11196910701</v>
      </c>
      <c r="BL58" s="80" t="n">
        <f aca="false" t="array" ref="BL58:BL58">IF(COLUMN() - ($E58 + 5) &lt; 0, 0,
  IF(COLUMN() - ($E58 + 5) = 0, $F58,
    BK58 * (1 - IFERROR(INDEX('Inputs &amp; Assuptions'!$B$13:$B$72, COLUMN() - ($E58 + 5)), 0))
  )
)</f>
        <v>2866.66749034273</v>
      </c>
      <c r="BM58" s="81" t="n">
        <f aca="false" t="array" ref="BM58:BM58">IF(COLUMN() - ($E58 + 5) &lt; 0, 0,
  IF(COLUMN() - ($E58 + 5) = 0, $F58,
    BL58 * (1 - IFERROR(INDEX('Inputs &amp; Assuptions'!$B$13:$B$72, COLUMN() - ($E58 + 5)), 0))
  )
)</f>
        <v>2766.33412818074</v>
      </c>
      <c r="BN58" s="76"/>
    </row>
    <row r="59" customFormat="false" ht="14.25" hidden="false" customHeight="false" outlineLevel="0" collapsed="false">
      <c r="A59" s="29" t="n">
        <f aca="false">A58+1</f>
        <v>54</v>
      </c>
      <c r="B59" s="77" t="n">
        <f aca="false">IF(MOD($A59-1, 12) = 0, $B58 * 1.05, $B58)</f>
        <v>7293.0375</v>
      </c>
      <c r="C59" s="78" t="n">
        <f aca="false">$B59*(1-'Inputs &amp; Assuptions'!$B$12)</f>
        <v>4229.96175</v>
      </c>
      <c r="E59" s="29" t="n">
        <f aca="false">E58+1</f>
        <v>54</v>
      </c>
      <c r="F59" s="79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 t="n">
        <f aca="false">+$C59</f>
        <v>4229.96175</v>
      </c>
      <c r="BH59" s="80" t="n">
        <f aca="false" t="array" ref="BH59:BH59">IF(COLUMN() - ($E59 + 5) &lt; 0, 0,
  IF(COLUMN() - ($E59 + 5) = 0, $F59,
    BG59 * (1 - IFERROR(INDEX('Inputs &amp; Assuptions'!$B$13:$B$72, COLUMN() - ($E59 + 5)), 0))
  )
)</f>
        <v>3785.81576625</v>
      </c>
      <c r="BI59" s="80" t="n">
        <f aca="false" t="array" ref="BI59:BI59">IF(COLUMN() - ($E59 + 5) &lt; 0, 0,
  IF(COLUMN() - ($E59 + 5) = 0, $F59,
    BH59 * (1 - IFERROR(INDEX('Inputs &amp; Assuptions'!$B$13:$B$72, COLUMN() - ($E59 + 5)), 0))
  )
)</f>
        <v>3482.95050495</v>
      </c>
      <c r="BJ59" s="80" t="n">
        <f aca="false" t="array" ref="BJ59:BJ59">IF(COLUMN() - ($E59 + 5) &lt; 0, 0,
  IF(COLUMN() - ($E59 + 5) = 0, $F59,
    BI59 * (1 - IFERROR(INDEX('Inputs &amp; Assuptions'!$B$13:$B$72, COLUMN() - ($E59 + 5)), 0))
  )
)</f>
        <v>3291.38822717775</v>
      </c>
      <c r="BK59" s="80" t="n">
        <f aca="false" t="array" ref="BK59:BK59">IF(COLUMN() - ($E59 + 5) &lt; 0, 0,
  IF(COLUMN() - ($E59 + 5) = 0, $F59,
    BJ59 * (1 - IFERROR(INDEX('Inputs &amp; Assuptions'!$B$13:$B$72, COLUMN() - ($E59 + 5)), 0))
  )
)</f>
        <v>3126.81881581886</v>
      </c>
      <c r="BL59" s="80" t="n">
        <f aca="false" t="array" ref="BL59:BL59">IF(COLUMN() - ($E59 + 5) &lt; 0, 0,
  IF(COLUMN() - ($E59 + 5) = 0, $F59,
    BK59 * (1 - IFERROR(INDEX('Inputs &amp; Assuptions'!$B$13:$B$72, COLUMN() - ($E59 + 5)), 0))
  )
)</f>
        <v>2986.11196910701</v>
      </c>
      <c r="BM59" s="81" t="n">
        <f aca="false" t="array" ref="BM59:BM59">IF(COLUMN() - ($E59 + 5) &lt; 0, 0,
  IF(COLUMN() - ($E59 + 5) = 0, $F59,
    BL59 * (1 - IFERROR(INDEX('Inputs &amp; Assuptions'!$B$13:$B$72, COLUMN() - ($E59 + 5)), 0))
  )
)</f>
        <v>2866.66749034273</v>
      </c>
      <c r="BN59" s="76"/>
    </row>
    <row r="60" customFormat="false" ht="14.25" hidden="false" customHeight="false" outlineLevel="0" collapsed="false">
      <c r="A60" s="29" t="n">
        <f aca="false">A59+1</f>
        <v>55</v>
      </c>
      <c r="B60" s="77" t="n">
        <f aca="false">IF(MOD($A60-1, 12) = 0, $B59 * 1.05, $B59)</f>
        <v>7293.0375</v>
      </c>
      <c r="C60" s="78" t="n">
        <f aca="false">$B60*(1-'Inputs &amp; Assuptions'!$B$12)</f>
        <v>4229.96175</v>
      </c>
      <c r="E60" s="29" t="n">
        <f aca="false">E59+1</f>
        <v>55</v>
      </c>
      <c r="F60" s="79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 t="n">
        <f aca="false">+$C60</f>
        <v>4229.96175</v>
      </c>
      <c r="BI60" s="80" t="n">
        <f aca="false" t="array" ref="BI60:BI60">IF(COLUMN() - ($E60 + 5) &lt; 0, 0,
  IF(COLUMN() - ($E60 + 5) = 0, $F60,
    BH60 * (1 - IFERROR(INDEX('Inputs &amp; Assuptions'!$B$13:$B$72, COLUMN() - ($E60 + 5)), 0))
  )
)</f>
        <v>3785.81576625</v>
      </c>
      <c r="BJ60" s="80" t="n">
        <f aca="false" t="array" ref="BJ60:BJ60">IF(COLUMN() - ($E60 + 5) &lt; 0, 0,
  IF(COLUMN() - ($E60 + 5) = 0, $F60,
    BI60 * (1 - IFERROR(INDEX('Inputs &amp; Assuptions'!$B$13:$B$72, COLUMN() - ($E60 + 5)), 0))
  )
)</f>
        <v>3482.95050495</v>
      </c>
      <c r="BK60" s="80" t="n">
        <f aca="false" t="array" ref="BK60:BK60">IF(COLUMN() - ($E60 + 5) &lt; 0, 0,
  IF(COLUMN() - ($E60 + 5) = 0, $F60,
    BJ60 * (1 - IFERROR(INDEX('Inputs &amp; Assuptions'!$B$13:$B$72, COLUMN() - ($E60 + 5)), 0))
  )
)</f>
        <v>3291.38822717775</v>
      </c>
      <c r="BL60" s="80" t="n">
        <f aca="false" t="array" ref="BL60:BL60">IF(COLUMN() - ($E60 + 5) &lt; 0, 0,
  IF(COLUMN() - ($E60 + 5) = 0, $F60,
    BK60 * (1 - IFERROR(INDEX('Inputs &amp; Assuptions'!$B$13:$B$72, COLUMN() - ($E60 + 5)), 0))
  )
)</f>
        <v>3126.81881581886</v>
      </c>
      <c r="BM60" s="81" t="n">
        <f aca="false" t="array" ref="BM60:BM60">IF(COLUMN() - ($E60 + 5) &lt; 0, 0,
  IF(COLUMN() - ($E60 + 5) = 0, $F60,
    BL60 * (1 - IFERROR(INDEX('Inputs &amp; Assuptions'!$B$13:$B$72, COLUMN() - ($E60 + 5)), 0))
  )
)</f>
        <v>2986.11196910701</v>
      </c>
      <c r="BN60" s="76"/>
    </row>
    <row r="61" customFormat="false" ht="14.25" hidden="false" customHeight="false" outlineLevel="0" collapsed="false">
      <c r="A61" s="29" t="n">
        <f aca="false">A60+1</f>
        <v>56</v>
      </c>
      <c r="B61" s="77" t="n">
        <f aca="false">IF(MOD($A61-1, 12) = 0, $B60 * 1.05, $B60)</f>
        <v>7293.0375</v>
      </c>
      <c r="C61" s="78" t="n">
        <f aca="false">$B61*(1-'Inputs &amp; Assuptions'!$B$12)</f>
        <v>4229.96175</v>
      </c>
      <c r="E61" s="29" t="n">
        <f aca="false">E60+1</f>
        <v>56</v>
      </c>
      <c r="F61" s="79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 t="n">
        <f aca="false">+$C61</f>
        <v>4229.96175</v>
      </c>
      <c r="BJ61" s="80" t="n">
        <f aca="false" t="array" ref="BJ61:BJ61">IF(COLUMN() - ($E61 + 5) &lt; 0, 0,
  IF(COLUMN() - ($E61 + 5) = 0, $F61,
    BI61 * (1 - IFERROR(INDEX('Inputs &amp; Assuptions'!$B$13:$B$72, COLUMN() - ($E61 + 5)), 0))
  )
)</f>
        <v>3785.81576625</v>
      </c>
      <c r="BK61" s="80" t="n">
        <f aca="false" t="array" ref="BK61:BK61">IF(COLUMN() - ($E61 + 5) &lt; 0, 0,
  IF(COLUMN() - ($E61 + 5) = 0, $F61,
    BJ61 * (1 - IFERROR(INDEX('Inputs &amp; Assuptions'!$B$13:$B$72, COLUMN() - ($E61 + 5)), 0))
  )
)</f>
        <v>3482.95050495</v>
      </c>
      <c r="BL61" s="80" t="n">
        <f aca="false" t="array" ref="BL61:BL61">IF(COLUMN() - ($E61 + 5) &lt; 0, 0,
  IF(COLUMN() - ($E61 + 5) = 0, $F61,
    BK61 * (1 - IFERROR(INDEX('Inputs &amp; Assuptions'!$B$13:$B$72, COLUMN() - ($E61 + 5)), 0))
  )
)</f>
        <v>3291.38822717775</v>
      </c>
      <c r="BM61" s="81" t="n">
        <f aca="false" t="array" ref="BM61:BM61">IF(COLUMN() - ($E61 + 5) &lt; 0, 0,
  IF(COLUMN() - ($E61 + 5) = 0, $F61,
    BL61 * (1 - IFERROR(INDEX('Inputs &amp; Assuptions'!$B$13:$B$72, COLUMN() - ($E61 + 5)), 0))
  )
)</f>
        <v>3126.81881581886</v>
      </c>
      <c r="BN61" s="76"/>
    </row>
    <row r="62" customFormat="false" ht="14.25" hidden="false" customHeight="false" outlineLevel="0" collapsed="false">
      <c r="A62" s="29" t="n">
        <f aca="false">A61+1</f>
        <v>57</v>
      </c>
      <c r="B62" s="77" t="n">
        <f aca="false">IF(MOD($A62-1, 12) = 0, $B61 * 1.05, $B61)</f>
        <v>7293.0375</v>
      </c>
      <c r="C62" s="78" t="n">
        <f aca="false">$B62*(1-'Inputs &amp; Assuptions'!$B$12)</f>
        <v>4229.96175</v>
      </c>
      <c r="E62" s="29" t="n">
        <f aca="false">E61+1</f>
        <v>57</v>
      </c>
      <c r="F62" s="79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 t="n">
        <f aca="false">+$C62</f>
        <v>4229.96175</v>
      </c>
      <c r="BK62" s="80" t="n">
        <f aca="false" t="array" ref="BK62:BK62">IF(COLUMN() - ($E62 + 5) &lt; 0, 0,
  IF(COLUMN() - ($E62 + 5) = 0, $F62,
    BJ62 * (1 - IFERROR(INDEX('Inputs &amp; Assuptions'!$B$13:$B$72, COLUMN() - ($E62 + 5)), 0))
  )
)</f>
        <v>3785.81576625</v>
      </c>
      <c r="BL62" s="80" t="n">
        <f aca="false" t="array" ref="BL62:BL62">IF(COLUMN() - ($E62 + 5) &lt; 0, 0,
  IF(COLUMN() - ($E62 + 5) = 0, $F62,
    BK62 * (1 - IFERROR(INDEX('Inputs &amp; Assuptions'!$B$13:$B$72, COLUMN() - ($E62 + 5)), 0))
  )
)</f>
        <v>3482.95050495</v>
      </c>
      <c r="BM62" s="81" t="n">
        <f aca="false" t="array" ref="BM62:BM62">IF(COLUMN() - ($E62 + 5) &lt; 0, 0,
  IF(COLUMN() - ($E62 + 5) = 0, $F62,
    BL62 * (1 - IFERROR(INDEX('Inputs &amp; Assuptions'!$B$13:$B$72, COLUMN() - ($E62 + 5)), 0))
  )
)</f>
        <v>3291.38822717775</v>
      </c>
      <c r="BN62" s="76"/>
    </row>
    <row r="63" customFormat="false" ht="14.25" hidden="false" customHeight="false" outlineLevel="0" collapsed="false">
      <c r="A63" s="29" t="n">
        <f aca="false">A62+1</f>
        <v>58</v>
      </c>
      <c r="B63" s="77" t="n">
        <f aca="false">IF(MOD($A63-1, 12) = 0, $B62 * 1.05, $B62)</f>
        <v>7293.0375</v>
      </c>
      <c r="C63" s="78" t="n">
        <f aca="false">$B63*(1-'Inputs &amp; Assuptions'!$B$12)</f>
        <v>4229.96175</v>
      </c>
      <c r="E63" s="29" t="n">
        <f aca="false">E62+1</f>
        <v>58</v>
      </c>
      <c r="F63" s="79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 t="n">
        <f aca="false">+$C63</f>
        <v>4229.96175</v>
      </c>
      <c r="BL63" s="80" t="n">
        <f aca="false" t="array" ref="BL63:BL63">IF(COLUMN() - ($E63 + 5) &lt; 0, 0,
  IF(COLUMN() - ($E63 + 5) = 0, $F63,
    BK63 * (1 - IFERROR(INDEX('Inputs &amp; Assuptions'!$B$13:$B$72, COLUMN() - ($E63 + 5)), 0))
  )
)</f>
        <v>3785.81576625</v>
      </c>
      <c r="BM63" s="81" t="n">
        <f aca="false" t="array" ref="BM63:BM63">IF(COLUMN() - ($E63 + 5) &lt; 0, 0,
  IF(COLUMN() - ($E63 + 5) = 0, $F63,
    BL63 * (1 - IFERROR(INDEX('Inputs &amp; Assuptions'!$B$13:$B$72, COLUMN() - ($E63 + 5)), 0))
  )
)</f>
        <v>3482.95050495</v>
      </c>
      <c r="BN63" s="76"/>
    </row>
    <row r="64" customFormat="false" ht="14.25" hidden="false" customHeight="false" outlineLevel="0" collapsed="false">
      <c r="A64" s="29" t="n">
        <f aca="false">A63+1</f>
        <v>59</v>
      </c>
      <c r="B64" s="77" t="n">
        <f aca="false">IF(MOD($A64-1, 12) = 0, $B63 * 1.05, $B63)</f>
        <v>7293.0375</v>
      </c>
      <c r="C64" s="78" t="n">
        <f aca="false">$B64*(1-'Inputs &amp; Assuptions'!$B$12)</f>
        <v>4229.96175</v>
      </c>
      <c r="E64" s="29" t="n">
        <f aca="false">E63+1</f>
        <v>59</v>
      </c>
      <c r="F64" s="79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 t="n">
        <f aca="false">+$C64</f>
        <v>4229.96175</v>
      </c>
      <c r="BM64" s="81" t="n">
        <f aca="false" t="array" ref="BM64:BM64">IF(COLUMN() - ($E64 + 5) &lt; 0, 0,
  IF(COLUMN() - ($E64 + 5) = 0, $F64,
    BL64 * (1 - IFERROR(INDEX('Inputs &amp; Assuptions'!$B$13:$B$72, COLUMN() - ($E64 + 5)), 0))
  )
)</f>
        <v>3785.81576625</v>
      </c>
      <c r="BN64" s="76"/>
    </row>
    <row r="65" customFormat="false" ht="14.25" hidden="false" customHeight="false" outlineLevel="0" collapsed="false">
      <c r="A65" s="29" t="n">
        <f aca="false">A64+1</f>
        <v>60</v>
      </c>
      <c r="B65" s="82" t="n">
        <f aca="false">IF(MOD($A65-1, 12) = 0, $B64 * 1.05, $B64)</f>
        <v>7293.0375</v>
      </c>
      <c r="C65" s="83" t="n">
        <f aca="false">$B65*(1-'Inputs &amp; Assuptions'!$B$12)</f>
        <v>4229.96175</v>
      </c>
      <c r="E65" s="29" t="n">
        <f aca="false">E64+1</f>
        <v>60</v>
      </c>
      <c r="F65" s="84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6" t="n">
        <f aca="false">+$C65</f>
        <v>4229.96175</v>
      </c>
    </row>
    <row r="66" s="16" customFormat="true" ht="14.25" hidden="false" customHeight="false" outlineLevel="0" collapsed="false">
      <c r="F66" s="87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7"/>
    </row>
    <row r="67" customFormat="false" ht="14.25" hidden="false" customHeight="false" outlineLevel="0" collapsed="false">
      <c r="F67" s="80" t="n">
        <f aca="false">+SUM(F6:F65)</f>
        <v>3480</v>
      </c>
      <c r="G67" s="80" t="n">
        <f aca="false">+SUM(G6:G65)</f>
        <v>6594.6</v>
      </c>
      <c r="H67" s="80" t="n">
        <f aca="false">+SUM(H6:H65)</f>
        <v>9460.032</v>
      </c>
      <c r="I67" s="80" t="n">
        <f aca="false">+SUM(I6:I65)</f>
        <v>12167.86524</v>
      </c>
      <c r="J67" s="80" t="n">
        <f aca="false">+SUM(J6:J65)</f>
        <v>14740.306818</v>
      </c>
      <c r="K67" s="80" t="n">
        <f aca="false">+SUM(K6:K65)</f>
        <v>17196.98852499</v>
      </c>
      <c r="L67" s="80" t="n">
        <f aca="false">+SUM(L6:L65)</f>
        <v>19555.4029637004</v>
      </c>
      <c r="M67" s="80" t="n">
        <f aca="false">+SUM(M6:M65)</f>
        <v>21831.2728970559</v>
      </c>
      <c r="N67" s="80" t="n">
        <f aca="false">+SUM(N6:N65)</f>
        <v>24038.8667324108</v>
      </c>
      <c r="O67" s="80" t="n">
        <f aca="false">+SUM(O6:O65)</f>
        <v>26191.2707218818</v>
      </c>
      <c r="P67" s="80" t="n">
        <f aca="false">+SUM(P6:P65)</f>
        <v>28300.6266315634</v>
      </c>
      <c r="Q67" s="80" t="n">
        <f aca="false">+SUM(Q6:Q65)</f>
        <v>30388.8889821481</v>
      </c>
      <c r="R67" s="80" t="n">
        <f aca="false">+SUM(R6:R65)</f>
        <v>32630.2687092271</v>
      </c>
      <c r="S67" s="80" t="n">
        <f aca="false">+SUM(S6:S65)</f>
        <v>34832.7046390352</v>
      </c>
      <c r="T67" s="80" t="n">
        <f aca="false">+SUM(T6:T65)</f>
        <v>37002.2151095452</v>
      </c>
      <c r="U67" s="80" t="n">
        <f aca="false">+SUM(U6:U65)</f>
        <v>39143.5832533502</v>
      </c>
      <c r="V67" s="80" t="n">
        <f aca="false">+SUM(V6:V65)</f>
        <v>41258.1220492371</v>
      </c>
      <c r="W67" s="80" t="n">
        <f aca="false">+SUM(W6:W65)</f>
        <v>43347.0136844036</v>
      </c>
      <c r="X67" s="80" t="n">
        <f aca="false">+SUM(X6:X65)</f>
        <v>45411.331380658</v>
      </c>
      <c r="Y67" s="80" t="n">
        <f aca="false">+SUM(Y6:Y65)</f>
        <v>47452.0578819014</v>
      </c>
      <c r="Z67" s="80" t="n">
        <f aca="false">+SUM(Z6:Z65)</f>
        <v>49470.1012481991</v>
      </c>
      <c r="AA67" s="80" t="n">
        <f aca="false">+SUM(AA6:AA65)</f>
        <v>51466.3084854572</v>
      </c>
      <c r="AB67" s="80" t="n">
        <f aca="false">+SUM(AB6:AB65)</f>
        <v>53441.4774483481</v>
      </c>
      <c r="AC67" s="80" t="n">
        <f aca="false">+SUM(AC6:AC65)</f>
        <v>55396.89472161</v>
      </c>
      <c r="AD67" s="80" t="n">
        <f aca="false">+SUM(AD6:AD65)</f>
        <v>57515.4578221393</v>
      </c>
      <c r="AE67" s="80" t="n">
        <f aca="false">+SUM(AE6:AE65)</f>
        <v>59595.4787916633</v>
      </c>
      <c r="AF67" s="80" t="n">
        <f aca="false">+SUM(AF6:AF65)</f>
        <v>61643.2533964921</v>
      </c>
      <c r="AG67" s="80" t="n">
        <f aca="false">+SUM(AG6:AG65)</f>
        <v>63663.7806721726</v>
      </c>
      <c r="AH67" s="80" t="n">
        <f aca="false">+SUM(AH6:AH65)</f>
        <v>65658.4162252923</v>
      </c>
      <c r="AI67" s="80" t="n">
        <f aca="false">+SUM(AI6:AI65)</f>
        <v>67628.3785614812</v>
      </c>
      <c r="AJ67" s="80" t="n">
        <f aca="false">+SUM(AJ6:AJ65)</f>
        <v>69574.7720006197</v>
      </c>
      <c r="AK67" s="80" t="n">
        <f aca="false">+SUM(AK6:AK65)</f>
        <v>71498.6060864161</v>
      </c>
      <c r="AL67" s="80" t="n">
        <f aca="false">+SUM(AL6:AL65)</f>
        <v>73400.8121679244</v>
      </c>
      <c r="AM67" s="80" t="n">
        <f aca="false">+SUM(AM6:AM65)</f>
        <v>75282.2577084723</v>
      </c>
      <c r="AN67" s="80" t="n">
        <f aca="false">+SUM(AN6:AN65)</f>
        <v>77143.7587815203</v>
      </c>
      <c r="AO67" s="80" t="n">
        <f aca="false">+SUM(AO6:AO65)</f>
        <v>78986.6448438378</v>
      </c>
      <c r="AP67" s="80" t="n">
        <f aca="false">+SUM(AP6:AP65)</f>
        <v>81002.9370455321</v>
      </c>
      <c r="AQ67" s="80" t="n">
        <f aca="false">+SUM(AQ6:AQ65)</f>
        <v>82980.8420002095</v>
      </c>
      <c r="AR67" s="80" t="n">
        <f aca="false">+SUM(AR6:AR65)</f>
        <v>84926.94944259</v>
      </c>
      <c r="AS67" s="80" t="n">
        <f aca="false">+SUM(AS6:AS65)</f>
        <v>86846.4877482918</v>
      </c>
      <c r="AT67" s="80" t="n">
        <f aca="false">+SUM(AT6:AT65)</f>
        <v>88740.8598986424</v>
      </c>
      <c r="AU67" s="80" t="n">
        <f aca="false">+SUM(AU6:AU65)</f>
        <v>90611.3251230199</v>
      </c>
      <c r="AV67" s="80" t="n">
        <f aca="false">+SUM(AV6:AV65)</f>
        <v>92459.0229577807</v>
      </c>
      <c r="AW67" s="80" t="n">
        <f aca="false">+SUM(AW6:AW65)</f>
        <v>94284.9936242955</v>
      </c>
      <c r="AX67" s="80" t="n">
        <f aca="false">+SUM(AX6:AX65)</f>
        <v>96090.1954375437</v>
      </c>
      <c r="AY67" s="80" t="n">
        <f aca="false">+SUM(AY6:AY65)</f>
        <v>97875.5198285068</v>
      </c>
      <c r="AZ67" s="80" t="n">
        <f aca="false">+SUM(AZ6:AZ65)</f>
        <v>99641.8044628611</v>
      </c>
      <c r="BA67" s="80" t="n">
        <f aca="false">+SUM(BA6:BA65)</f>
        <v>101390.426250872</v>
      </c>
      <c r="BB67" s="80" t="n">
        <f aca="false">+SUM(BB6:BB65)</f>
        <v>103322.988571002</v>
      </c>
      <c r="BC67" s="80" t="n">
        <f aca="false">+SUM(BC6:BC65)</f>
        <v>105217.089726682</v>
      </c>
      <c r="BD67" s="80" t="n">
        <f aca="false">+SUM(BD6:BD65)</f>
        <v>107079.630484917</v>
      </c>
      <c r="BE67" s="80" t="n">
        <f aca="false">+SUM(BE6:BE65)</f>
        <v>108916.082370202</v>
      </c>
      <c r="BF67" s="80" t="n">
        <f aca="false">+SUM(BF6:BF65)</f>
        <v>110727.900425725</v>
      </c>
      <c r="BG67" s="80" t="n">
        <f aca="false">+SUM(BG6:BG65)</f>
        <v>112516.388936</v>
      </c>
      <c r="BH67" s="80" t="n">
        <f aca="false">+SUM(BH6:BH65)</f>
        <v>114282.72668693</v>
      </c>
      <c r="BI67" s="80" t="n">
        <f aca="false">+SUM(BI6:BI65)</f>
        <v>116027.988360958</v>
      </c>
      <c r="BJ67" s="80" t="n">
        <f aca="false">+SUM(BJ6:BJ65)</f>
        <v>117753.162814314</v>
      </c>
      <c r="BK67" s="80" t="n">
        <f aca="false">+SUM(BK6:BK65)</f>
        <v>119459.168848777</v>
      </c>
      <c r="BL67" s="80" t="n">
        <f aca="false">+SUM(BL6:BL65)</f>
        <v>121146.86898456</v>
      </c>
      <c r="BM67" s="80" t="n">
        <f aca="false">+SUM(BM6:BM65)</f>
        <v>122817.692118986</v>
      </c>
    </row>
  </sheetData>
  <conditionalFormatting sqref="F2:F3">
    <cfRule type="cellIs" priority="2" operator="lessThan" aboveAverage="0" equalAverage="0" bottom="0" percent="0" rank="0" text="" dxfId="16">
      <formula>0</formula>
    </cfRule>
  </conditionalFormatting>
  <conditionalFormatting sqref="F5:BM5">
    <cfRule type="cellIs" priority="3" operator="lessThan" aboveAverage="0" equalAverage="0" bottom="0" percent="0" rank="0" text="" dxfId="17">
      <formula>0</formula>
    </cfRule>
  </conditionalFormatting>
  <conditionalFormatting sqref="E5:E65">
    <cfRule type="cellIs" priority="4" operator="lessThan" aboveAverage="0" equalAverage="0" bottom="0" percent="0" rank="0" text="" dxfId="18">
      <formula>0</formula>
    </cfRule>
  </conditionalFormatting>
  <conditionalFormatting sqref="A5:A65">
    <cfRule type="cellIs" priority="5" operator="lessThan" aboveAverage="0" equalAverage="0" bottom="0" percent="0" rank="0" text="" dxfId="19">
      <formula>0</formula>
    </cfRule>
  </conditionalFormatting>
  <conditionalFormatting sqref="B5:C5">
    <cfRule type="cellIs" priority="6" operator="lessThan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6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60" activeCellId="0" sqref="I60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3" min="2" style="17" width="12.66"/>
    <col collapsed="false" customWidth="false" hidden="false" outlineLevel="0" max="5" min="4" style="17" width="9.11"/>
    <col collapsed="false" customWidth="true" hidden="false" outlineLevel="0" max="6" min="6" style="17" width="13.11"/>
    <col collapsed="false" customWidth="true" hidden="false" outlineLevel="0" max="7" min="7" style="17" width="9.33"/>
    <col collapsed="false" customWidth="true" hidden="false" outlineLevel="0" max="9" min="8" style="17" width="10.44"/>
    <col collapsed="false" customWidth="true" hidden="false" outlineLevel="0" max="30" min="10" style="17" width="10.66"/>
    <col collapsed="false" customWidth="true" hidden="false" outlineLevel="0" max="31" min="31" style="17" width="15.66"/>
    <col collapsed="false" customWidth="true" hidden="false" outlineLevel="0" max="44" min="32" style="17" width="10.66"/>
    <col collapsed="false" customWidth="true" hidden="false" outlineLevel="0" max="66" min="45" style="17" width="11.66"/>
    <col collapsed="false" customWidth="false" hidden="false" outlineLevel="0" max="16384" min="67" style="17" width="9.11"/>
  </cols>
  <sheetData>
    <row r="1" customFormat="false" ht="15" hidden="false" customHeight="false" outlineLevel="0" collapsed="false">
      <c r="I1" s="89"/>
      <c r="J1" s="89"/>
    </row>
    <row r="2" customFormat="false" ht="14.25" hidden="false" customHeight="false" outlineLevel="0" collapsed="false">
      <c r="B2" s="51"/>
      <c r="F2" s="3" t="s">
        <v>106</v>
      </c>
      <c r="G2" s="19" t="n">
        <f aca="false">+'Inputs &amp; Assuptions'!$C$4</f>
        <v>1500</v>
      </c>
      <c r="BN2" s="70"/>
    </row>
    <row r="3" customFormat="false" ht="14.25" hidden="false" customHeight="false" outlineLevel="0" collapsed="false">
      <c r="F3" s="3" t="s">
        <v>107</v>
      </c>
      <c r="G3" s="54" t="n">
        <f aca="false">+'Inputs &amp; Assuptions'!$C$5</f>
        <v>0.05</v>
      </c>
      <c r="BN3" s="70"/>
    </row>
    <row r="4" customFormat="false" ht="14.25" hidden="false" customHeight="false" outlineLevel="0" collapsed="false">
      <c r="BN4" s="70"/>
    </row>
    <row r="5" customFormat="false" ht="14.25" hidden="false" customHeight="false" outlineLevel="0" collapsed="false">
      <c r="A5" s="3"/>
      <c r="B5" s="3" t="s">
        <v>108</v>
      </c>
      <c r="C5" s="3" t="s">
        <v>109</v>
      </c>
      <c r="E5" s="3" t="s">
        <v>16</v>
      </c>
      <c r="F5" s="4" t="n">
        <v>1</v>
      </c>
      <c r="G5" s="4" t="n">
        <f aca="false">+F5+1</f>
        <v>2</v>
      </c>
      <c r="H5" s="4" t="n">
        <f aca="false">+G5+1</f>
        <v>3</v>
      </c>
      <c r="I5" s="4" t="n">
        <f aca="false">+H5+1</f>
        <v>4</v>
      </c>
      <c r="J5" s="4" t="n">
        <f aca="false">+I5+1</f>
        <v>5</v>
      </c>
      <c r="K5" s="4" t="n">
        <f aca="false">+J5+1</f>
        <v>6</v>
      </c>
      <c r="L5" s="4" t="n">
        <f aca="false">+K5+1</f>
        <v>7</v>
      </c>
      <c r="M5" s="4" t="n">
        <f aca="false">+L5+1</f>
        <v>8</v>
      </c>
      <c r="N5" s="4" t="n">
        <f aca="false">+M5+1</f>
        <v>9</v>
      </c>
      <c r="O5" s="4" t="n">
        <f aca="false">+N5+1</f>
        <v>10</v>
      </c>
      <c r="P5" s="4" t="n">
        <f aca="false">+O5+1</f>
        <v>11</v>
      </c>
      <c r="Q5" s="4" t="n">
        <f aca="false">+P5+1</f>
        <v>12</v>
      </c>
      <c r="R5" s="4" t="n">
        <f aca="false">+Q5+1</f>
        <v>13</v>
      </c>
      <c r="S5" s="4" t="n">
        <f aca="false">+R5+1</f>
        <v>14</v>
      </c>
      <c r="T5" s="4" t="n">
        <f aca="false">+S5+1</f>
        <v>15</v>
      </c>
      <c r="U5" s="4" t="n">
        <f aca="false">+T5+1</f>
        <v>16</v>
      </c>
      <c r="V5" s="4" t="n">
        <f aca="false">+U5+1</f>
        <v>17</v>
      </c>
      <c r="W5" s="4" t="n">
        <f aca="false">+V5+1</f>
        <v>18</v>
      </c>
      <c r="X5" s="4" t="n">
        <f aca="false">+W5+1</f>
        <v>19</v>
      </c>
      <c r="Y5" s="4" t="n">
        <f aca="false">+X5+1</f>
        <v>20</v>
      </c>
      <c r="Z5" s="4" t="n">
        <f aca="false">+Y5+1</f>
        <v>21</v>
      </c>
      <c r="AA5" s="4" t="n">
        <f aca="false">+Z5+1</f>
        <v>22</v>
      </c>
      <c r="AB5" s="4" t="n">
        <f aca="false">+AA5+1</f>
        <v>23</v>
      </c>
      <c r="AC5" s="4" t="n">
        <f aca="false">+AB5+1</f>
        <v>24</v>
      </c>
      <c r="AD5" s="4" t="n">
        <f aca="false">+AC5+1</f>
        <v>25</v>
      </c>
      <c r="AE5" s="4" t="n">
        <f aca="false">+AD5+1</f>
        <v>26</v>
      </c>
      <c r="AF5" s="4" t="n">
        <f aca="false">+AE5+1</f>
        <v>27</v>
      </c>
      <c r="AG5" s="4" t="n">
        <f aca="false">+AF5+1</f>
        <v>28</v>
      </c>
      <c r="AH5" s="4" t="n">
        <f aca="false">+AG5+1</f>
        <v>29</v>
      </c>
      <c r="AI5" s="4" t="n">
        <f aca="false">+AH5+1</f>
        <v>30</v>
      </c>
      <c r="AJ5" s="4" t="n">
        <f aca="false">+AI5+1</f>
        <v>31</v>
      </c>
      <c r="AK5" s="4" t="n">
        <f aca="false">+AJ5+1</f>
        <v>32</v>
      </c>
      <c r="AL5" s="4" t="n">
        <f aca="false">+AK5+1</f>
        <v>33</v>
      </c>
      <c r="AM5" s="4" t="n">
        <f aca="false">+AL5+1</f>
        <v>34</v>
      </c>
      <c r="AN5" s="4" t="n">
        <f aca="false">+AM5+1</f>
        <v>35</v>
      </c>
      <c r="AO5" s="4" t="n">
        <f aca="false">+AN5+1</f>
        <v>36</v>
      </c>
      <c r="AP5" s="4" t="n">
        <f aca="false">+AO5+1</f>
        <v>37</v>
      </c>
      <c r="AQ5" s="4" t="n">
        <f aca="false">+AP5+1</f>
        <v>38</v>
      </c>
      <c r="AR5" s="4" t="n">
        <f aca="false">+AQ5+1</f>
        <v>39</v>
      </c>
      <c r="AS5" s="4" t="n">
        <f aca="false">+AR5+1</f>
        <v>40</v>
      </c>
      <c r="AT5" s="4" t="n">
        <f aca="false">+AS5+1</f>
        <v>41</v>
      </c>
      <c r="AU5" s="4" t="n">
        <f aca="false">+AT5+1</f>
        <v>42</v>
      </c>
      <c r="AV5" s="4" t="n">
        <f aca="false">+AU5+1</f>
        <v>43</v>
      </c>
      <c r="AW5" s="4" t="n">
        <f aca="false">+AV5+1</f>
        <v>44</v>
      </c>
      <c r="AX5" s="4" t="n">
        <f aca="false">+AW5+1</f>
        <v>45</v>
      </c>
      <c r="AY5" s="4" t="n">
        <f aca="false">+AX5+1</f>
        <v>46</v>
      </c>
      <c r="AZ5" s="4" t="n">
        <f aca="false">+AY5+1</f>
        <v>47</v>
      </c>
      <c r="BA5" s="4" t="n">
        <f aca="false">+AZ5+1</f>
        <v>48</v>
      </c>
      <c r="BB5" s="4" t="n">
        <f aca="false">+BA5+1</f>
        <v>49</v>
      </c>
      <c r="BC5" s="4" t="n">
        <f aca="false">+BB5+1</f>
        <v>50</v>
      </c>
      <c r="BD5" s="4" t="n">
        <f aca="false">+BC5+1</f>
        <v>51</v>
      </c>
      <c r="BE5" s="4" t="n">
        <f aca="false">+BD5+1</f>
        <v>52</v>
      </c>
      <c r="BF5" s="4" t="n">
        <f aca="false">+BE5+1</f>
        <v>53</v>
      </c>
      <c r="BG5" s="4" t="n">
        <f aca="false">+BF5+1</f>
        <v>54</v>
      </c>
      <c r="BH5" s="4" t="n">
        <f aca="false">+BG5+1</f>
        <v>55</v>
      </c>
      <c r="BI5" s="4" t="n">
        <f aca="false">+BH5+1</f>
        <v>56</v>
      </c>
      <c r="BJ5" s="4" t="n">
        <f aca="false">+BI5+1</f>
        <v>57</v>
      </c>
      <c r="BK5" s="4" t="n">
        <f aca="false">+BJ5+1</f>
        <v>58</v>
      </c>
      <c r="BL5" s="4" t="n">
        <f aca="false">+BK5+1</f>
        <v>59</v>
      </c>
      <c r="BM5" s="4" t="n">
        <f aca="false">+BL5+1</f>
        <v>60</v>
      </c>
    </row>
    <row r="6" customFormat="false" ht="14.25" hidden="false" customHeight="false" outlineLevel="0" collapsed="false">
      <c r="A6" s="29" t="n">
        <v>1</v>
      </c>
      <c r="B6" s="71" t="n">
        <f aca="false">IF(MOD($A6, 12) = 0, $G$2 * 1.05, $G$2)</f>
        <v>1500</v>
      </c>
      <c r="C6" s="72" t="n">
        <f aca="false">$B6*(1-'Inputs &amp; Assuptions'!$C$12)</f>
        <v>1170</v>
      </c>
      <c r="E6" s="29" t="n">
        <v>1</v>
      </c>
      <c r="F6" s="73" t="n">
        <f aca="false">$C6</f>
        <v>1170</v>
      </c>
      <c r="G6" s="74" t="n">
        <f aca="false" t="array" ref="G6:G6">IF(COLUMN() - ($E6 + 5) &lt; 0, 0,
  IF(COLUMN() - ($E6 + 5) = 0, $F6,
    F6 * (1 - IFERROR(INDEX('Inputs &amp; Assuptions'!$C$13:$C$72, COLUMN() - ($E6 + 5)), 0))
  )
)</f>
        <v>1108.575</v>
      </c>
      <c r="H6" s="74" t="n">
        <f aca="false" t="array" ref="H6:H6">IF(COLUMN() - ($E6 + 5) &lt; 0, 0,
  IF(COLUMN() - ($E6 + 5) = 0, $F6,
    G6 * (1 - IFERROR(INDEX('Inputs &amp; Assuptions'!$C$13:$C$72, COLUMN() - ($E6 + 5)), 0))
  )
)</f>
        <v>1064.232</v>
      </c>
      <c r="I6" s="74" t="n">
        <f aca="false" t="array" ref="I6:I6">IF(COLUMN() - ($E6 + 5) &lt; 0, 0,
  IF(COLUMN() - ($E6 + 5) = 0, $F6,
    H6 * (1 - IFERROR(INDEX('Inputs &amp; Assuptions'!$C$13:$C$72, COLUMN() - ($E6 + 5)), 0))
  )
)</f>
        <v>1034.96562</v>
      </c>
      <c r="J6" s="74" t="n">
        <f aca="false" t="array" ref="J6:J6">IF(COLUMN() - ($E6 + 5) &lt; 0, 0,
  IF(COLUMN() - ($E6 + 5) = 0, $F6,
    I6 * (1 - IFERROR(INDEX('Inputs &amp; Assuptions'!$C$13:$C$72, COLUMN() - ($E6 + 5)), 0))
  )
)</f>
        <v>1009.0914795</v>
      </c>
      <c r="K6" s="74" t="n">
        <f aca="false" t="array" ref="K6:K6">IF(COLUMN() - ($E6 + 5) &lt; 0, 0,
  IF(COLUMN() - ($E6 + 5) = 0, $F6,
    J6 * (1 - IFERROR(INDEX('Inputs &amp; Assuptions'!$C$13:$C$72, COLUMN() - ($E6 + 5)), 0))
  )
)</f>
        <v>986.38692121125</v>
      </c>
      <c r="L6" s="74" t="n">
        <f aca="false" t="array" ref="L6:L6">IF(COLUMN() - ($E6 + 5) &lt; 0, 0,
  IF(COLUMN() - ($E6 + 5) = 0, $F6,
    K6 * (1 - IFERROR(INDEX('Inputs &amp; Assuptions'!$C$13:$C$72, COLUMN() - ($E6 + 5)), 0))
  )
)</f>
        <v>966.659182787025</v>
      </c>
      <c r="M6" s="74" t="n">
        <f aca="false" t="array" ref="M6:M6">IF(COLUMN() - ($E6 + 5) &lt; 0, 0,
  IF(COLUMN() - ($E6 + 5) = 0, $F6,
    L6 * (1 - IFERROR(INDEX('Inputs &amp; Assuptions'!$C$13:$C$72, COLUMN() - ($E6 + 5)), 0))
  )
)</f>
        <v>949.742647088252</v>
      </c>
      <c r="N6" s="74" t="n">
        <f aca="false" t="array" ref="N6:N6">IF(COLUMN() - ($E6 + 5) &lt; 0, 0,
  IF(COLUMN() - ($E6 + 5) = 0, $F6,
    M6 * (1 - IFERROR(INDEX('Inputs &amp; Assuptions'!$C$13:$C$72, COLUMN() - ($E6 + 5)), 0))
  )
)</f>
        <v>935.496507381928</v>
      </c>
      <c r="O6" s="74" t="n">
        <f aca="false" t="array" ref="O6:O6">IF(COLUMN() - ($E6 + 5) &lt; 0, 0,
  IF(COLUMN() - ($E6 + 5) = 0, $F6,
    N6 * (1 - IFERROR(INDEX('Inputs &amp; Assuptions'!$C$13:$C$72, COLUMN() - ($E6 + 5)), 0))
  )
)</f>
        <v>923.802801039654</v>
      </c>
      <c r="P6" s="74" t="n">
        <f aca="false" t="array" ref="P6:P6">IF(COLUMN() - ($E6 + 5) &lt; 0, 0,
  IF(COLUMN() - ($E6 + 5) = 0, $F6,
    O6 * (1 - IFERROR(INDEX('Inputs &amp; Assuptions'!$C$13:$C$72, COLUMN() - ($E6 + 5)), 0))
  )
)</f>
        <v>914.564773029258</v>
      </c>
      <c r="Q6" s="74" t="n">
        <f aca="false" t="array" ref="Q6:Q6">IF(COLUMN() - ($E6 + 5) &lt; 0, 0,
  IF(COLUMN() - ($E6 + 5) = 0, $F6,
    P6 * (1 - IFERROR(INDEX('Inputs &amp; Assuptions'!$C$13:$C$72, COLUMN() - ($E6 + 5)), 0))
  )
)</f>
        <v>909.991949164111</v>
      </c>
      <c r="R6" s="74" t="n">
        <f aca="false" t="array" ref="R6:R6">IF(COLUMN() - ($E6 + 5) &lt; 0, 0,
  IF(COLUMN() - ($E6 + 5) = 0, $F6,
    Q6 * (1 - IFERROR(INDEX('Inputs &amp; Assuptions'!$C$13:$C$72, COLUMN() - ($E6 + 5)), 0))
  )
)</f>
        <v>905.441989418291</v>
      </c>
      <c r="S6" s="74" t="n">
        <f aca="false" t="array" ref="S6:S6">IF(COLUMN() - ($E6 + 5) &lt; 0, 0,
  IF(COLUMN() - ($E6 + 5) = 0, $F6,
    R6 * (1 - IFERROR(INDEX('Inputs &amp; Assuptions'!$C$13:$C$72, COLUMN() - ($E6 + 5)), 0))
  )
)</f>
        <v>900.914779471199</v>
      </c>
      <c r="T6" s="74" t="n">
        <f aca="false" t="array" ref="T6:T6">IF(COLUMN() - ($E6 + 5) &lt; 0, 0,
  IF(COLUMN() - ($E6 + 5) = 0, $F6,
    S6 * (1 - IFERROR(INDEX('Inputs &amp; Assuptions'!$C$13:$C$72, COLUMN() - ($E6 + 5)), 0))
  )
)</f>
        <v>896.410205573843</v>
      </c>
      <c r="U6" s="74" t="n">
        <f aca="false" t="array" ref="U6:U6">IF(COLUMN() - ($E6 + 5) &lt; 0, 0,
  IF(COLUMN() - ($E6 + 5) = 0, $F6,
    T6 * (1 - IFERROR(INDEX('Inputs &amp; Assuptions'!$C$13:$C$72, COLUMN() - ($E6 + 5)), 0))
  )
)</f>
        <v>891.928154545974</v>
      </c>
      <c r="V6" s="74" t="n">
        <f aca="false" t="array" ref="V6:V6">IF(COLUMN() - ($E6 + 5) &lt; 0, 0,
  IF(COLUMN() - ($E6 + 5) = 0, $F6,
    U6 * (1 - IFERROR(INDEX('Inputs &amp; Assuptions'!$C$13:$C$72, COLUMN() - ($E6 + 5)), 0))
  )
)</f>
        <v>887.468513773244</v>
      </c>
      <c r="W6" s="74" t="n">
        <f aca="false" t="array" ref="W6:W6">IF(COLUMN() - ($E6 + 5) &lt; 0, 0,
  IF(COLUMN() - ($E6 + 5) = 0, $F6,
    V6 * (1 - IFERROR(INDEX('Inputs &amp; Assuptions'!$C$13:$C$72, COLUMN() - ($E6 + 5)), 0))
  )
)</f>
        <v>883.031171204378</v>
      </c>
      <c r="X6" s="74" t="n">
        <f aca="false" t="array" ref="X6:X6">IF(COLUMN() - ($E6 + 5) &lt; 0, 0,
  IF(COLUMN() - ($E6 + 5) = 0, $F6,
    W6 * (1 - IFERROR(INDEX('Inputs &amp; Assuptions'!$C$13:$C$72, COLUMN() - ($E6 + 5)), 0))
  )
)</f>
        <v>878.616015348356</v>
      </c>
      <c r="Y6" s="74" t="n">
        <f aca="false" t="array" ref="Y6:Y6">IF(COLUMN() - ($E6 + 5) &lt; 0, 0,
  IF(COLUMN() - ($E6 + 5) = 0, $F6,
    X6 * (1 - IFERROR(INDEX('Inputs &amp; Assuptions'!$C$13:$C$72, COLUMN() - ($E6 + 5)), 0))
  )
)</f>
        <v>874.222935271614</v>
      </c>
      <c r="Z6" s="74" t="n">
        <f aca="false" t="array" ref="Z6:Z6">IF(COLUMN() - ($E6 + 5) &lt; 0, 0,
  IF(COLUMN() - ($E6 + 5) = 0, $F6,
    Y6 * (1 - IFERROR(INDEX('Inputs &amp; Assuptions'!$C$13:$C$72, COLUMN() - ($E6 + 5)), 0))
  )
)</f>
        <v>869.851820595256</v>
      </c>
      <c r="AA6" s="74" t="n">
        <f aca="false" t="array" ref="AA6:AA6">IF(COLUMN() - ($E6 + 5) &lt; 0, 0,
  IF(COLUMN() - ($E6 + 5) = 0, $F6,
    Z6 * (1 - IFERROR(INDEX('Inputs &amp; Assuptions'!$C$13:$C$72, COLUMN() - ($E6 + 5)), 0))
  )
)</f>
        <v>865.50256149228</v>
      </c>
      <c r="AB6" s="74" t="n">
        <f aca="false" t="array" ref="AB6:AB6">IF(COLUMN() - ($E6 + 5) &lt; 0, 0,
  IF(COLUMN() - ($E6 + 5) = 0, $F6,
    AA6 * (1 - IFERROR(INDEX('Inputs &amp; Assuptions'!$C$13:$C$72, COLUMN() - ($E6 + 5)), 0))
  )
)</f>
        <v>861.175048684819</v>
      </c>
      <c r="AC6" s="74" t="n">
        <f aca="false" t="array" ref="AC6:AC6">IF(COLUMN() - ($E6 + 5) &lt; 0, 0,
  IF(COLUMN() - ($E6 + 5) = 0, $F6,
    AB6 * (1 - IFERROR(INDEX('Inputs &amp; Assuptions'!$C$13:$C$72, COLUMN() - ($E6 + 5)), 0))
  )
)</f>
        <v>856.869173441394</v>
      </c>
      <c r="AD6" s="74" t="n">
        <f aca="false" t="array" ref="AD6:AD6">IF(COLUMN() - ($E6 + 5) &lt; 0, 0,
  IF(COLUMN() - ($E6 + 5) = 0, $F6,
    AC6 * (1 - IFERROR(INDEX('Inputs &amp; Assuptions'!$C$13:$C$72, COLUMN() - ($E6 + 5)), 0))
  )
)</f>
        <v>852.584827574187</v>
      </c>
      <c r="AE6" s="74" t="n">
        <f aca="false" t="array" ref="AE6:AE6">IF(COLUMN() - ($E6 + 5) &lt; 0, 0,
  IF(COLUMN() - ($E6 + 5) = 0, $F6,
    AD6 * (1 - IFERROR(INDEX('Inputs &amp; Assuptions'!$C$13:$C$72, COLUMN() - ($E6 + 5)), 0))
  )
)</f>
        <v>848.321903436317</v>
      </c>
      <c r="AF6" s="74" t="n">
        <f aca="false" t="array" ref="AF6:AF6">IF(COLUMN() - ($E6 + 5) &lt; 0, 0,
  IF(COLUMN() - ($E6 + 5) = 0, $F6,
    AE6 * (1 - IFERROR(INDEX('Inputs &amp; Assuptions'!$C$13:$C$72, COLUMN() - ($E6 + 5)), 0))
  )
)</f>
        <v>844.080293919135</v>
      </c>
      <c r="AG6" s="74" t="n">
        <f aca="false" t="array" ref="AG6:AG6">IF(COLUMN() - ($E6 + 5) &lt; 0, 0,
  IF(COLUMN() - ($E6 + 5) = 0, $F6,
    AF6 * (1 - IFERROR(INDEX('Inputs &amp; Assuptions'!$C$13:$C$72, COLUMN() - ($E6 + 5)), 0))
  )
)</f>
        <v>839.859892449539</v>
      </c>
      <c r="AH6" s="74" t="n">
        <f aca="false" t="array" ref="AH6:AH6">IF(COLUMN() - ($E6 + 5) &lt; 0, 0,
  IF(COLUMN() - ($E6 + 5) = 0, $F6,
    AG6 * (1 - IFERROR(INDEX('Inputs &amp; Assuptions'!$C$13:$C$72, COLUMN() - ($E6 + 5)), 0))
  )
)</f>
        <v>835.660592987292</v>
      </c>
      <c r="AI6" s="74" t="n">
        <f aca="false" t="array" ref="AI6:AI6">IF(COLUMN() - ($E6 + 5) &lt; 0, 0,
  IF(COLUMN() - ($E6 + 5) = 0, $F6,
    AH6 * (1 - IFERROR(INDEX('Inputs &amp; Assuptions'!$C$13:$C$72, COLUMN() - ($E6 + 5)), 0))
  )
)</f>
        <v>831.482290022355</v>
      </c>
      <c r="AJ6" s="74" t="n">
        <f aca="false" t="array" ref="AJ6:AJ6">IF(COLUMN() - ($E6 + 5) &lt; 0, 0,
  IF(COLUMN() - ($E6 + 5) = 0, $F6,
    AI6 * (1 - IFERROR(INDEX('Inputs &amp; Assuptions'!$C$13:$C$72, COLUMN() - ($E6 + 5)), 0))
  )
)</f>
        <v>827.324878572243</v>
      </c>
      <c r="AK6" s="74" t="n">
        <f aca="false" t="array" ref="AK6:AK6">IF(COLUMN() - ($E6 + 5) &lt; 0, 0,
  IF(COLUMN() - ($E6 + 5) = 0, $F6,
    AJ6 * (1 - IFERROR(INDEX('Inputs &amp; Assuptions'!$C$13:$C$72, COLUMN() - ($E6 + 5)), 0))
  )
)</f>
        <v>823.188254179382</v>
      </c>
      <c r="AL6" s="74" t="n">
        <f aca="false" t="array" ref="AL6:AL6">IF(COLUMN() - ($E6 + 5) &lt; 0, 0,
  IF(COLUMN() - ($E6 + 5) = 0, $F6,
    AK6 * (1 - IFERROR(INDEX('Inputs &amp; Assuptions'!$C$13:$C$72, COLUMN() - ($E6 + 5)), 0))
  )
)</f>
        <v>819.072312908485</v>
      </c>
      <c r="AM6" s="74" t="n">
        <f aca="false" t="array" ref="AM6:AM6">IF(COLUMN() - ($E6 + 5) &lt; 0, 0,
  IF(COLUMN() - ($E6 + 5) = 0, $F6,
    AL6 * (1 - IFERROR(INDEX('Inputs &amp; Assuptions'!$C$13:$C$72, COLUMN() - ($E6 + 5)), 0))
  )
)</f>
        <v>814.976951343943</v>
      </c>
      <c r="AN6" s="74" t="n">
        <f aca="false" t="array" ref="AN6:AN6">IF(COLUMN() - ($E6 + 5) &lt; 0, 0,
  IF(COLUMN() - ($E6 + 5) = 0, $F6,
    AM6 * (1 - IFERROR(INDEX('Inputs &amp; Assuptions'!$C$13:$C$72, COLUMN() - ($E6 + 5)), 0))
  )
)</f>
        <v>810.902066587223</v>
      </c>
      <c r="AO6" s="74" t="n">
        <f aca="false" t="array" ref="AO6:AO6">IF(COLUMN() - ($E6 + 5) &lt; 0, 0,
  IF(COLUMN() - ($E6 + 5) = 0, $F6,
    AN6 * (1 - IFERROR(INDEX('Inputs &amp; Assuptions'!$C$13:$C$72, COLUMN() - ($E6 + 5)), 0))
  )
)</f>
        <v>806.847556254287</v>
      </c>
      <c r="AP6" s="74" t="n">
        <f aca="false" t="array" ref="AP6:AP6">IF(COLUMN() - ($E6 + 5) &lt; 0, 0,
  IF(COLUMN() - ($E6 + 5) = 0, $F6,
    AO6 * (1 - IFERROR(INDEX('Inputs &amp; Assuptions'!$C$13:$C$72, COLUMN() - ($E6 + 5)), 0))
  )
)</f>
        <v>802.813318473015</v>
      </c>
      <c r="AQ6" s="74" t="n">
        <f aca="false" t="array" ref="AQ6:AQ6">IF(COLUMN() - ($E6 + 5) &lt; 0, 0,
  IF(COLUMN() - ($E6 + 5) = 0, $F6,
    AP6 * (1 - IFERROR(INDEX('Inputs &amp; Assuptions'!$C$13:$C$72, COLUMN() - ($E6 + 5)), 0))
  )
)</f>
        <v>798.79925188065</v>
      </c>
      <c r="AR6" s="74" t="n">
        <f aca="false" t="array" ref="AR6:AR6">IF(COLUMN() - ($E6 + 5) &lt; 0, 0,
  IF(COLUMN() - ($E6 + 5) = 0, $F6,
    AQ6 * (1 - IFERROR(INDEX('Inputs &amp; Assuptions'!$C$13:$C$72, COLUMN() - ($E6 + 5)), 0))
  )
)</f>
        <v>794.805255621247</v>
      </c>
      <c r="AS6" s="74" t="n">
        <f aca="false" t="array" ref="AS6:AS6">IF(COLUMN() - ($E6 + 5) &lt; 0, 0,
  IF(COLUMN() - ($E6 + 5) = 0, $F6,
    AR6 * (1 - IFERROR(INDEX('Inputs &amp; Assuptions'!$C$13:$C$72, COLUMN() - ($E6 + 5)), 0))
  )
)</f>
        <v>790.831229343141</v>
      </c>
      <c r="AT6" s="74" t="n">
        <f aca="false" t="array" ref="AT6:AT6">IF(COLUMN() - ($E6 + 5) &lt; 0, 0,
  IF(COLUMN() - ($E6 + 5) = 0, $F6,
    AS6 * (1 - IFERROR(INDEX('Inputs &amp; Assuptions'!$C$13:$C$72, COLUMN() - ($E6 + 5)), 0))
  )
)</f>
        <v>786.877073196425</v>
      </c>
      <c r="AU6" s="74" t="n">
        <f aca="false" t="array" ref="AU6:AU6">IF(COLUMN() - ($E6 + 5) &lt; 0, 0,
  IF(COLUMN() - ($E6 + 5) = 0, $F6,
    AT6 * (1 - IFERROR(INDEX('Inputs &amp; Assuptions'!$C$13:$C$72, COLUMN() - ($E6 + 5)), 0))
  )
)</f>
        <v>782.942687830443</v>
      </c>
      <c r="AV6" s="74" t="n">
        <f aca="false" t="array" ref="AV6:AV6">IF(COLUMN() - ($E6 + 5) &lt; 0, 0,
  IF(COLUMN() - ($E6 + 5) = 0, $F6,
    AU6 * (1 - IFERROR(INDEX('Inputs &amp; Assuptions'!$C$13:$C$72, COLUMN() - ($E6 + 5)), 0))
  )
)</f>
        <v>779.027974391291</v>
      </c>
      <c r="AW6" s="74" t="n">
        <f aca="false" t="array" ref="AW6:AW6">IF(COLUMN() - ($E6 + 5) &lt; 0, 0,
  IF(COLUMN() - ($E6 + 5) = 0, $F6,
    AV6 * (1 - IFERROR(INDEX('Inputs &amp; Assuptions'!$C$13:$C$72, COLUMN() - ($E6 + 5)), 0))
  )
)</f>
        <v>775.132834519334</v>
      </c>
      <c r="AX6" s="74" t="n">
        <f aca="false" t="array" ref="AX6:AX6">IF(COLUMN() - ($E6 + 5) &lt; 0, 0,
  IF(COLUMN() - ($E6 + 5) = 0, $F6,
    AW6 * (1 - IFERROR(INDEX('Inputs &amp; Assuptions'!$C$13:$C$72, COLUMN() - ($E6 + 5)), 0))
  )
)</f>
        <v>771.257170346737</v>
      </c>
      <c r="AY6" s="74" t="n">
        <f aca="false" t="array" ref="AY6:AY6">IF(COLUMN() - ($E6 + 5) &lt; 0, 0,
  IF(COLUMN() - ($E6 + 5) = 0, $F6,
    AX6 * (1 - IFERROR(INDEX('Inputs &amp; Assuptions'!$C$13:$C$72, COLUMN() - ($E6 + 5)), 0))
  )
)</f>
        <v>767.400884495004</v>
      </c>
      <c r="AZ6" s="74" t="n">
        <f aca="false" t="array" ref="AZ6:AZ6">IF(COLUMN() - ($E6 + 5) &lt; 0, 0,
  IF(COLUMN() - ($E6 + 5) = 0, $F6,
    AY6 * (1 - IFERROR(INDEX('Inputs &amp; Assuptions'!$C$13:$C$72, COLUMN() - ($E6 + 5)), 0))
  )
)</f>
        <v>763.563880072529</v>
      </c>
      <c r="BA6" s="74" t="n">
        <f aca="false" t="array" ref="BA6:BA6">IF(COLUMN() - ($E6 + 5) &lt; 0, 0,
  IF(COLUMN() - ($E6 + 5) = 0, $F6,
    AZ6 * (1 - IFERROR(INDEX('Inputs &amp; Assuptions'!$C$13:$C$72, COLUMN() - ($E6 + 5)), 0))
  )
)</f>
        <v>759.746060672166</v>
      </c>
      <c r="BB6" s="74" t="n">
        <f aca="false" t="array" ref="BB6:BB6">IF(COLUMN() - ($E6 + 5) &lt; 0, 0,
  IF(COLUMN() - ($E6 + 5) = 0, $F6,
    BA6 * (1 - IFERROR(INDEX('Inputs &amp; Assuptions'!$C$13:$C$72, COLUMN() - ($E6 + 5)), 0))
  )
)</f>
        <v>755.947330368805</v>
      </c>
      <c r="BC6" s="74" t="n">
        <f aca="false" t="array" ref="BC6:BC6">IF(COLUMN() - ($E6 + 5) &lt; 0, 0,
  IF(COLUMN() - ($E6 + 5) = 0, $F6,
    BB6 * (1 - IFERROR(INDEX('Inputs &amp; Assuptions'!$C$13:$C$72, COLUMN() - ($E6 + 5)), 0))
  )
)</f>
        <v>752.167593716961</v>
      </c>
      <c r="BD6" s="74" t="n">
        <f aca="false" t="array" ref="BD6:BD6">IF(COLUMN() - ($E6 + 5) &lt; 0, 0,
  IF(COLUMN() - ($E6 + 5) = 0, $F6,
    BC6 * (1 - IFERROR(INDEX('Inputs &amp; Assuptions'!$C$13:$C$72, COLUMN() - ($E6 + 5)), 0))
  )
)</f>
        <v>748.406755748376</v>
      </c>
      <c r="BE6" s="74" t="n">
        <f aca="false" t="array" ref="BE6:BE6">IF(COLUMN() - ($E6 + 5) &lt; 0, 0,
  IF(COLUMN() - ($E6 + 5) = 0, $F6,
    BD6 * (1 - IFERROR(INDEX('Inputs &amp; Assuptions'!$C$13:$C$72, COLUMN() - ($E6 + 5)), 0))
  )
)</f>
        <v>744.664721969635</v>
      </c>
      <c r="BF6" s="74" t="n">
        <f aca="false" t="array" ref="BF6:BF6">IF(COLUMN() - ($E6 + 5) &lt; 0, 0,
  IF(COLUMN() - ($E6 + 5) = 0, $F6,
    BE6 * (1 - IFERROR(INDEX('Inputs &amp; Assuptions'!$C$13:$C$72, COLUMN() - ($E6 + 5)), 0))
  )
)</f>
        <v>740.941398359786</v>
      </c>
      <c r="BG6" s="74" t="n">
        <f aca="false" t="array" ref="BG6:BG6">IF(COLUMN() - ($E6 + 5) &lt; 0, 0,
  IF(COLUMN() - ($E6 + 5) = 0, $F6,
    BF6 * (1 - IFERROR(INDEX('Inputs &amp; Assuptions'!$C$13:$C$72, COLUMN() - ($E6 + 5)), 0))
  )
)</f>
        <v>737.236691367987</v>
      </c>
      <c r="BH6" s="74" t="n">
        <f aca="false" t="array" ref="BH6:BH6">IF(COLUMN() - ($E6 + 5) &lt; 0, 0,
  IF(COLUMN() - ($E6 + 5) = 0, $F6,
    BG6 * (1 - IFERROR(INDEX('Inputs &amp; Assuptions'!$C$13:$C$72, COLUMN() - ($E6 + 5)), 0))
  )
)</f>
        <v>733.550507911148</v>
      </c>
      <c r="BI6" s="74" t="n">
        <f aca="false" t="array" ref="BI6:BI6">IF(COLUMN() - ($E6 + 5) &lt; 0, 0,
  IF(COLUMN() - ($E6 + 5) = 0, $F6,
    BH6 * (1 - IFERROR(INDEX('Inputs &amp; Assuptions'!$C$13:$C$72, COLUMN() - ($E6 + 5)), 0))
  )
)</f>
        <v>729.882755371592</v>
      </c>
      <c r="BJ6" s="74" t="n">
        <f aca="false" t="array" ref="BJ6:BJ6">IF(COLUMN() - ($E6 + 5) &lt; 0, 0,
  IF(COLUMN() - ($E6 + 5) = 0, $F6,
    BI6 * (1 - IFERROR(INDEX('Inputs &amp; Assuptions'!$C$13:$C$72, COLUMN() - ($E6 + 5)), 0))
  )
)</f>
        <v>726.233341594734</v>
      </c>
      <c r="BK6" s="74" t="n">
        <f aca="false" t="array" ref="BK6:BK6">IF(COLUMN() - ($E6 + 5) &lt; 0, 0,
  IF(COLUMN() - ($E6 + 5) = 0, $F6,
    BJ6 * (1 - IFERROR(INDEX('Inputs &amp; Assuptions'!$C$13:$C$72, COLUMN() - ($E6 + 5)), 0))
  )
)</f>
        <v>722.60217488676</v>
      </c>
      <c r="BL6" s="74" t="n">
        <f aca="false" t="array" ref="BL6:BL6">IF(COLUMN() - ($E6 + 5) &lt; 0, 0,
  IF(COLUMN() - ($E6 + 5) = 0, $F6,
    BK6 * (1 - IFERROR(INDEX('Inputs &amp; Assuptions'!$C$13:$C$72, COLUMN() - ($E6 + 5)), 0))
  )
)</f>
        <v>718.989164012326</v>
      </c>
      <c r="BM6" s="75" t="n">
        <f aca="false" t="array" ref="BM6:BM6">IF(COLUMN() - ($E6 + 5) &lt; 0, 0,
  IF(COLUMN() - ($E6 + 5) = 0, $F6,
    BL6 * (1 - IFERROR(INDEX('Inputs &amp; Assuptions'!$C$13:$C$72, COLUMN() - ($E6 + 5)), 0))
  )
)</f>
        <v>715.394218192265</v>
      </c>
      <c r="BN6" s="76"/>
      <c r="BO6" s="70"/>
    </row>
    <row r="7" customFormat="false" ht="14.25" hidden="false" customHeight="false" outlineLevel="0" collapsed="false">
      <c r="A7" s="29" t="n">
        <f aca="false">A6+1</f>
        <v>2</v>
      </c>
      <c r="B7" s="77" t="n">
        <f aca="false">IF(MOD($A7-1, 12) = 0, $B6 * 1.05, $B6)</f>
        <v>1500</v>
      </c>
      <c r="C7" s="78" t="n">
        <f aca="false">$B7*(1-'Inputs &amp; Assuptions'!$C$12)</f>
        <v>1170</v>
      </c>
      <c r="E7" s="29" t="n">
        <f aca="false">E6+1</f>
        <v>2</v>
      </c>
      <c r="F7" s="79"/>
      <c r="G7" s="80" t="n">
        <f aca="false">$C7</f>
        <v>1170</v>
      </c>
      <c r="H7" s="80" t="n">
        <f aca="false" t="array" ref="H7:H7">IF(COLUMN() - ($E7 + 5) &lt; 0, 0,
  IF(COLUMN() - ($E7 + 5) = 0, $F7,
    G7 * (1 - IFERROR(INDEX('Inputs &amp; Assuptions'!$C$13:$C$72, COLUMN() - ($E7 + 5)), 0))
  )
)</f>
        <v>1108.575</v>
      </c>
      <c r="I7" s="80" t="n">
        <f aca="false" t="array" ref="I7:I7">IF(COLUMN() - ($E7 + 5) &lt; 0, 0,
  IF(COLUMN() - ($E7 + 5) = 0, $F7,
    H7 * (1 - IFERROR(INDEX('Inputs &amp; Assuptions'!$C$13:$C$72, COLUMN() - ($E7 + 5)), 0))
  )
)</f>
        <v>1064.232</v>
      </c>
      <c r="J7" s="80" t="n">
        <f aca="false" t="array" ref="J7:J7">IF(COLUMN() - ($E7 + 5) &lt; 0, 0,
  IF(COLUMN() - ($E7 + 5) = 0, $F7,
    I7 * (1 - IFERROR(INDEX('Inputs &amp; Assuptions'!$C$13:$C$72, COLUMN() - ($E7 + 5)), 0))
  )
)</f>
        <v>1034.96562</v>
      </c>
      <c r="K7" s="80" t="n">
        <f aca="false" t="array" ref="K7:K7">IF(COLUMN() - ($E7 + 5) &lt; 0, 0,
  IF(COLUMN() - ($E7 + 5) = 0, $F7,
    J7 * (1 - IFERROR(INDEX('Inputs &amp; Assuptions'!$C$13:$C$72, COLUMN() - ($E7 + 5)), 0))
  )
)</f>
        <v>1009.0914795</v>
      </c>
      <c r="L7" s="80" t="n">
        <f aca="false" t="array" ref="L7:L7">IF(COLUMN() - ($E7 + 5) &lt; 0, 0,
  IF(COLUMN() - ($E7 + 5) = 0, $F7,
    K7 * (1 - IFERROR(INDEX('Inputs &amp; Assuptions'!$C$13:$C$72, COLUMN() - ($E7 + 5)), 0))
  )
)</f>
        <v>986.38692121125</v>
      </c>
      <c r="M7" s="80" t="n">
        <f aca="false" t="array" ref="M7:M7">IF(COLUMN() - ($E7 + 5) &lt; 0, 0,
  IF(COLUMN() - ($E7 + 5) = 0, $F7,
    L7 * (1 - IFERROR(INDEX('Inputs &amp; Assuptions'!$C$13:$C$72, COLUMN() - ($E7 + 5)), 0))
  )
)</f>
        <v>966.659182787025</v>
      </c>
      <c r="N7" s="80" t="n">
        <f aca="false" t="array" ref="N7:N7">IF(COLUMN() - ($E7 + 5) &lt; 0, 0,
  IF(COLUMN() - ($E7 + 5) = 0, $F7,
    M7 * (1 - IFERROR(INDEX('Inputs &amp; Assuptions'!$C$13:$C$72, COLUMN() - ($E7 + 5)), 0))
  )
)</f>
        <v>949.742647088252</v>
      </c>
      <c r="O7" s="80" t="n">
        <f aca="false" t="array" ref="O7:O7">IF(COLUMN() - ($E7 + 5) &lt; 0, 0,
  IF(COLUMN() - ($E7 + 5) = 0, $F7,
    N7 * (1 - IFERROR(INDEX('Inputs &amp; Assuptions'!$C$13:$C$72, COLUMN() - ($E7 + 5)), 0))
  )
)</f>
        <v>935.496507381928</v>
      </c>
      <c r="P7" s="80" t="n">
        <f aca="false" t="array" ref="P7:P7">IF(COLUMN() - ($E7 + 5) &lt; 0, 0,
  IF(COLUMN() - ($E7 + 5) = 0, $F7,
    O7 * (1 - IFERROR(INDEX('Inputs &amp; Assuptions'!$C$13:$C$72, COLUMN() - ($E7 + 5)), 0))
  )
)</f>
        <v>923.802801039654</v>
      </c>
      <c r="Q7" s="80" t="n">
        <f aca="false" t="array" ref="Q7:Q7">IF(COLUMN() - ($E7 + 5) &lt; 0, 0,
  IF(COLUMN() - ($E7 + 5) = 0, $F7,
    P7 * (1 - IFERROR(INDEX('Inputs &amp; Assuptions'!$C$13:$C$72, COLUMN() - ($E7 + 5)), 0))
  )
)</f>
        <v>914.564773029258</v>
      </c>
      <c r="R7" s="80" t="n">
        <f aca="false" t="array" ref="R7:R7">IF(COLUMN() - ($E7 + 5) &lt; 0, 0,
  IF(COLUMN() - ($E7 + 5) = 0, $F7,
    Q7 * (1 - IFERROR(INDEX('Inputs &amp; Assuptions'!$C$13:$C$72, COLUMN() - ($E7 + 5)), 0))
  )
)</f>
        <v>909.991949164111</v>
      </c>
      <c r="S7" s="80" t="n">
        <f aca="false" t="array" ref="S7:S7">IF(COLUMN() - ($E7 + 5) &lt; 0, 0,
  IF(COLUMN() - ($E7 + 5) = 0, $F7,
    R7 * (1 - IFERROR(INDEX('Inputs &amp; Assuptions'!$C$13:$C$72, COLUMN() - ($E7 + 5)), 0))
  )
)</f>
        <v>905.441989418291</v>
      </c>
      <c r="T7" s="80" t="n">
        <f aca="false" t="array" ref="T7:T7">IF(COLUMN() - ($E7 + 5) &lt; 0, 0,
  IF(COLUMN() - ($E7 + 5) = 0, $F7,
    S7 * (1 - IFERROR(INDEX('Inputs &amp; Assuptions'!$C$13:$C$72, COLUMN() - ($E7 + 5)), 0))
  )
)</f>
        <v>900.914779471199</v>
      </c>
      <c r="U7" s="80" t="n">
        <f aca="false" t="array" ref="U7:U7">IF(COLUMN() - ($E7 + 5) &lt; 0, 0,
  IF(COLUMN() - ($E7 + 5) = 0, $F7,
    T7 * (1 - IFERROR(INDEX('Inputs &amp; Assuptions'!$C$13:$C$72, COLUMN() - ($E7 + 5)), 0))
  )
)</f>
        <v>896.410205573843</v>
      </c>
      <c r="V7" s="80" t="n">
        <f aca="false" t="array" ref="V7:V7">IF(COLUMN() - ($E7 + 5) &lt; 0, 0,
  IF(COLUMN() - ($E7 + 5) = 0, $F7,
    U7 * (1 - IFERROR(INDEX('Inputs &amp; Assuptions'!$C$13:$C$72, COLUMN() - ($E7 + 5)), 0))
  )
)</f>
        <v>891.928154545974</v>
      </c>
      <c r="W7" s="80" t="n">
        <f aca="false" t="array" ref="W7:W7">IF(COLUMN() - ($E7 + 5) &lt; 0, 0,
  IF(COLUMN() - ($E7 + 5) = 0, $F7,
    V7 * (1 - IFERROR(INDEX('Inputs &amp; Assuptions'!$C$13:$C$72, COLUMN() - ($E7 + 5)), 0))
  )
)</f>
        <v>887.468513773244</v>
      </c>
      <c r="X7" s="80" t="n">
        <f aca="false" t="array" ref="X7:X7">IF(COLUMN() - ($E7 + 5) &lt; 0, 0,
  IF(COLUMN() - ($E7 + 5) = 0, $F7,
    W7 * (1 - IFERROR(INDEX('Inputs &amp; Assuptions'!$C$13:$C$72, COLUMN() - ($E7 + 5)), 0))
  )
)</f>
        <v>883.031171204378</v>
      </c>
      <c r="Y7" s="80" t="n">
        <f aca="false" t="array" ref="Y7:Y7">IF(COLUMN() - ($E7 + 5) &lt; 0, 0,
  IF(COLUMN() - ($E7 + 5) = 0, $F7,
    X7 * (1 - IFERROR(INDEX('Inputs &amp; Assuptions'!$C$13:$C$72, COLUMN() - ($E7 + 5)), 0))
  )
)</f>
        <v>878.616015348356</v>
      </c>
      <c r="Z7" s="80" t="n">
        <f aca="false" t="array" ref="Z7:Z7">IF(COLUMN() - ($E7 + 5) &lt; 0, 0,
  IF(COLUMN() - ($E7 + 5) = 0, $F7,
    Y7 * (1 - IFERROR(INDEX('Inputs &amp; Assuptions'!$C$13:$C$72, COLUMN() - ($E7 + 5)), 0))
  )
)</f>
        <v>874.222935271614</v>
      </c>
      <c r="AA7" s="80" t="n">
        <f aca="false" t="array" ref="AA7:AA7">IF(COLUMN() - ($E7 + 5) &lt; 0, 0,
  IF(COLUMN() - ($E7 + 5) = 0, $F7,
    Z7 * (1 - IFERROR(INDEX('Inputs &amp; Assuptions'!$C$13:$C$72, COLUMN() - ($E7 + 5)), 0))
  )
)</f>
        <v>869.851820595256</v>
      </c>
      <c r="AB7" s="80" t="n">
        <f aca="false" t="array" ref="AB7:AB7">IF(COLUMN() - ($E7 + 5) &lt; 0, 0,
  IF(COLUMN() - ($E7 + 5) = 0, $F7,
    AA7 * (1 - IFERROR(INDEX('Inputs &amp; Assuptions'!$C$13:$C$72, COLUMN() - ($E7 + 5)), 0))
  )
)</f>
        <v>865.50256149228</v>
      </c>
      <c r="AC7" s="80" t="n">
        <f aca="false" t="array" ref="AC7:AC7">IF(COLUMN() - ($E7 + 5) &lt; 0, 0,
  IF(COLUMN() - ($E7 + 5) = 0, $F7,
    AB7 * (1 - IFERROR(INDEX('Inputs &amp; Assuptions'!$C$13:$C$72, COLUMN() - ($E7 + 5)), 0))
  )
)</f>
        <v>861.175048684819</v>
      </c>
      <c r="AD7" s="80" t="n">
        <f aca="false" t="array" ref="AD7:AD7">IF(COLUMN() - ($E7 + 5) &lt; 0, 0,
  IF(COLUMN() - ($E7 + 5) = 0, $F7,
    AC7 * (1 - IFERROR(INDEX('Inputs &amp; Assuptions'!$C$13:$C$72, COLUMN() - ($E7 + 5)), 0))
  )
)</f>
        <v>856.869173441394</v>
      </c>
      <c r="AE7" s="80" t="n">
        <f aca="false" t="array" ref="AE7:AE7">IF(COLUMN() - ($E7 + 5) &lt; 0, 0,
  IF(COLUMN() - ($E7 + 5) = 0, $F7,
    AD7 * (1 - IFERROR(INDEX('Inputs &amp; Assuptions'!$C$13:$C$72, COLUMN() - ($E7 + 5)), 0))
  )
)</f>
        <v>852.584827574187</v>
      </c>
      <c r="AF7" s="80" t="n">
        <f aca="false" t="array" ref="AF7:AF7">IF(COLUMN() - ($E7 + 5) &lt; 0, 0,
  IF(COLUMN() - ($E7 + 5) = 0, $F7,
    AE7 * (1 - IFERROR(INDEX('Inputs &amp; Assuptions'!$C$13:$C$72, COLUMN() - ($E7 + 5)), 0))
  )
)</f>
        <v>848.321903436317</v>
      </c>
      <c r="AG7" s="80" t="n">
        <f aca="false" t="array" ref="AG7:AG7">IF(COLUMN() - ($E7 + 5) &lt; 0, 0,
  IF(COLUMN() - ($E7 + 5) = 0, $F7,
    AF7 * (1 - IFERROR(INDEX('Inputs &amp; Assuptions'!$C$13:$C$72, COLUMN() - ($E7 + 5)), 0))
  )
)</f>
        <v>844.080293919135</v>
      </c>
      <c r="AH7" s="80" t="n">
        <f aca="false" t="array" ref="AH7:AH7">IF(COLUMN() - ($E7 + 5) &lt; 0, 0,
  IF(COLUMN() - ($E7 + 5) = 0, $F7,
    AG7 * (1 - IFERROR(INDEX('Inputs &amp; Assuptions'!$C$13:$C$72, COLUMN() - ($E7 + 5)), 0))
  )
)</f>
        <v>839.859892449539</v>
      </c>
      <c r="AI7" s="80" t="n">
        <f aca="false" t="array" ref="AI7:AI7">IF(COLUMN() - ($E7 + 5) &lt; 0, 0,
  IF(COLUMN() - ($E7 + 5) = 0, $F7,
    AH7 * (1 - IFERROR(INDEX('Inputs &amp; Assuptions'!$C$13:$C$72, COLUMN() - ($E7 + 5)), 0))
  )
)</f>
        <v>835.660592987292</v>
      </c>
      <c r="AJ7" s="80" t="n">
        <f aca="false" t="array" ref="AJ7:AJ7">IF(COLUMN() - ($E7 + 5) &lt; 0, 0,
  IF(COLUMN() - ($E7 + 5) = 0, $F7,
    AI7 * (1 - IFERROR(INDEX('Inputs &amp; Assuptions'!$C$13:$C$72, COLUMN() - ($E7 + 5)), 0))
  )
)</f>
        <v>831.482290022355</v>
      </c>
      <c r="AK7" s="80" t="n">
        <f aca="false" t="array" ref="AK7:AK7">IF(COLUMN() - ($E7 + 5) &lt; 0, 0,
  IF(COLUMN() - ($E7 + 5) = 0, $F7,
    AJ7 * (1 - IFERROR(INDEX('Inputs &amp; Assuptions'!$C$13:$C$72, COLUMN() - ($E7 + 5)), 0))
  )
)</f>
        <v>827.324878572243</v>
      </c>
      <c r="AL7" s="80" t="n">
        <f aca="false" t="array" ref="AL7:AL7">IF(COLUMN() - ($E7 + 5) &lt; 0, 0,
  IF(COLUMN() - ($E7 + 5) = 0, $F7,
    AK7 * (1 - IFERROR(INDEX('Inputs &amp; Assuptions'!$C$13:$C$72, COLUMN() - ($E7 + 5)), 0))
  )
)</f>
        <v>823.188254179382</v>
      </c>
      <c r="AM7" s="80" t="n">
        <f aca="false" t="array" ref="AM7:AM7">IF(COLUMN() - ($E7 + 5) &lt; 0, 0,
  IF(COLUMN() - ($E7 + 5) = 0, $F7,
    AL7 * (1 - IFERROR(INDEX('Inputs &amp; Assuptions'!$C$13:$C$72, COLUMN() - ($E7 + 5)), 0))
  )
)</f>
        <v>819.072312908485</v>
      </c>
      <c r="AN7" s="80" t="n">
        <f aca="false" t="array" ref="AN7:AN7">IF(COLUMN() - ($E7 + 5) &lt; 0, 0,
  IF(COLUMN() - ($E7 + 5) = 0, $F7,
    AM7 * (1 - IFERROR(INDEX('Inputs &amp; Assuptions'!$C$13:$C$72, COLUMN() - ($E7 + 5)), 0))
  )
)</f>
        <v>814.976951343943</v>
      </c>
      <c r="AO7" s="80" t="n">
        <f aca="false" t="array" ref="AO7:AO7">IF(COLUMN() - ($E7 + 5) &lt; 0, 0,
  IF(COLUMN() - ($E7 + 5) = 0, $F7,
    AN7 * (1 - IFERROR(INDEX('Inputs &amp; Assuptions'!$C$13:$C$72, COLUMN() - ($E7 + 5)), 0))
  )
)</f>
        <v>810.902066587223</v>
      </c>
      <c r="AP7" s="80" t="n">
        <f aca="false" t="array" ref="AP7:AP7">IF(COLUMN() - ($E7 + 5) &lt; 0, 0,
  IF(COLUMN() - ($E7 + 5) = 0, $F7,
    AO7 * (1 - IFERROR(INDEX('Inputs &amp; Assuptions'!$C$13:$C$72, COLUMN() - ($E7 + 5)), 0))
  )
)</f>
        <v>806.847556254287</v>
      </c>
      <c r="AQ7" s="80" t="n">
        <f aca="false" t="array" ref="AQ7:AQ7">IF(COLUMN() - ($E7 + 5) &lt; 0, 0,
  IF(COLUMN() - ($E7 + 5) = 0, $F7,
    AP7 * (1 - IFERROR(INDEX('Inputs &amp; Assuptions'!$C$13:$C$72, COLUMN() - ($E7 + 5)), 0))
  )
)</f>
        <v>802.813318473015</v>
      </c>
      <c r="AR7" s="80" t="n">
        <f aca="false" t="array" ref="AR7:AR7">IF(COLUMN() - ($E7 + 5) &lt; 0, 0,
  IF(COLUMN() - ($E7 + 5) = 0, $F7,
    AQ7 * (1 - IFERROR(INDEX('Inputs &amp; Assuptions'!$C$13:$C$72, COLUMN() - ($E7 + 5)), 0))
  )
)</f>
        <v>798.79925188065</v>
      </c>
      <c r="AS7" s="80" t="n">
        <f aca="false" t="array" ref="AS7:AS7">IF(COLUMN() - ($E7 + 5) &lt; 0, 0,
  IF(COLUMN() - ($E7 + 5) = 0, $F7,
    AR7 * (1 - IFERROR(INDEX('Inputs &amp; Assuptions'!$C$13:$C$72, COLUMN() - ($E7 + 5)), 0))
  )
)</f>
        <v>794.805255621247</v>
      </c>
      <c r="AT7" s="80" t="n">
        <f aca="false" t="array" ref="AT7:AT7">IF(COLUMN() - ($E7 + 5) &lt; 0, 0,
  IF(COLUMN() - ($E7 + 5) = 0, $F7,
    AS7 * (1 - IFERROR(INDEX('Inputs &amp; Assuptions'!$C$13:$C$72, COLUMN() - ($E7 + 5)), 0))
  )
)</f>
        <v>790.831229343141</v>
      </c>
      <c r="AU7" s="80" t="n">
        <f aca="false" t="array" ref="AU7:AU7">IF(COLUMN() - ($E7 + 5) &lt; 0, 0,
  IF(COLUMN() - ($E7 + 5) = 0, $F7,
    AT7 * (1 - IFERROR(INDEX('Inputs &amp; Assuptions'!$C$13:$C$72, COLUMN() - ($E7 + 5)), 0))
  )
)</f>
        <v>786.877073196425</v>
      </c>
      <c r="AV7" s="80" t="n">
        <f aca="false" t="array" ref="AV7:AV7">IF(COLUMN() - ($E7 + 5) &lt; 0, 0,
  IF(COLUMN() - ($E7 + 5) = 0, $F7,
    AU7 * (1 - IFERROR(INDEX('Inputs &amp; Assuptions'!$C$13:$C$72, COLUMN() - ($E7 + 5)), 0))
  )
)</f>
        <v>782.942687830443</v>
      </c>
      <c r="AW7" s="80" t="n">
        <f aca="false" t="array" ref="AW7:AW7">IF(COLUMN() - ($E7 + 5) &lt; 0, 0,
  IF(COLUMN() - ($E7 + 5) = 0, $F7,
    AV7 * (1 - IFERROR(INDEX('Inputs &amp; Assuptions'!$C$13:$C$72, COLUMN() - ($E7 + 5)), 0))
  )
)</f>
        <v>779.027974391291</v>
      </c>
      <c r="AX7" s="80" t="n">
        <f aca="false" t="array" ref="AX7:AX7">IF(COLUMN() - ($E7 + 5) &lt; 0, 0,
  IF(COLUMN() - ($E7 + 5) = 0, $F7,
    AW7 * (1 - IFERROR(INDEX('Inputs &amp; Assuptions'!$C$13:$C$72, COLUMN() - ($E7 + 5)), 0))
  )
)</f>
        <v>775.132834519334</v>
      </c>
      <c r="AY7" s="80" t="n">
        <f aca="false" t="array" ref="AY7:AY7">IF(COLUMN() - ($E7 + 5) &lt; 0, 0,
  IF(COLUMN() - ($E7 + 5) = 0, $F7,
    AX7 * (1 - IFERROR(INDEX('Inputs &amp; Assuptions'!$C$13:$C$72, COLUMN() - ($E7 + 5)), 0))
  )
)</f>
        <v>771.257170346737</v>
      </c>
      <c r="AZ7" s="80" t="n">
        <f aca="false" t="array" ref="AZ7:AZ7">IF(COLUMN() - ($E7 + 5) &lt; 0, 0,
  IF(COLUMN() - ($E7 + 5) = 0, $F7,
    AY7 * (1 - IFERROR(INDEX('Inputs &amp; Assuptions'!$C$13:$C$72, COLUMN() - ($E7 + 5)), 0))
  )
)</f>
        <v>767.400884495004</v>
      </c>
      <c r="BA7" s="80" t="n">
        <f aca="false" t="array" ref="BA7:BA7">IF(COLUMN() - ($E7 + 5) &lt; 0, 0,
  IF(COLUMN() - ($E7 + 5) = 0, $F7,
    AZ7 * (1 - IFERROR(INDEX('Inputs &amp; Assuptions'!$C$13:$C$72, COLUMN() - ($E7 + 5)), 0))
  )
)</f>
        <v>763.563880072529</v>
      </c>
      <c r="BB7" s="80" t="n">
        <f aca="false" t="array" ref="BB7:BB7">IF(COLUMN() - ($E7 + 5) &lt; 0, 0,
  IF(COLUMN() - ($E7 + 5) = 0, $F7,
    BA7 * (1 - IFERROR(INDEX('Inputs &amp; Assuptions'!$C$13:$C$72, COLUMN() - ($E7 + 5)), 0))
  )
)</f>
        <v>759.746060672166</v>
      </c>
      <c r="BC7" s="80" t="n">
        <f aca="false" t="array" ref="BC7:BC7">IF(COLUMN() - ($E7 + 5) &lt; 0, 0,
  IF(COLUMN() - ($E7 + 5) = 0, $F7,
    BB7 * (1 - IFERROR(INDEX('Inputs &amp; Assuptions'!$C$13:$C$72, COLUMN() - ($E7 + 5)), 0))
  )
)</f>
        <v>755.947330368805</v>
      </c>
      <c r="BD7" s="80" t="n">
        <f aca="false" t="array" ref="BD7:BD7">IF(COLUMN() - ($E7 + 5) &lt; 0, 0,
  IF(COLUMN() - ($E7 + 5) = 0, $F7,
    BC7 * (1 - IFERROR(INDEX('Inputs &amp; Assuptions'!$C$13:$C$72, COLUMN() - ($E7 + 5)), 0))
  )
)</f>
        <v>752.167593716961</v>
      </c>
      <c r="BE7" s="80" t="n">
        <f aca="false" t="array" ref="BE7:BE7">IF(COLUMN() - ($E7 + 5) &lt; 0, 0,
  IF(COLUMN() - ($E7 + 5) = 0, $F7,
    BD7 * (1 - IFERROR(INDEX('Inputs &amp; Assuptions'!$C$13:$C$72, COLUMN() - ($E7 + 5)), 0))
  )
)</f>
        <v>748.406755748376</v>
      </c>
      <c r="BF7" s="80" t="n">
        <f aca="false" t="array" ref="BF7:BF7">IF(COLUMN() - ($E7 + 5) &lt; 0, 0,
  IF(COLUMN() - ($E7 + 5) = 0, $F7,
    BE7 * (1 - IFERROR(INDEX('Inputs &amp; Assuptions'!$C$13:$C$72, COLUMN() - ($E7 + 5)), 0))
  )
)</f>
        <v>744.664721969635</v>
      </c>
      <c r="BG7" s="80" t="n">
        <f aca="false" t="array" ref="BG7:BG7">IF(COLUMN() - ($E7 + 5) &lt; 0, 0,
  IF(COLUMN() - ($E7 + 5) = 0, $F7,
    BF7 * (1 - IFERROR(INDEX('Inputs &amp; Assuptions'!$C$13:$C$72, COLUMN() - ($E7 + 5)), 0))
  )
)</f>
        <v>740.941398359786</v>
      </c>
      <c r="BH7" s="80" t="n">
        <f aca="false" t="array" ref="BH7:BH7">IF(COLUMN() - ($E7 + 5) &lt; 0, 0,
  IF(COLUMN() - ($E7 + 5) = 0, $F7,
    BG7 * (1 - IFERROR(INDEX('Inputs &amp; Assuptions'!$C$13:$C$72, COLUMN() - ($E7 + 5)), 0))
  )
)</f>
        <v>737.236691367987</v>
      </c>
      <c r="BI7" s="80" t="n">
        <f aca="false" t="array" ref="BI7:BI7">IF(COLUMN() - ($E7 + 5) &lt; 0, 0,
  IF(COLUMN() - ($E7 + 5) = 0, $F7,
    BH7 * (1 - IFERROR(INDEX('Inputs &amp; Assuptions'!$C$13:$C$72, COLUMN() - ($E7 + 5)), 0))
  )
)</f>
        <v>733.550507911148</v>
      </c>
      <c r="BJ7" s="80" t="n">
        <f aca="false" t="array" ref="BJ7:BJ7">IF(COLUMN() - ($E7 + 5) &lt; 0, 0,
  IF(COLUMN() - ($E7 + 5) = 0, $F7,
    BI7 * (1 - IFERROR(INDEX('Inputs &amp; Assuptions'!$C$13:$C$72, COLUMN() - ($E7 + 5)), 0))
  )
)</f>
        <v>729.882755371592</v>
      </c>
      <c r="BK7" s="80" t="n">
        <f aca="false" t="array" ref="BK7:BK7">IF(COLUMN() - ($E7 + 5) &lt; 0, 0,
  IF(COLUMN() - ($E7 + 5) = 0, $F7,
    BJ7 * (1 - IFERROR(INDEX('Inputs &amp; Assuptions'!$C$13:$C$72, COLUMN() - ($E7 + 5)), 0))
  )
)</f>
        <v>726.233341594734</v>
      </c>
      <c r="BL7" s="80" t="n">
        <f aca="false" t="array" ref="BL7:BL7">IF(COLUMN() - ($E7 + 5) &lt; 0, 0,
  IF(COLUMN() - ($E7 + 5) = 0, $F7,
    BK7 * (1 - IFERROR(INDEX('Inputs &amp; Assuptions'!$C$13:$C$72, COLUMN() - ($E7 + 5)), 0))
  )
)</f>
        <v>722.60217488676</v>
      </c>
      <c r="BM7" s="81" t="n">
        <f aca="false" t="array" ref="BM7:BM7">IF(COLUMN() - ($E7 + 5) &lt; 0, 0,
  IF(COLUMN() - ($E7 + 5) = 0, $F7,
    BL7 * (1 - IFERROR(INDEX('Inputs &amp; Assuptions'!$C$13:$C$72, COLUMN() - ($E7 + 5)), 0))
  )
)</f>
        <v>718.989164012326</v>
      </c>
      <c r="BN7" s="76"/>
    </row>
    <row r="8" customFormat="false" ht="14.25" hidden="false" customHeight="false" outlineLevel="0" collapsed="false">
      <c r="A8" s="29" t="n">
        <f aca="false">A7+1</f>
        <v>3</v>
      </c>
      <c r="B8" s="77" t="n">
        <f aca="false">IF(MOD($A8-1, 12) = 0, $B7 * 1.05, $B7)</f>
        <v>1500</v>
      </c>
      <c r="C8" s="78" t="n">
        <f aca="false">$B8*(1-'Inputs &amp; Assuptions'!$C$12)</f>
        <v>1170</v>
      </c>
      <c r="E8" s="29" t="n">
        <f aca="false">E7+1</f>
        <v>3</v>
      </c>
      <c r="F8" s="79"/>
      <c r="G8" s="80"/>
      <c r="H8" s="80" t="n">
        <f aca="false">$C8</f>
        <v>1170</v>
      </c>
      <c r="I8" s="80" t="n">
        <f aca="false" t="array" ref="I8:I8">IF(COLUMN() - ($E8 + 5) &lt; 0, 0,
  IF(COLUMN() - ($E8 + 5) = 0, $F8,
    H8 * (1 - IFERROR(INDEX('Inputs &amp; Assuptions'!$C$13:$C$72, COLUMN() - ($E8 + 5)), 0))
  )
)</f>
        <v>1108.575</v>
      </c>
      <c r="J8" s="80" t="n">
        <f aca="false" t="array" ref="J8:J8">IF(COLUMN() - ($E8 + 5) &lt; 0, 0,
  IF(COLUMN() - ($E8 + 5) = 0, $F8,
    I8 * (1 - IFERROR(INDEX('Inputs &amp; Assuptions'!$C$13:$C$72, COLUMN() - ($E8 + 5)), 0))
  )
)</f>
        <v>1064.232</v>
      </c>
      <c r="K8" s="80" t="n">
        <f aca="false" t="array" ref="K8:K8">IF(COLUMN() - ($E8 + 5) &lt; 0, 0,
  IF(COLUMN() - ($E8 + 5) = 0, $F8,
    J8 * (1 - IFERROR(INDEX('Inputs &amp; Assuptions'!$C$13:$C$72, COLUMN() - ($E8 + 5)), 0))
  )
)</f>
        <v>1034.96562</v>
      </c>
      <c r="L8" s="80" t="n">
        <f aca="false" t="array" ref="L8:L8">IF(COLUMN() - ($E8 + 5) &lt; 0, 0,
  IF(COLUMN() - ($E8 + 5) = 0, $F8,
    K8 * (1 - IFERROR(INDEX('Inputs &amp; Assuptions'!$C$13:$C$72, COLUMN() - ($E8 + 5)), 0))
  )
)</f>
        <v>1009.0914795</v>
      </c>
      <c r="M8" s="80" t="n">
        <f aca="false" t="array" ref="M8:M8">IF(COLUMN() - ($E8 + 5) &lt; 0, 0,
  IF(COLUMN() - ($E8 + 5) = 0, $F8,
    L8 * (1 - IFERROR(INDEX('Inputs &amp; Assuptions'!$C$13:$C$72, COLUMN() - ($E8 + 5)), 0))
  )
)</f>
        <v>986.38692121125</v>
      </c>
      <c r="N8" s="80" t="n">
        <f aca="false" t="array" ref="N8:N8">IF(COLUMN() - ($E8 + 5) &lt; 0, 0,
  IF(COLUMN() - ($E8 + 5) = 0, $F8,
    M8 * (1 - IFERROR(INDEX('Inputs &amp; Assuptions'!$C$13:$C$72, COLUMN() - ($E8 + 5)), 0))
  )
)</f>
        <v>966.659182787025</v>
      </c>
      <c r="O8" s="80" t="n">
        <f aca="false" t="array" ref="O8:O8">IF(COLUMN() - ($E8 + 5) &lt; 0, 0,
  IF(COLUMN() - ($E8 + 5) = 0, $F8,
    N8 * (1 - IFERROR(INDEX('Inputs &amp; Assuptions'!$C$13:$C$72, COLUMN() - ($E8 + 5)), 0))
  )
)</f>
        <v>949.742647088252</v>
      </c>
      <c r="P8" s="80" t="n">
        <f aca="false" t="array" ref="P8:P8">IF(COLUMN() - ($E8 + 5) &lt; 0, 0,
  IF(COLUMN() - ($E8 + 5) = 0, $F8,
    O8 * (1 - IFERROR(INDEX('Inputs &amp; Assuptions'!$C$13:$C$72, COLUMN() - ($E8 + 5)), 0))
  )
)</f>
        <v>935.496507381928</v>
      </c>
      <c r="Q8" s="80" t="n">
        <f aca="false" t="array" ref="Q8:Q8">IF(COLUMN() - ($E8 + 5) &lt; 0, 0,
  IF(COLUMN() - ($E8 + 5) = 0, $F8,
    P8 * (1 - IFERROR(INDEX('Inputs &amp; Assuptions'!$C$13:$C$72, COLUMN() - ($E8 + 5)), 0))
  )
)</f>
        <v>923.802801039654</v>
      </c>
      <c r="R8" s="80" t="n">
        <f aca="false" t="array" ref="R8:R8">IF(COLUMN() - ($E8 + 5) &lt; 0, 0,
  IF(COLUMN() - ($E8 + 5) = 0, $F8,
    Q8 * (1 - IFERROR(INDEX('Inputs &amp; Assuptions'!$C$13:$C$72, COLUMN() - ($E8 + 5)), 0))
  )
)</f>
        <v>914.564773029258</v>
      </c>
      <c r="S8" s="80" t="n">
        <f aca="false" t="array" ref="S8:S8">IF(COLUMN() - ($E8 + 5) &lt; 0, 0,
  IF(COLUMN() - ($E8 + 5) = 0, $F8,
    R8 * (1 - IFERROR(INDEX('Inputs &amp; Assuptions'!$C$13:$C$72, COLUMN() - ($E8 + 5)), 0))
  )
)</f>
        <v>909.991949164111</v>
      </c>
      <c r="T8" s="80" t="n">
        <f aca="false" t="array" ref="T8:T8">IF(COLUMN() - ($E8 + 5) &lt; 0, 0,
  IF(COLUMN() - ($E8 + 5) = 0, $F8,
    S8 * (1 - IFERROR(INDEX('Inputs &amp; Assuptions'!$C$13:$C$72, COLUMN() - ($E8 + 5)), 0))
  )
)</f>
        <v>905.441989418291</v>
      </c>
      <c r="U8" s="80" t="n">
        <f aca="false" t="array" ref="U8:U8">IF(COLUMN() - ($E8 + 5) &lt; 0, 0,
  IF(COLUMN() - ($E8 + 5) = 0, $F8,
    T8 * (1 - IFERROR(INDEX('Inputs &amp; Assuptions'!$C$13:$C$72, COLUMN() - ($E8 + 5)), 0))
  )
)</f>
        <v>900.914779471199</v>
      </c>
      <c r="V8" s="80" t="n">
        <f aca="false" t="array" ref="V8:V8">IF(COLUMN() - ($E8 + 5) &lt; 0, 0,
  IF(COLUMN() - ($E8 + 5) = 0, $F8,
    U8 * (1 - IFERROR(INDEX('Inputs &amp; Assuptions'!$C$13:$C$72, COLUMN() - ($E8 + 5)), 0))
  )
)</f>
        <v>896.410205573843</v>
      </c>
      <c r="W8" s="80" t="n">
        <f aca="false" t="array" ref="W8:W8">IF(COLUMN() - ($E8 + 5) &lt; 0, 0,
  IF(COLUMN() - ($E8 + 5) = 0, $F8,
    V8 * (1 - IFERROR(INDEX('Inputs &amp; Assuptions'!$C$13:$C$72, COLUMN() - ($E8 + 5)), 0))
  )
)</f>
        <v>891.928154545974</v>
      </c>
      <c r="X8" s="80" t="n">
        <f aca="false" t="array" ref="X8:X8">IF(COLUMN() - ($E8 + 5) &lt; 0, 0,
  IF(COLUMN() - ($E8 + 5) = 0, $F8,
    W8 * (1 - IFERROR(INDEX('Inputs &amp; Assuptions'!$C$13:$C$72, COLUMN() - ($E8 + 5)), 0))
  )
)</f>
        <v>887.468513773244</v>
      </c>
      <c r="Y8" s="80" t="n">
        <f aca="false" t="array" ref="Y8:Y8">IF(COLUMN() - ($E8 + 5) &lt; 0, 0,
  IF(COLUMN() - ($E8 + 5) = 0, $F8,
    X8 * (1 - IFERROR(INDEX('Inputs &amp; Assuptions'!$C$13:$C$72, COLUMN() - ($E8 + 5)), 0))
  )
)</f>
        <v>883.031171204378</v>
      </c>
      <c r="Z8" s="80" t="n">
        <f aca="false" t="array" ref="Z8:Z8">IF(COLUMN() - ($E8 + 5) &lt; 0, 0,
  IF(COLUMN() - ($E8 + 5) = 0, $F8,
    Y8 * (1 - IFERROR(INDEX('Inputs &amp; Assuptions'!$C$13:$C$72, COLUMN() - ($E8 + 5)), 0))
  )
)</f>
        <v>878.616015348356</v>
      </c>
      <c r="AA8" s="80" t="n">
        <f aca="false" t="array" ref="AA8:AA8">IF(COLUMN() - ($E8 + 5) &lt; 0, 0,
  IF(COLUMN() - ($E8 + 5) = 0, $F8,
    Z8 * (1 - IFERROR(INDEX('Inputs &amp; Assuptions'!$C$13:$C$72, COLUMN() - ($E8 + 5)), 0))
  )
)</f>
        <v>874.222935271614</v>
      </c>
      <c r="AB8" s="80" t="n">
        <f aca="false" t="array" ref="AB8:AB8">IF(COLUMN() - ($E8 + 5) &lt; 0, 0,
  IF(COLUMN() - ($E8 + 5) = 0, $F8,
    AA8 * (1 - IFERROR(INDEX('Inputs &amp; Assuptions'!$C$13:$C$72, COLUMN() - ($E8 + 5)), 0))
  )
)</f>
        <v>869.851820595256</v>
      </c>
      <c r="AC8" s="80" t="n">
        <f aca="false" t="array" ref="AC8:AC8">IF(COLUMN() - ($E8 + 5) &lt; 0, 0,
  IF(COLUMN() - ($E8 + 5) = 0, $F8,
    AB8 * (1 - IFERROR(INDEX('Inputs &amp; Assuptions'!$C$13:$C$72, COLUMN() - ($E8 + 5)), 0))
  )
)</f>
        <v>865.50256149228</v>
      </c>
      <c r="AD8" s="80" t="n">
        <f aca="false" t="array" ref="AD8:AD8">IF(COLUMN() - ($E8 + 5) &lt; 0, 0,
  IF(COLUMN() - ($E8 + 5) = 0, $F8,
    AC8 * (1 - IFERROR(INDEX('Inputs &amp; Assuptions'!$C$13:$C$72, COLUMN() - ($E8 + 5)), 0))
  )
)</f>
        <v>861.175048684819</v>
      </c>
      <c r="AE8" s="80" t="n">
        <f aca="false" t="array" ref="AE8:AE8">IF(COLUMN() - ($E8 + 5) &lt; 0, 0,
  IF(COLUMN() - ($E8 + 5) = 0, $F8,
    AD8 * (1 - IFERROR(INDEX('Inputs &amp; Assuptions'!$C$13:$C$72, COLUMN() - ($E8 + 5)), 0))
  )
)</f>
        <v>856.869173441394</v>
      </c>
      <c r="AF8" s="80" t="n">
        <f aca="false" t="array" ref="AF8:AF8">IF(COLUMN() - ($E8 + 5) &lt; 0, 0,
  IF(COLUMN() - ($E8 + 5) = 0, $F8,
    AE8 * (1 - IFERROR(INDEX('Inputs &amp; Assuptions'!$C$13:$C$72, COLUMN() - ($E8 + 5)), 0))
  )
)</f>
        <v>852.584827574187</v>
      </c>
      <c r="AG8" s="80" t="n">
        <f aca="false" t="array" ref="AG8:AG8">IF(COLUMN() - ($E8 + 5) &lt; 0, 0,
  IF(COLUMN() - ($E8 + 5) = 0, $F8,
    AF8 * (1 - IFERROR(INDEX('Inputs &amp; Assuptions'!$C$13:$C$72, COLUMN() - ($E8 + 5)), 0))
  )
)</f>
        <v>848.321903436317</v>
      </c>
      <c r="AH8" s="80" t="n">
        <f aca="false" t="array" ref="AH8:AH8">IF(COLUMN() - ($E8 + 5) &lt; 0, 0,
  IF(COLUMN() - ($E8 + 5) = 0, $F8,
    AG8 * (1 - IFERROR(INDEX('Inputs &amp; Assuptions'!$C$13:$C$72, COLUMN() - ($E8 + 5)), 0))
  )
)</f>
        <v>844.080293919135</v>
      </c>
      <c r="AI8" s="80" t="n">
        <f aca="false" t="array" ref="AI8:AI8">IF(COLUMN() - ($E8 + 5) &lt; 0, 0,
  IF(COLUMN() - ($E8 + 5) = 0, $F8,
    AH8 * (1 - IFERROR(INDEX('Inputs &amp; Assuptions'!$C$13:$C$72, COLUMN() - ($E8 + 5)), 0))
  )
)</f>
        <v>839.859892449539</v>
      </c>
      <c r="AJ8" s="80" t="n">
        <f aca="false" t="array" ref="AJ8:AJ8">IF(COLUMN() - ($E8 + 5) &lt; 0, 0,
  IF(COLUMN() - ($E8 + 5) = 0, $F8,
    AI8 * (1 - IFERROR(INDEX('Inputs &amp; Assuptions'!$C$13:$C$72, COLUMN() - ($E8 + 5)), 0))
  )
)</f>
        <v>835.660592987292</v>
      </c>
      <c r="AK8" s="80" t="n">
        <f aca="false" t="array" ref="AK8:AK8">IF(COLUMN() - ($E8 + 5) &lt; 0, 0,
  IF(COLUMN() - ($E8 + 5) = 0, $F8,
    AJ8 * (1 - IFERROR(INDEX('Inputs &amp; Assuptions'!$C$13:$C$72, COLUMN() - ($E8 + 5)), 0))
  )
)</f>
        <v>831.482290022355</v>
      </c>
      <c r="AL8" s="80" t="n">
        <f aca="false" t="array" ref="AL8:AL8">IF(COLUMN() - ($E8 + 5) &lt; 0, 0,
  IF(COLUMN() - ($E8 + 5) = 0, $F8,
    AK8 * (1 - IFERROR(INDEX('Inputs &amp; Assuptions'!$C$13:$C$72, COLUMN() - ($E8 + 5)), 0))
  )
)</f>
        <v>827.324878572243</v>
      </c>
      <c r="AM8" s="80" t="n">
        <f aca="false" t="array" ref="AM8:AM8">IF(COLUMN() - ($E8 + 5) &lt; 0, 0,
  IF(COLUMN() - ($E8 + 5) = 0, $F8,
    AL8 * (1 - IFERROR(INDEX('Inputs &amp; Assuptions'!$C$13:$C$72, COLUMN() - ($E8 + 5)), 0))
  )
)</f>
        <v>823.188254179382</v>
      </c>
      <c r="AN8" s="80" t="n">
        <f aca="false" t="array" ref="AN8:AN8">IF(COLUMN() - ($E8 + 5) &lt; 0, 0,
  IF(COLUMN() - ($E8 + 5) = 0, $F8,
    AM8 * (1 - IFERROR(INDEX('Inputs &amp; Assuptions'!$C$13:$C$72, COLUMN() - ($E8 + 5)), 0))
  )
)</f>
        <v>819.072312908485</v>
      </c>
      <c r="AO8" s="80" t="n">
        <f aca="false" t="array" ref="AO8:AO8">IF(COLUMN() - ($E8 + 5) &lt; 0, 0,
  IF(COLUMN() - ($E8 + 5) = 0, $F8,
    AN8 * (1 - IFERROR(INDEX('Inputs &amp; Assuptions'!$C$13:$C$72, COLUMN() - ($E8 + 5)), 0))
  )
)</f>
        <v>814.976951343943</v>
      </c>
      <c r="AP8" s="80" t="n">
        <f aca="false" t="array" ref="AP8:AP8">IF(COLUMN() - ($E8 + 5) &lt; 0, 0,
  IF(COLUMN() - ($E8 + 5) = 0, $F8,
    AO8 * (1 - IFERROR(INDEX('Inputs &amp; Assuptions'!$C$13:$C$72, COLUMN() - ($E8 + 5)), 0))
  )
)</f>
        <v>810.902066587223</v>
      </c>
      <c r="AQ8" s="80" t="n">
        <f aca="false" t="array" ref="AQ8:AQ8">IF(COLUMN() - ($E8 + 5) &lt; 0, 0,
  IF(COLUMN() - ($E8 + 5) = 0, $F8,
    AP8 * (1 - IFERROR(INDEX('Inputs &amp; Assuptions'!$C$13:$C$72, COLUMN() - ($E8 + 5)), 0))
  )
)</f>
        <v>806.847556254287</v>
      </c>
      <c r="AR8" s="80" t="n">
        <f aca="false" t="array" ref="AR8:AR8">IF(COLUMN() - ($E8 + 5) &lt; 0, 0,
  IF(COLUMN() - ($E8 + 5) = 0, $F8,
    AQ8 * (1 - IFERROR(INDEX('Inputs &amp; Assuptions'!$C$13:$C$72, COLUMN() - ($E8 + 5)), 0))
  )
)</f>
        <v>802.813318473015</v>
      </c>
      <c r="AS8" s="80" t="n">
        <f aca="false" t="array" ref="AS8:AS8">IF(COLUMN() - ($E8 + 5) &lt; 0, 0,
  IF(COLUMN() - ($E8 + 5) = 0, $F8,
    AR8 * (1 - IFERROR(INDEX('Inputs &amp; Assuptions'!$C$13:$C$72, COLUMN() - ($E8 + 5)), 0))
  )
)</f>
        <v>798.79925188065</v>
      </c>
      <c r="AT8" s="80" t="n">
        <f aca="false" t="array" ref="AT8:AT8">IF(COLUMN() - ($E8 + 5) &lt; 0, 0,
  IF(COLUMN() - ($E8 + 5) = 0, $F8,
    AS8 * (1 - IFERROR(INDEX('Inputs &amp; Assuptions'!$C$13:$C$72, COLUMN() - ($E8 + 5)), 0))
  )
)</f>
        <v>794.805255621247</v>
      </c>
      <c r="AU8" s="80" t="n">
        <f aca="false" t="array" ref="AU8:AU8">IF(COLUMN() - ($E8 + 5) &lt; 0, 0,
  IF(COLUMN() - ($E8 + 5) = 0, $F8,
    AT8 * (1 - IFERROR(INDEX('Inputs &amp; Assuptions'!$C$13:$C$72, COLUMN() - ($E8 + 5)), 0))
  )
)</f>
        <v>790.831229343141</v>
      </c>
      <c r="AV8" s="80" t="n">
        <f aca="false" t="array" ref="AV8:AV8">IF(COLUMN() - ($E8 + 5) &lt; 0, 0,
  IF(COLUMN() - ($E8 + 5) = 0, $F8,
    AU8 * (1 - IFERROR(INDEX('Inputs &amp; Assuptions'!$C$13:$C$72, COLUMN() - ($E8 + 5)), 0))
  )
)</f>
        <v>786.877073196425</v>
      </c>
      <c r="AW8" s="80" t="n">
        <f aca="false" t="array" ref="AW8:AW8">IF(COLUMN() - ($E8 + 5) &lt; 0, 0,
  IF(COLUMN() - ($E8 + 5) = 0, $F8,
    AV8 * (1 - IFERROR(INDEX('Inputs &amp; Assuptions'!$C$13:$C$72, COLUMN() - ($E8 + 5)), 0))
  )
)</f>
        <v>782.942687830443</v>
      </c>
      <c r="AX8" s="80" t="n">
        <f aca="false" t="array" ref="AX8:AX8">IF(COLUMN() - ($E8 + 5) &lt; 0, 0,
  IF(COLUMN() - ($E8 + 5) = 0, $F8,
    AW8 * (1 - IFERROR(INDEX('Inputs &amp; Assuptions'!$C$13:$C$72, COLUMN() - ($E8 + 5)), 0))
  )
)</f>
        <v>779.027974391291</v>
      </c>
      <c r="AY8" s="80" t="n">
        <f aca="false" t="array" ref="AY8:AY8">IF(COLUMN() - ($E8 + 5) &lt; 0, 0,
  IF(COLUMN() - ($E8 + 5) = 0, $F8,
    AX8 * (1 - IFERROR(INDEX('Inputs &amp; Assuptions'!$C$13:$C$72, COLUMN() - ($E8 + 5)), 0))
  )
)</f>
        <v>775.132834519334</v>
      </c>
      <c r="AZ8" s="80" t="n">
        <f aca="false" t="array" ref="AZ8:AZ8">IF(COLUMN() - ($E8 + 5) &lt; 0, 0,
  IF(COLUMN() - ($E8 + 5) = 0, $F8,
    AY8 * (1 - IFERROR(INDEX('Inputs &amp; Assuptions'!$C$13:$C$72, COLUMN() - ($E8 + 5)), 0))
  )
)</f>
        <v>771.257170346737</v>
      </c>
      <c r="BA8" s="80" t="n">
        <f aca="false" t="array" ref="BA8:BA8">IF(COLUMN() - ($E8 + 5) &lt; 0, 0,
  IF(COLUMN() - ($E8 + 5) = 0, $F8,
    AZ8 * (1 - IFERROR(INDEX('Inputs &amp; Assuptions'!$C$13:$C$72, COLUMN() - ($E8 + 5)), 0))
  )
)</f>
        <v>767.400884495004</v>
      </c>
      <c r="BB8" s="80" t="n">
        <f aca="false" t="array" ref="BB8:BB8">IF(COLUMN() - ($E8 + 5) &lt; 0, 0,
  IF(COLUMN() - ($E8 + 5) = 0, $F8,
    BA8 * (1 - IFERROR(INDEX('Inputs &amp; Assuptions'!$C$13:$C$72, COLUMN() - ($E8 + 5)), 0))
  )
)</f>
        <v>763.563880072529</v>
      </c>
      <c r="BC8" s="80" t="n">
        <f aca="false" t="array" ref="BC8:BC8">IF(COLUMN() - ($E8 + 5) &lt; 0, 0,
  IF(COLUMN() - ($E8 + 5) = 0, $F8,
    BB8 * (1 - IFERROR(INDEX('Inputs &amp; Assuptions'!$C$13:$C$72, COLUMN() - ($E8 + 5)), 0))
  )
)</f>
        <v>759.746060672166</v>
      </c>
      <c r="BD8" s="80" t="n">
        <f aca="false" t="array" ref="BD8:BD8">IF(COLUMN() - ($E8 + 5) &lt; 0, 0,
  IF(COLUMN() - ($E8 + 5) = 0, $F8,
    BC8 * (1 - IFERROR(INDEX('Inputs &amp; Assuptions'!$C$13:$C$72, COLUMN() - ($E8 + 5)), 0))
  )
)</f>
        <v>755.947330368805</v>
      </c>
      <c r="BE8" s="80" t="n">
        <f aca="false" t="array" ref="BE8:BE8">IF(COLUMN() - ($E8 + 5) &lt; 0, 0,
  IF(COLUMN() - ($E8 + 5) = 0, $F8,
    BD8 * (1 - IFERROR(INDEX('Inputs &amp; Assuptions'!$C$13:$C$72, COLUMN() - ($E8 + 5)), 0))
  )
)</f>
        <v>752.167593716961</v>
      </c>
      <c r="BF8" s="80" t="n">
        <f aca="false" t="array" ref="BF8:BF8">IF(COLUMN() - ($E8 + 5) &lt; 0, 0,
  IF(COLUMN() - ($E8 + 5) = 0, $F8,
    BE8 * (1 - IFERROR(INDEX('Inputs &amp; Assuptions'!$C$13:$C$72, COLUMN() - ($E8 + 5)), 0))
  )
)</f>
        <v>748.406755748376</v>
      </c>
      <c r="BG8" s="80" t="n">
        <f aca="false" t="array" ref="BG8:BG8">IF(COLUMN() - ($E8 + 5) &lt; 0, 0,
  IF(COLUMN() - ($E8 + 5) = 0, $F8,
    BF8 * (1 - IFERROR(INDEX('Inputs &amp; Assuptions'!$C$13:$C$72, COLUMN() - ($E8 + 5)), 0))
  )
)</f>
        <v>744.664721969635</v>
      </c>
      <c r="BH8" s="80" t="n">
        <f aca="false" t="array" ref="BH8:BH8">IF(COLUMN() - ($E8 + 5) &lt; 0, 0,
  IF(COLUMN() - ($E8 + 5) = 0, $F8,
    BG8 * (1 - IFERROR(INDEX('Inputs &amp; Assuptions'!$C$13:$C$72, COLUMN() - ($E8 + 5)), 0))
  )
)</f>
        <v>740.941398359786</v>
      </c>
      <c r="BI8" s="80" t="n">
        <f aca="false" t="array" ref="BI8:BI8">IF(COLUMN() - ($E8 + 5) &lt; 0, 0,
  IF(COLUMN() - ($E8 + 5) = 0, $F8,
    BH8 * (1 - IFERROR(INDEX('Inputs &amp; Assuptions'!$C$13:$C$72, COLUMN() - ($E8 + 5)), 0))
  )
)</f>
        <v>737.236691367987</v>
      </c>
      <c r="BJ8" s="80" t="n">
        <f aca="false" t="array" ref="BJ8:BJ8">IF(COLUMN() - ($E8 + 5) &lt; 0, 0,
  IF(COLUMN() - ($E8 + 5) = 0, $F8,
    BI8 * (1 - IFERROR(INDEX('Inputs &amp; Assuptions'!$C$13:$C$72, COLUMN() - ($E8 + 5)), 0))
  )
)</f>
        <v>733.550507911148</v>
      </c>
      <c r="BK8" s="80" t="n">
        <f aca="false" t="array" ref="BK8:BK8">IF(COLUMN() - ($E8 + 5) &lt; 0, 0,
  IF(COLUMN() - ($E8 + 5) = 0, $F8,
    BJ8 * (1 - IFERROR(INDEX('Inputs &amp; Assuptions'!$C$13:$C$72, COLUMN() - ($E8 + 5)), 0))
  )
)</f>
        <v>729.882755371592</v>
      </c>
      <c r="BL8" s="80" t="n">
        <f aca="false" t="array" ref="BL8:BL8">IF(COLUMN() - ($E8 + 5) &lt; 0, 0,
  IF(COLUMN() - ($E8 + 5) = 0, $F8,
    BK8 * (1 - IFERROR(INDEX('Inputs &amp; Assuptions'!$C$13:$C$72, COLUMN() - ($E8 + 5)), 0))
  )
)</f>
        <v>726.233341594734</v>
      </c>
      <c r="BM8" s="81" t="n">
        <f aca="false" t="array" ref="BM8:BM8">IF(COLUMN() - ($E8 + 5) &lt; 0, 0,
  IF(COLUMN() - ($E8 + 5) = 0, $F8,
    BL8 * (1 - IFERROR(INDEX('Inputs &amp; Assuptions'!$C$13:$C$72, COLUMN() - ($E8 + 5)), 0))
  )
)</f>
        <v>722.60217488676</v>
      </c>
      <c r="BN8" s="76"/>
    </row>
    <row r="9" customFormat="false" ht="14.25" hidden="false" customHeight="false" outlineLevel="0" collapsed="false">
      <c r="A9" s="29" t="n">
        <f aca="false">A8+1</f>
        <v>4</v>
      </c>
      <c r="B9" s="77" t="n">
        <f aca="false">IF(MOD($A9-1, 12) = 0, $B8 * 1.05, $B8)</f>
        <v>1500</v>
      </c>
      <c r="C9" s="78" t="n">
        <f aca="false">$B9*(1-'Inputs &amp; Assuptions'!$C$12)</f>
        <v>1170</v>
      </c>
      <c r="E9" s="29" t="n">
        <f aca="false">E8+1</f>
        <v>4</v>
      </c>
      <c r="F9" s="79"/>
      <c r="G9" s="80"/>
      <c r="H9" s="80"/>
      <c r="I9" s="80" t="n">
        <f aca="false">$C9</f>
        <v>1170</v>
      </c>
      <c r="J9" s="80" t="n">
        <f aca="false">$C9</f>
        <v>1170</v>
      </c>
      <c r="K9" s="80" t="n">
        <f aca="false" t="array" ref="K9:K9">IF(COLUMN() - ($E9 + 5) &lt; 0, 0,
  IF(COLUMN() - ($E9 + 5) = 0, $F9,
    J9 * (1 - IFERROR(INDEX('Inputs &amp; Assuptions'!$C$13:$C$72, COLUMN() - ($E9 + 5)), 0))
  )
)</f>
        <v>1123.2</v>
      </c>
      <c r="L9" s="80" t="n">
        <f aca="false" t="array" ref="L9:L9">IF(COLUMN() - ($E9 + 5) &lt; 0, 0,
  IF(COLUMN() - ($E9 + 5) = 0, $F9,
    K9 * (1 - IFERROR(INDEX('Inputs &amp; Assuptions'!$C$13:$C$72, COLUMN() - ($E9 + 5)), 0))
  )
)</f>
        <v>1092.312</v>
      </c>
      <c r="M9" s="80" t="n">
        <f aca="false" t="array" ref="M9:M9">IF(COLUMN() - ($E9 + 5) &lt; 0, 0,
  IF(COLUMN() - ($E9 + 5) = 0, $F9,
    L9 * (1 - IFERROR(INDEX('Inputs &amp; Assuptions'!$C$13:$C$72, COLUMN() - ($E9 + 5)), 0))
  )
)</f>
        <v>1065.0042</v>
      </c>
      <c r="N9" s="80" t="n">
        <f aca="false" t="array" ref="N9:N9">IF(COLUMN() - ($E9 + 5) &lt; 0, 0,
  IF(COLUMN() - ($E9 + 5) = 0, $F9,
    M9 * (1 - IFERROR(INDEX('Inputs &amp; Assuptions'!$C$13:$C$72, COLUMN() - ($E9 + 5)), 0))
  )
)</f>
        <v>1041.0416055</v>
      </c>
      <c r="O9" s="80" t="n">
        <f aca="false" t="array" ref="O9:O9">IF(COLUMN() - ($E9 + 5) &lt; 0, 0,
  IF(COLUMN() - ($E9 + 5) = 0, $F9,
    N9 * (1 - IFERROR(INDEX('Inputs &amp; Assuptions'!$C$13:$C$72, COLUMN() - ($E9 + 5)), 0))
  )
)</f>
        <v>1020.22077339</v>
      </c>
      <c r="P9" s="80" t="n">
        <f aca="false" t="array" ref="P9:P9">IF(COLUMN() - ($E9 + 5) &lt; 0, 0,
  IF(COLUMN() - ($E9 + 5) = 0, $F9,
    O9 * (1 - IFERROR(INDEX('Inputs &amp; Assuptions'!$C$13:$C$72, COLUMN() - ($E9 + 5)), 0))
  )
)</f>
        <v>1002.36690985568</v>
      </c>
      <c r="Q9" s="80" t="n">
        <f aca="false" t="array" ref="Q9:Q9">IF(COLUMN() - ($E9 + 5) &lt; 0, 0,
  IF(COLUMN() - ($E9 + 5) = 0, $F9,
    P9 * (1 - IFERROR(INDEX('Inputs &amp; Assuptions'!$C$13:$C$72, COLUMN() - ($E9 + 5)), 0))
  )
)</f>
        <v>987.33140620784</v>
      </c>
      <c r="R9" s="80" t="n">
        <f aca="false" t="array" ref="R9:R9">IF(COLUMN() - ($E9 + 5) &lt; 0, 0,
  IF(COLUMN() - ($E9 + 5) = 0, $F9,
    Q9 * (1 - IFERROR(INDEX('Inputs &amp; Assuptions'!$C$13:$C$72, COLUMN() - ($E9 + 5)), 0))
  )
)</f>
        <v>974.989763630242</v>
      </c>
      <c r="S9" s="80" t="n">
        <f aca="false" t="array" ref="S9:S9">IF(COLUMN() - ($E9 + 5) &lt; 0, 0,
  IF(COLUMN() - ($E9 + 5) = 0, $F9,
    R9 * (1 - IFERROR(INDEX('Inputs &amp; Assuptions'!$C$13:$C$72, COLUMN() - ($E9 + 5)), 0))
  )
)</f>
        <v>965.23986599394</v>
      </c>
      <c r="T9" s="80" t="n">
        <f aca="false" t="array" ref="T9:T9">IF(COLUMN() - ($E9 + 5) &lt; 0, 0,
  IF(COLUMN() - ($E9 + 5) = 0, $F9,
    S9 * (1 - IFERROR(INDEX('Inputs &amp; Assuptions'!$C$13:$C$72, COLUMN() - ($E9 + 5)), 0))
  )
)</f>
        <v>960.41366666397</v>
      </c>
      <c r="U9" s="80" t="n">
        <f aca="false" t="array" ref="U9:U9">IF(COLUMN() - ($E9 + 5) &lt; 0, 0,
  IF(COLUMN() - ($E9 + 5) = 0, $F9,
    T9 * (1 - IFERROR(INDEX('Inputs &amp; Assuptions'!$C$13:$C$72, COLUMN() - ($E9 + 5)), 0))
  )
)</f>
        <v>955.61159833065</v>
      </c>
      <c r="V9" s="80" t="n">
        <f aca="false" t="array" ref="V9:V9">IF(COLUMN() - ($E9 + 5) &lt; 0, 0,
  IF(COLUMN() - ($E9 + 5) = 0, $F9,
    U9 * (1 - IFERROR(INDEX('Inputs &amp; Assuptions'!$C$13:$C$72, COLUMN() - ($E9 + 5)), 0))
  )
)</f>
        <v>950.833540338997</v>
      </c>
      <c r="W9" s="80" t="n">
        <f aca="false" t="array" ref="W9:W9">IF(COLUMN() - ($E9 + 5) &lt; 0, 0,
  IF(COLUMN() - ($E9 + 5) = 0, $F9,
    V9 * (1 - IFERROR(INDEX('Inputs &amp; Assuptions'!$C$13:$C$72, COLUMN() - ($E9 + 5)), 0))
  )
)</f>
        <v>946.079372637302</v>
      </c>
      <c r="X9" s="80" t="n">
        <f aca="false" t="array" ref="X9:X9">IF(COLUMN() - ($E9 + 5) &lt; 0, 0,
  IF(COLUMN() - ($E9 + 5) = 0, $F9,
    W9 * (1 - IFERROR(INDEX('Inputs &amp; Assuptions'!$C$13:$C$72, COLUMN() - ($E9 + 5)), 0))
  )
)</f>
        <v>941.348975774115</v>
      </c>
      <c r="Y9" s="80" t="n">
        <f aca="false" t="array" ref="Y9:Y9">IF(COLUMN() - ($E9 + 5) &lt; 0, 0,
  IF(COLUMN() - ($E9 + 5) = 0, $F9,
    X9 * (1 - IFERROR(INDEX('Inputs &amp; Assuptions'!$C$13:$C$72, COLUMN() - ($E9 + 5)), 0))
  )
)</f>
        <v>936.642230895245</v>
      </c>
      <c r="Z9" s="80" t="n">
        <f aca="false" t="array" ref="Z9:Z9">IF(COLUMN() - ($E9 + 5) &lt; 0, 0,
  IF(COLUMN() - ($E9 + 5) = 0, $F9,
    Y9 * (1 - IFERROR(INDEX('Inputs &amp; Assuptions'!$C$13:$C$72, COLUMN() - ($E9 + 5)), 0))
  )
)</f>
        <v>931.959019740768</v>
      </c>
      <c r="AA9" s="80" t="n">
        <f aca="false" t="array" ref="AA9:AA9">IF(COLUMN() - ($E9 + 5) &lt; 0, 0,
  IF(COLUMN() - ($E9 + 5) = 0, $F9,
    Z9 * (1 - IFERROR(INDEX('Inputs &amp; Assuptions'!$C$13:$C$72, COLUMN() - ($E9 + 5)), 0))
  )
)</f>
        <v>927.299224642065</v>
      </c>
      <c r="AB9" s="80" t="n">
        <f aca="false" t="array" ref="AB9:AB9">IF(COLUMN() - ($E9 + 5) &lt; 0, 0,
  IF(COLUMN() - ($E9 + 5) = 0, $F9,
    AA9 * (1 - IFERROR(INDEX('Inputs &amp; Assuptions'!$C$13:$C$72, COLUMN() - ($E9 + 5)), 0))
  )
)</f>
        <v>922.662728518854</v>
      </c>
      <c r="AC9" s="80" t="n">
        <f aca="false" t="array" ref="AC9:AC9">IF(COLUMN() - ($E9 + 5) &lt; 0, 0,
  IF(COLUMN() - ($E9 + 5) = 0, $F9,
    AB9 * (1 - IFERROR(INDEX('Inputs &amp; Assuptions'!$C$13:$C$72, COLUMN() - ($E9 + 5)), 0))
  )
)</f>
        <v>918.04941487626</v>
      </c>
      <c r="AD9" s="80" t="n">
        <f aca="false" t="array" ref="AD9:AD9">IF(COLUMN() - ($E9 + 5) &lt; 0, 0,
  IF(COLUMN() - ($E9 + 5) = 0, $F9,
    AC9 * (1 - IFERROR(INDEX('Inputs &amp; Assuptions'!$C$13:$C$72, COLUMN() - ($E9 + 5)), 0))
  )
)</f>
        <v>913.459167801879</v>
      </c>
      <c r="AE9" s="80" t="n">
        <f aca="false" t="array" ref="AE9:AE9">IF(COLUMN() - ($E9 + 5) &lt; 0, 0,
  IF(COLUMN() - ($E9 + 5) = 0, $F9,
    AD9 * (1 - IFERROR(INDEX('Inputs &amp; Assuptions'!$C$13:$C$72, COLUMN() - ($E9 + 5)), 0))
  )
)</f>
        <v>908.891871962869</v>
      </c>
      <c r="AF9" s="80" t="n">
        <f aca="false" t="array" ref="AF9:AF9">IF(COLUMN() - ($E9 + 5) &lt; 0, 0,
  IF(COLUMN() - ($E9 + 5) = 0, $F9,
    AE9 * (1 - IFERROR(INDEX('Inputs &amp; Assuptions'!$C$13:$C$72, COLUMN() - ($E9 + 5)), 0))
  )
)</f>
        <v>904.347412603055</v>
      </c>
      <c r="AG9" s="80" t="n">
        <f aca="false" t="array" ref="AG9:AG9">IF(COLUMN() - ($E9 + 5) &lt; 0, 0,
  IF(COLUMN() - ($E9 + 5) = 0, $F9,
    AF9 * (1 - IFERROR(INDEX('Inputs &amp; Assuptions'!$C$13:$C$72, COLUMN() - ($E9 + 5)), 0))
  )
)</f>
        <v>899.82567554004</v>
      </c>
      <c r="AH9" s="80" t="n">
        <f aca="false" t="array" ref="AH9:AH9">IF(COLUMN() - ($E9 + 5) &lt; 0, 0,
  IF(COLUMN() - ($E9 + 5) = 0, $F9,
    AG9 * (1 - IFERROR(INDEX('Inputs &amp; Assuptions'!$C$13:$C$72, COLUMN() - ($E9 + 5)), 0))
  )
)</f>
        <v>895.32654716234</v>
      </c>
      <c r="AI9" s="80" t="n">
        <f aca="false" t="array" ref="AI9:AI9">IF(COLUMN() - ($E9 + 5) &lt; 0, 0,
  IF(COLUMN() - ($E9 + 5) = 0, $F9,
    AH9 * (1 - IFERROR(INDEX('Inputs &amp; Assuptions'!$C$13:$C$72, COLUMN() - ($E9 + 5)), 0))
  )
)</f>
        <v>890.849914426528</v>
      </c>
      <c r="AJ9" s="80" t="n">
        <f aca="false" t="array" ref="AJ9:AJ9">IF(COLUMN() - ($E9 + 5) &lt; 0, 0,
  IF(COLUMN() - ($E9 + 5) = 0, $F9,
    AI9 * (1 - IFERROR(INDEX('Inputs &amp; Assuptions'!$C$13:$C$72, COLUMN() - ($E9 + 5)), 0))
  )
)</f>
        <v>886.395664854395</v>
      </c>
      <c r="AK9" s="80" t="n">
        <f aca="false" t="array" ref="AK9:AK9">IF(COLUMN() - ($E9 + 5) &lt; 0, 0,
  IF(COLUMN() - ($E9 + 5) = 0, $F9,
    AJ9 * (1 - IFERROR(INDEX('Inputs &amp; Assuptions'!$C$13:$C$72, COLUMN() - ($E9 + 5)), 0))
  )
)</f>
        <v>881.963686530123</v>
      </c>
      <c r="AL9" s="80" t="n">
        <f aca="false" t="array" ref="AL9:AL9">IF(COLUMN() - ($E9 + 5) &lt; 0, 0,
  IF(COLUMN() - ($E9 + 5) = 0, $F9,
    AK9 * (1 - IFERROR(INDEX('Inputs &amp; Assuptions'!$C$13:$C$72, COLUMN() - ($E9 + 5)), 0))
  )
)</f>
        <v>877.553868097473</v>
      </c>
      <c r="AM9" s="80" t="n">
        <f aca="false" t="array" ref="AM9:AM9">IF(COLUMN() - ($E9 + 5) &lt; 0, 0,
  IF(COLUMN() - ($E9 + 5) = 0, $F9,
    AL9 * (1 - IFERROR(INDEX('Inputs &amp; Assuptions'!$C$13:$C$72, COLUMN() - ($E9 + 5)), 0))
  )
)</f>
        <v>873.166098756985</v>
      </c>
      <c r="AN9" s="80" t="n">
        <f aca="false" t="array" ref="AN9:AN9">IF(COLUMN() - ($E9 + 5) &lt; 0, 0,
  IF(COLUMN() - ($E9 + 5) = 0, $F9,
    AM9 * (1 - IFERROR(INDEX('Inputs &amp; Assuptions'!$C$13:$C$72, COLUMN() - ($E9 + 5)), 0))
  )
)</f>
        <v>868.8002682632</v>
      </c>
      <c r="AO9" s="80" t="n">
        <f aca="false" t="array" ref="AO9:AO9">IF(COLUMN() - ($E9 + 5) &lt; 0, 0,
  IF(COLUMN() - ($E9 + 5) = 0, $F9,
    AN9 * (1 - IFERROR(INDEX('Inputs &amp; Assuptions'!$C$13:$C$72, COLUMN() - ($E9 + 5)), 0))
  )
)</f>
        <v>864.456266921884</v>
      </c>
      <c r="AP9" s="80" t="n">
        <f aca="false" t="array" ref="AP9:AP9">IF(COLUMN() - ($E9 + 5) &lt; 0, 0,
  IF(COLUMN() - ($E9 + 5) = 0, $F9,
    AO9 * (1 - IFERROR(INDEX('Inputs &amp; Assuptions'!$C$13:$C$72, COLUMN() - ($E9 + 5)), 0))
  )
)</f>
        <v>860.133985587275</v>
      </c>
      <c r="AQ9" s="80" t="n">
        <f aca="false" t="array" ref="AQ9:AQ9">IF(COLUMN() - ($E9 + 5) &lt; 0, 0,
  IF(COLUMN() - ($E9 + 5) = 0, $F9,
    AP9 * (1 - IFERROR(INDEX('Inputs &amp; Assuptions'!$C$13:$C$72, COLUMN() - ($E9 + 5)), 0))
  )
)</f>
        <v>855.833315659338</v>
      </c>
      <c r="AR9" s="80" t="n">
        <f aca="false" t="array" ref="AR9:AR9">IF(COLUMN() - ($E9 + 5) &lt; 0, 0,
  IF(COLUMN() - ($E9 + 5) = 0, $F9,
    AQ9 * (1 - IFERROR(INDEX('Inputs &amp; Assuptions'!$C$13:$C$72, COLUMN() - ($E9 + 5)), 0))
  )
)</f>
        <v>851.554149081042</v>
      </c>
      <c r="AS9" s="80" t="n">
        <f aca="false" t="array" ref="AS9:AS9">IF(COLUMN() - ($E9 + 5) &lt; 0, 0,
  IF(COLUMN() - ($E9 + 5) = 0, $F9,
    AR9 * (1 - IFERROR(INDEX('Inputs &amp; Assuptions'!$C$13:$C$72, COLUMN() - ($E9 + 5)), 0))
  )
)</f>
        <v>847.296378335637</v>
      </c>
      <c r="AT9" s="80" t="n">
        <f aca="false" t="array" ref="AT9:AT9">IF(COLUMN() - ($E9 + 5) &lt; 0, 0,
  IF(COLUMN() - ($E9 + 5) = 0, $F9,
    AS9 * (1 - IFERROR(INDEX('Inputs &amp; Assuptions'!$C$13:$C$72, COLUMN() - ($E9 + 5)), 0))
  )
)</f>
        <v>843.059896443958</v>
      </c>
      <c r="AU9" s="80" t="n">
        <f aca="false" t="array" ref="AU9:AU9">IF(COLUMN() - ($E9 + 5) &lt; 0, 0,
  IF(COLUMN() - ($E9 + 5) = 0, $F9,
    AT9 * (1 - IFERROR(INDEX('Inputs &amp; Assuptions'!$C$13:$C$72, COLUMN() - ($E9 + 5)), 0))
  )
)</f>
        <v>838.844596961739</v>
      </c>
      <c r="AV9" s="80" t="n">
        <f aca="false" t="array" ref="AV9:AV9">IF(COLUMN() - ($E9 + 5) &lt; 0, 0,
  IF(COLUMN() - ($E9 + 5) = 0, $F9,
    AU9 * (1 - IFERROR(INDEX('Inputs &amp; Assuptions'!$C$13:$C$72, COLUMN() - ($E9 + 5)), 0))
  )
)</f>
        <v>834.65037397693</v>
      </c>
      <c r="AW9" s="80" t="n">
        <f aca="false" t="array" ref="AW9:AW9">IF(COLUMN() - ($E9 + 5) &lt; 0, 0,
  IF(COLUMN() - ($E9 + 5) = 0, $F9,
    AV9 * (1 - IFERROR(INDEX('Inputs &amp; Assuptions'!$C$13:$C$72, COLUMN() - ($E9 + 5)), 0))
  )
)</f>
        <v>830.477122107045</v>
      </c>
      <c r="AX9" s="80" t="n">
        <f aca="false" t="array" ref="AX9:AX9">IF(COLUMN() - ($E9 + 5) &lt; 0, 0,
  IF(COLUMN() - ($E9 + 5) = 0, $F9,
    AW9 * (1 - IFERROR(INDEX('Inputs &amp; Assuptions'!$C$13:$C$72, COLUMN() - ($E9 + 5)), 0))
  )
)</f>
        <v>826.32473649651</v>
      </c>
      <c r="AY9" s="80" t="n">
        <f aca="false" t="array" ref="AY9:AY9">IF(COLUMN() - ($E9 + 5) &lt; 0, 0,
  IF(COLUMN() - ($E9 + 5) = 0, $F9,
    AX9 * (1 - IFERROR(INDEX('Inputs &amp; Assuptions'!$C$13:$C$72, COLUMN() - ($E9 + 5)), 0))
  )
)</f>
        <v>822.193112814027</v>
      </c>
      <c r="AZ9" s="80" t="n">
        <f aca="false" t="array" ref="AZ9:AZ9">IF(COLUMN() - ($E9 + 5) &lt; 0, 0,
  IF(COLUMN() - ($E9 + 5) = 0, $F9,
    AY9 * (1 - IFERROR(INDEX('Inputs &amp; Assuptions'!$C$13:$C$72, COLUMN() - ($E9 + 5)), 0))
  )
)</f>
        <v>818.082147249957</v>
      </c>
      <c r="BA9" s="80" t="n">
        <f aca="false" t="array" ref="BA9:BA9">IF(COLUMN() - ($E9 + 5) &lt; 0, 0,
  IF(COLUMN() - ($E9 + 5) = 0, $F9,
    AZ9 * (1 - IFERROR(INDEX('Inputs &amp; Assuptions'!$C$13:$C$72, COLUMN() - ($E9 + 5)), 0))
  )
)</f>
        <v>813.991736513708</v>
      </c>
      <c r="BB9" s="80" t="n">
        <f aca="false" t="array" ref="BB9:BB9">IF(COLUMN() - ($E9 + 5) &lt; 0, 0,
  IF(COLUMN() - ($E9 + 5) = 0, $F9,
    BA9 * (1 - IFERROR(INDEX('Inputs &amp; Assuptions'!$C$13:$C$72, COLUMN() - ($E9 + 5)), 0))
  )
)</f>
        <v>809.921777831139</v>
      </c>
      <c r="BC9" s="80" t="n">
        <f aca="false" t="array" ref="BC9:BC9">IF(COLUMN() - ($E9 + 5) &lt; 0, 0,
  IF(COLUMN() - ($E9 + 5) = 0, $F9,
    BB9 * (1 - IFERROR(INDEX('Inputs &amp; Assuptions'!$C$13:$C$72, COLUMN() - ($E9 + 5)), 0))
  )
)</f>
        <v>805.872168941983</v>
      </c>
      <c r="BD9" s="80" t="n">
        <f aca="false" t="array" ref="BD9:BD9">IF(COLUMN() - ($E9 + 5) &lt; 0, 0,
  IF(COLUMN() - ($E9 + 5) = 0, $F9,
    BC9 * (1 - IFERROR(INDEX('Inputs &amp; Assuptions'!$C$13:$C$72, COLUMN() - ($E9 + 5)), 0))
  )
)</f>
        <v>801.842808097273</v>
      </c>
      <c r="BE9" s="80" t="n">
        <f aca="false" t="array" ref="BE9:BE9">IF(COLUMN() - ($E9 + 5) &lt; 0, 0,
  IF(COLUMN() - ($E9 + 5) = 0, $F9,
    BD9 * (1 - IFERROR(INDEX('Inputs &amp; Assuptions'!$C$13:$C$72, COLUMN() - ($E9 + 5)), 0))
  )
)</f>
        <v>797.833594056787</v>
      </c>
      <c r="BF9" s="80" t="n">
        <f aca="false" t="array" ref="BF9:BF9">IF(COLUMN() - ($E9 + 5) &lt; 0, 0,
  IF(COLUMN() - ($E9 + 5) = 0, $F9,
    BE9 * (1 - IFERROR(INDEX('Inputs &amp; Assuptions'!$C$13:$C$72, COLUMN() - ($E9 + 5)), 0))
  )
)</f>
        <v>793.844426086503</v>
      </c>
      <c r="BG9" s="80" t="n">
        <f aca="false" t="array" ref="BG9:BG9">IF(COLUMN() - ($E9 + 5) &lt; 0, 0,
  IF(COLUMN() - ($E9 + 5) = 0, $F9,
    BF9 * (1 - IFERROR(INDEX('Inputs &amp; Assuptions'!$C$13:$C$72, COLUMN() - ($E9 + 5)), 0))
  )
)</f>
        <v>789.87520395607</v>
      </c>
      <c r="BH9" s="80" t="n">
        <f aca="false" t="array" ref="BH9:BH9">IF(COLUMN() - ($E9 + 5) &lt; 0, 0,
  IF(COLUMN() - ($E9 + 5) = 0, $F9,
    BG9 * (1 - IFERROR(INDEX('Inputs &amp; Assuptions'!$C$13:$C$72, COLUMN() - ($E9 + 5)), 0))
  )
)</f>
        <v>785.92582793629</v>
      </c>
      <c r="BI9" s="80" t="n">
        <f aca="false" t="array" ref="BI9:BI9">IF(COLUMN() - ($E9 + 5) &lt; 0, 0,
  IF(COLUMN() - ($E9 + 5) = 0, $F9,
    BH9 * (1 - IFERROR(INDEX('Inputs &amp; Assuptions'!$C$13:$C$72, COLUMN() - ($E9 + 5)), 0))
  )
)</f>
        <v>781.996198796609</v>
      </c>
      <c r="BJ9" s="80" t="n">
        <f aca="false" t="array" ref="BJ9:BJ9">IF(COLUMN() - ($E9 + 5) &lt; 0, 0,
  IF(COLUMN() - ($E9 + 5) = 0, $F9,
    BI9 * (1 - IFERROR(INDEX('Inputs &amp; Assuptions'!$C$13:$C$72, COLUMN() - ($E9 + 5)), 0))
  )
)</f>
        <v>778.086217802626</v>
      </c>
      <c r="BK9" s="80" t="n">
        <f aca="false" t="array" ref="BK9:BK9">IF(COLUMN() - ($E9 + 5) &lt; 0, 0,
  IF(COLUMN() - ($E9 + 5) = 0, $F9,
    BJ9 * (1 - IFERROR(INDEX('Inputs &amp; Assuptions'!$C$13:$C$72, COLUMN() - ($E9 + 5)), 0))
  )
)</f>
        <v>774.195786713613</v>
      </c>
      <c r="BL9" s="80" t="n">
        <f aca="false" t="array" ref="BL9:BL9">IF(COLUMN() - ($E9 + 5) &lt; 0, 0,
  IF(COLUMN() - ($E9 + 5) = 0, $F9,
    BK9 * (1 - IFERROR(INDEX('Inputs &amp; Assuptions'!$C$13:$C$72, COLUMN() - ($E9 + 5)), 0))
  )
)</f>
        <v>770.324807780045</v>
      </c>
      <c r="BM9" s="81" t="n">
        <f aca="false" t="array" ref="BM9:BM9">IF(COLUMN() - ($E9 + 5) &lt; 0, 0,
  IF(COLUMN() - ($E9 + 5) = 0, $F9,
    BL9 * (1 - IFERROR(INDEX('Inputs &amp; Assuptions'!$C$13:$C$72, COLUMN() - ($E9 + 5)), 0))
  )
)</f>
        <v>766.473183741144</v>
      </c>
      <c r="BN9" s="76"/>
    </row>
    <row r="10" customFormat="false" ht="14.25" hidden="false" customHeight="false" outlineLevel="0" collapsed="false">
      <c r="A10" s="29" t="n">
        <f aca="false">A9+1</f>
        <v>5</v>
      </c>
      <c r="B10" s="77" t="n">
        <f aca="false">IF(MOD($A10-1, 12) = 0, $B9 * 1.05, $B9)</f>
        <v>1500</v>
      </c>
      <c r="C10" s="78" t="n">
        <f aca="false">$B10*(1-'Inputs &amp; Assuptions'!$C$12)</f>
        <v>1170</v>
      </c>
      <c r="E10" s="29" t="n">
        <f aca="false">E9+1</f>
        <v>5</v>
      </c>
      <c r="F10" s="79"/>
      <c r="G10" s="80"/>
      <c r="H10" s="80"/>
      <c r="I10" s="80" t="n">
        <f aca="false">$C10</f>
        <v>1170</v>
      </c>
      <c r="J10" s="80" t="n">
        <f aca="false">$B10*(1-'Inputs &amp; Assuptions'!$C$12)</f>
        <v>1170</v>
      </c>
      <c r="K10" s="80" t="n">
        <f aca="false" t="array" ref="K10:K10">IF(COLUMN() - ($E10 + 5) &lt; 0, 0,
  IF(COLUMN() - ($E10 + 5) = 0, $F10,
    J10 * (1 - IFERROR(INDEX('Inputs &amp; Assuptions'!$C$13:$C$72, COLUMN() - ($E10 + 5)), 0))
  )
)</f>
        <v>1108.575</v>
      </c>
      <c r="L10" s="80" t="n">
        <f aca="false" t="array" ref="L10:L10">IF(COLUMN() - ($E10 + 5) &lt; 0, 0,
  IF(COLUMN() - ($E10 + 5) = 0, $F10,
    K10 * (1 - IFERROR(INDEX('Inputs &amp; Assuptions'!$C$13:$C$72, COLUMN() - ($E10 + 5)), 0))
  )
)</f>
        <v>1064.232</v>
      </c>
      <c r="M10" s="80" t="n">
        <f aca="false" t="array" ref="M10:M10">IF(COLUMN() - ($E10 + 5) &lt; 0, 0,
  IF(COLUMN() - ($E10 + 5) = 0, $F10,
    L10 * (1 - IFERROR(INDEX('Inputs &amp; Assuptions'!$C$13:$C$72, COLUMN() - ($E10 + 5)), 0))
  )
)</f>
        <v>1034.96562</v>
      </c>
      <c r="N10" s="80" t="n">
        <f aca="false" t="array" ref="N10:N10">IF(COLUMN() - ($E10 + 5) &lt; 0, 0,
  IF(COLUMN() - ($E10 + 5) = 0, $F10,
    M10 * (1 - IFERROR(INDEX('Inputs &amp; Assuptions'!$C$13:$C$72, COLUMN() - ($E10 + 5)), 0))
  )
)</f>
        <v>1009.0914795</v>
      </c>
      <c r="O10" s="80" t="n">
        <f aca="false" t="array" ref="O10:O10">IF(COLUMN() - ($E10 + 5) &lt; 0, 0,
  IF(COLUMN() - ($E10 + 5) = 0, $F10,
    N10 * (1 - IFERROR(INDEX('Inputs &amp; Assuptions'!$C$13:$C$72, COLUMN() - ($E10 + 5)), 0))
  )
)</f>
        <v>986.38692121125</v>
      </c>
      <c r="P10" s="80" t="n">
        <f aca="false" t="array" ref="P10:P10">IF(COLUMN() - ($E10 + 5) &lt; 0, 0,
  IF(COLUMN() - ($E10 + 5) = 0, $F10,
    O10 * (1 - IFERROR(INDEX('Inputs &amp; Assuptions'!$C$13:$C$72, COLUMN() - ($E10 + 5)), 0))
  )
)</f>
        <v>966.659182787025</v>
      </c>
      <c r="Q10" s="80" t="n">
        <f aca="false" t="array" ref="Q10:Q10">IF(COLUMN() - ($E10 + 5) &lt; 0, 0,
  IF(COLUMN() - ($E10 + 5) = 0, $F10,
    P10 * (1 - IFERROR(INDEX('Inputs &amp; Assuptions'!$C$13:$C$72, COLUMN() - ($E10 + 5)), 0))
  )
)</f>
        <v>949.742647088252</v>
      </c>
      <c r="R10" s="80" t="n">
        <f aca="false" t="array" ref="R10:R10">IF(COLUMN() - ($E10 + 5) &lt; 0, 0,
  IF(COLUMN() - ($E10 + 5) = 0, $F10,
    Q10 * (1 - IFERROR(INDEX('Inputs &amp; Assuptions'!$C$13:$C$72, COLUMN() - ($E10 + 5)), 0))
  )
)</f>
        <v>935.496507381928</v>
      </c>
      <c r="S10" s="80" t="n">
        <f aca="false" t="array" ref="S10:S10">IF(COLUMN() - ($E10 + 5) &lt; 0, 0,
  IF(COLUMN() - ($E10 + 5) = 0, $F10,
    R10 * (1 - IFERROR(INDEX('Inputs &amp; Assuptions'!$C$13:$C$72, COLUMN() - ($E10 + 5)), 0))
  )
)</f>
        <v>923.802801039654</v>
      </c>
      <c r="T10" s="80" t="n">
        <f aca="false" t="array" ref="T10:T10">IF(COLUMN() - ($E10 + 5) &lt; 0, 0,
  IF(COLUMN() - ($E10 + 5) = 0, $F10,
    S10 * (1 - IFERROR(INDEX('Inputs &amp; Assuptions'!$C$13:$C$72, COLUMN() - ($E10 + 5)), 0))
  )
)</f>
        <v>914.564773029258</v>
      </c>
      <c r="U10" s="80" t="n">
        <f aca="false" t="array" ref="U10:U10">IF(COLUMN() - ($E10 + 5) &lt; 0, 0,
  IF(COLUMN() - ($E10 + 5) = 0, $F10,
    T10 * (1 - IFERROR(INDEX('Inputs &amp; Assuptions'!$C$13:$C$72, COLUMN() - ($E10 + 5)), 0))
  )
)</f>
        <v>909.991949164111</v>
      </c>
      <c r="V10" s="80" t="n">
        <f aca="false" t="array" ref="V10:V10">IF(COLUMN() - ($E10 + 5) &lt; 0, 0,
  IF(COLUMN() - ($E10 + 5) = 0, $F10,
    U10 * (1 - IFERROR(INDEX('Inputs &amp; Assuptions'!$C$13:$C$72, COLUMN() - ($E10 + 5)), 0))
  )
)</f>
        <v>905.441989418291</v>
      </c>
      <c r="W10" s="80" t="n">
        <f aca="false" t="array" ref="W10:W10">IF(COLUMN() - ($E10 + 5) &lt; 0, 0,
  IF(COLUMN() - ($E10 + 5) = 0, $F10,
    V10 * (1 - IFERROR(INDEX('Inputs &amp; Assuptions'!$C$13:$C$72, COLUMN() - ($E10 + 5)), 0))
  )
)</f>
        <v>900.914779471199</v>
      </c>
      <c r="X10" s="80" t="n">
        <f aca="false" t="array" ref="X10:X10">IF(COLUMN() - ($E10 + 5) &lt; 0, 0,
  IF(COLUMN() - ($E10 + 5) = 0, $F10,
    W10 * (1 - IFERROR(INDEX('Inputs &amp; Assuptions'!$C$13:$C$72, COLUMN() - ($E10 + 5)), 0))
  )
)</f>
        <v>896.410205573843</v>
      </c>
      <c r="Y10" s="80" t="n">
        <f aca="false" t="array" ref="Y10:Y10">IF(COLUMN() - ($E10 + 5) &lt; 0, 0,
  IF(COLUMN() - ($E10 + 5) = 0, $F10,
    X10 * (1 - IFERROR(INDEX('Inputs &amp; Assuptions'!$C$13:$C$72, COLUMN() - ($E10 + 5)), 0))
  )
)</f>
        <v>891.928154545974</v>
      </c>
      <c r="Z10" s="80" t="n">
        <f aca="false" t="array" ref="Z10:Z10">IF(COLUMN() - ($E10 + 5) &lt; 0, 0,
  IF(COLUMN() - ($E10 + 5) = 0, $F10,
    Y10 * (1 - IFERROR(INDEX('Inputs &amp; Assuptions'!$C$13:$C$72, COLUMN() - ($E10 + 5)), 0))
  )
)</f>
        <v>887.468513773244</v>
      </c>
      <c r="AA10" s="80" t="n">
        <f aca="false" t="array" ref="AA10:AA10">IF(COLUMN() - ($E10 + 5) &lt; 0, 0,
  IF(COLUMN() - ($E10 + 5) = 0, $F10,
    Z10 * (1 - IFERROR(INDEX('Inputs &amp; Assuptions'!$C$13:$C$72, COLUMN() - ($E10 + 5)), 0))
  )
)</f>
        <v>883.031171204378</v>
      </c>
      <c r="AB10" s="80" t="n">
        <f aca="false" t="array" ref="AB10:AB10">IF(COLUMN() - ($E10 + 5) &lt; 0, 0,
  IF(COLUMN() - ($E10 + 5) = 0, $F10,
    AA10 * (1 - IFERROR(INDEX('Inputs &amp; Assuptions'!$C$13:$C$72, COLUMN() - ($E10 + 5)), 0))
  )
)</f>
        <v>878.616015348356</v>
      </c>
      <c r="AC10" s="80" t="n">
        <f aca="false" t="array" ref="AC10:AC10">IF(COLUMN() - ($E10 + 5) &lt; 0, 0,
  IF(COLUMN() - ($E10 + 5) = 0, $F10,
    AB10 * (1 - IFERROR(INDEX('Inputs &amp; Assuptions'!$C$13:$C$72, COLUMN() - ($E10 + 5)), 0))
  )
)</f>
        <v>874.222935271614</v>
      </c>
      <c r="AD10" s="80" t="n">
        <f aca="false" t="array" ref="AD10:AD10">IF(COLUMN() - ($E10 + 5) &lt; 0, 0,
  IF(COLUMN() - ($E10 + 5) = 0, $F10,
    AC10 * (1 - IFERROR(INDEX('Inputs &amp; Assuptions'!$C$13:$C$72, COLUMN() - ($E10 + 5)), 0))
  )
)</f>
        <v>869.851820595256</v>
      </c>
      <c r="AE10" s="80" t="n">
        <f aca="false" t="array" ref="AE10:AE10">IF(COLUMN() - ($E10 + 5) &lt; 0, 0,
  IF(COLUMN() - ($E10 + 5) = 0, $F10,
    AD10 * (1 - IFERROR(INDEX('Inputs &amp; Assuptions'!$C$13:$C$72, COLUMN() - ($E10 + 5)), 0))
  )
)</f>
        <v>865.50256149228</v>
      </c>
      <c r="AF10" s="80" t="n">
        <f aca="false" t="array" ref="AF10:AF10">IF(COLUMN() - ($E10 + 5) &lt; 0, 0,
  IF(COLUMN() - ($E10 + 5) = 0, $F10,
    AE10 * (1 - IFERROR(INDEX('Inputs &amp; Assuptions'!$C$13:$C$72, COLUMN() - ($E10 + 5)), 0))
  )
)</f>
        <v>861.175048684819</v>
      </c>
      <c r="AG10" s="80" t="n">
        <f aca="false" t="array" ref="AG10:AG10">IF(COLUMN() - ($E10 + 5) &lt; 0, 0,
  IF(COLUMN() - ($E10 + 5) = 0, $F10,
    AF10 * (1 - IFERROR(INDEX('Inputs &amp; Assuptions'!$C$13:$C$72, COLUMN() - ($E10 + 5)), 0))
  )
)</f>
        <v>856.869173441394</v>
      </c>
      <c r="AH10" s="80" t="n">
        <f aca="false" t="array" ref="AH10:AH10">IF(COLUMN() - ($E10 + 5) &lt; 0, 0,
  IF(COLUMN() - ($E10 + 5) = 0, $F10,
    AG10 * (1 - IFERROR(INDEX('Inputs &amp; Assuptions'!$C$13:$C$72, COLUMN() - ($E10 + 5)), 0))
  )
)</f>
        <v>852.584827574187</v>
      </c>
      <c r="AI10" s="80" t="n">
        <f aca="false" t="array" ref="AI10:AI10">IF(COLUMN() - ($E10 + 5) &lt; 0, 0,
  IF(COLUMN() - ($E10 + 5) = 0, $F10,
    AH10 * (1 - IFERROR(INDEX('Inputs &amp; Assuptions'!$C$13:$C$72, COLUMN() - ($E10 + 5)), 0))
  )
)</f>
        <v>848.321903436317</v>
      </c>
      <c r="AJ10" s="80" t="n">
        <f aca="false" t="array" ref="AJ10:AJ10">IF(COLUMN() - ($E10 + 5) &lt; 0, 0,
  IF(COLUMN() - ($E10 + 5) = 0, $F10,
    AI10 * (1 - IFERROR(INDEX('Inputs &amp; Assuptions'!$C$13:$C$72, COLUMN() - ($E10 + 5)), 0))
  )
)</f>
        <v>844.080293919135</v>
      </c>
      <c r="AK10" s="80" t="n">
        <f aca="false" t="array" ref="AK10:AK10">IF(COLUMN() - ($E10 + 5) &lt; 0, 0,
  IF(COLUMN() - ($E10 + 5) = 0, $F10,
    AJ10 * (1 - IFERROR(INDEX('Inputs &amp; Assuptions'!$C$13:$C$72, COLUMN() - ($E10 + 5)), 0))
  )
)</f>
        <v>839.859892449539</v>
      </c>
      <c r="AL10" s="80" t="n">
        <f aca="false" t="array" ref="AL10:AL10">IF(COLUMN() - ($E10 + 5) &lt; 0, 0,
  IF(COLUMN() - ($E10 + 5) = 0, $F10,
    AK10 * (1 - IFERROR(INDEX('Inputs &amp; Assuptions'!$C$13:$C$72, COLUMN() - ($E10 + 5)), 0))
  )
)</f>
        <v>835.660592987292</v>
      </c>
      <c r="AM10" s="80" t="n">
        <f aca="false" t="array" ref="AM10:AM10">IF(COLUMN() - ($E10 + 5) &lt; 0, 0,
  IF(COLUMN() - ($E10 + 5) = 0, $F10,
    AL10 * (1 - IFERROR(INDEX('Inputs &amp; Assuptions'!$C$13:$C$72, COLUMN() - ($E10 + 5)), 0))
  )
)</f>
        <v>831.482290022355</v>
      </c>
      <c r="AN10" s="80" t="n">
        <f aca="false" t="array" ref="AN10:AN10">IF(COLUMN() - ($E10 + 5) &lt; 0, 0,
  IF(COLUMN() - ($E10 + 5) = 0, $F10,
    AM10 * (1 - IFERROR(INDEX('Inputs &amp; Assuptions'!$C$13:$C$72, COLUMN() - ($E10 + 5)), 0))
  )
)</f>
        <v>827.324878572243</v>
      </c>
      <c r="AO10" s="80" t="n">
        <f aca="false" t="array" ref="AO10:AO10">IF(COLUMN() - ($E10 + 5) &lt; 0, 0,
  IF(COLUMN() - ($E10 + 5) = 0, $F10,
    AN10 * (1 - IFERROR(INDEX('Inputs &amp; Assuptions'!$C$13:$C$72, COLUMN() - ($E10 + 5)), 0))
  )
)</f>
        <v>823.188254179382</v>
      </c>
      <c r="AP10" s="80" t="n">
        <f aca="false" t="array" ref="AP10:AP10">IF(COLUMN() - ($E10 + 5) &lt; 0, 0,
  IF(COLUMN() - ($E10 + 5) = 0, $F10,
    AO10 * (1 - IFERROR(INDEX('Inputs &amp; Assuptions'!$C$13:$C$72, COLUMN() - ($E10 + 5)), 0))
  )
)</f>
        <v>819.072312908485</v>
      </c>
      <c r="AQ10" s="80" t="n">
        <f aca="false" t="array" ref="AQ10:AQ10">IF(COLUMN() - ($E10 + 5) &lt; 0, 0,
  IF(COLUMN() - ($E10 + 5) = 0, $F10,
    AP10 * (1 - IFERROR(INDEX('Inputs &amp; Assuptions'!$C$13:$C$72, COLUMN() - ($E10 + 5)), 0))
  )
)</f>
        <v>814.976951343943</v>
      </c>
      <c r="AR10" s="80" t="n">
        <f aca="false" t="array" ref="AR10:AR10">IF(COLUMN() - ($E10 + 5) &lt; 0, 0,
  IF(COLUMN() - ($E10 + 5) = 0, $F10,
    AQ10 * (1 - IFERROR(INDEX('Inputs &amp; Assuptions'!$C$13:$C$72, COLUMN() - ($E10 + 5)), 0))
  )
)</f>
        <v>810.902066587223</v>
      </c>
      <c r="AS10" s="80" t="n">
        <f aca="false" t="array" ref="AS10:AS10">IF(COLUMN() - ($E10 + 5) &lt; 0, 0,
  IF(COLUMN() - ($E10 + 5) = 0, $F10,
    AR10 * (1 - IFERROR(INDEX('Inputs &amp; Assuptions'!$C$13:$C$72, COLUMN() - ($E10 + 5)), 0))
  )
)</f>
        <v>806.847556254287</v>
      </c>
      <c r="AT10" s="80" t="n">
        <f aca="false" t="array" ref="AT10:AT10">IF(COLUMN() - ($E10 + 5) &lt; 0, 0,
  IF(COLUMN() - ($E10 + 5) = 0, $F10,
    AS10 * (1 - IFERROR(INDEX('Inputs &amp; Assuptions'!$C$13:$C$72, COLUMN() - ($E10 + 5)), 0))
  )
)</f>
        <v>802.813318473015</v>
      </c>
      <c r="AU10" s="80" t="n">
        <f aca="false" t="array" ref="AU10:AU10">IF(COLUMN() - ($E10 + 5) &lt; 0, 0,
  IF(COLUMN() - ($E10 + 5) = 0, $F10,
    AT10 * (1 - IFERROR(INDEX('Inputs &amp; Assuptions'!$C$13:$C$72, COLUMN() - ($E10 + 5)), 0))
  )
)</f>
        <v>798.79925188065</v>
      </c>
      <c r="AV10" s="80" t="n">
        <f aca="false" t="array" ref="AV10:AV10">IF(COLUMN() - ($E10 + 5) &lt; 0, 0,
  IF(COLUMN() - ($E10 + 5) = 0, $F10,
    AU10 * (1 - IFERROR(INDEX('Inputs &amp; Assuptions'!$C$13:$C$72, COLUMN() - ($E10 + 5)), 0))
  )
)</f>
        <v>794.805255621247</v>
      </c>
      <c r="AW10" s="80" t="n">
        <f aca="false" t="array" ref="AW10:AW10">IF(COLUMN() - ($E10 + 5) &lt; 0, 0,
  IF(COLUMN() - ($E10 + 5) = 0, $F10,
    AV10 * (1 - IFERROR(INDEX('Inputs &amp; Assuptions'!$C$13:$C$72, COLUMN() - ($E10 + 5)), 0))
  )
)</f>
        <v>790.831229343141</v>
      </c>
      <c r="AX10" s="80" t="n">
        <f aca="false" t="array" ref="AX10:AX10">IF(COLUMN() - ($E10 + 5) &lt; 0, 0,
  IF(COLUMN() - ($E10 + 5) = 0, $F10,
    AW10 * (1 - IFERROR(INDEX('Inputs &amp; Assuptions'!$C$13:$C$72, COLUMN() - ($E10 + 5)), 0))
  )
)</f>
        <v>786.877073196425</v>
      </c>
      <c r="AY10" s="80" t="n">
        <f aca="false" t="array" ref="AY10:AY10">IF(COLUMN() - ($E10 + 5) &lt; 0, 0,
  IF(COLUMN() - ($E10 + 5) = 0, $F10,
    AX10 * (1 - IFERROR(INDEX('Inputs &amp; Assuptions'!$C$13:$C$72, COLUMN() - ($E10 + 5)), 0))
  )
)</f>
        <v>782.942687830443</v>
      </c>
      <c r="AZ10" s="80" t="n">
        <f aca="false" t="array" ref="AZ10:AZ10">IF(COLUMN() - ($E10 + 5) &lt; 0, 0,
  IF(COLUMN() - ($E10 + 5) = 0, $F10,
    AY10 * (1 - IFERROR(INDEX('Inputs &amp; Assuptions'!$C$13:$C$72, COLUMN() - ($E10 + 5)), 0))
  )
)</f>
        <v>779.027974391291</v>
      </c>
      <c r="BA10" s="80" t="n">
        <f aca="false" t="array" ref="BA10:BA10">IF(COLUMN() - ($E10 + 5) &lt; 0, 0,
  IF(COLUMN() - ($E10 + 5) = 0, $F10,
    AZ10 * (1 - IFERROR(INDEX('Inputs &amp; Assuptions'!$C$13:$C$72, COLUMN() - ($E10 + 5)), 0))
  )
)</f>
        <v>775.132834519334</v>
      </c>
      <c r="BB10" s="80" t="n">
        <f aca="false" t="array" ref="BB10:BB10">IF(COLUMN() - ($E10 + 5) &lt; 0, 0,
  IF(COLUMN() - ($E10 + 5) = 0, $F10,
    BA10 * (1 - IFERROR(INDEX('Inputs &amp; Assuptions'!$C$13:$C$72, COLUMN() - ($E10 + 5)), 0))
  )
)</f>
        <v>771.257170346737</v>
      </c>
      <c r="BC10" s="80" t="n">
        <f aca="false" t="array" ref="BC10:BC10">IF(COLUMN() - ($E10 + 5) &lt; 0, 0,
  IF(COLUMN() - ($E10 + 5) = 0, $F10,
    BB10 * (1 - IFERROR(INDEX('Inputs &amp; Assuptions'!$C$13:$C$72, COLUMN() - ($E10 + 5)), 0))
  )
)</f>
        <v>767.400884495004</v>
      </c>
      <c r="BD10" s="80" t="n">
        <f aca="false" t="array" ref="BD10:BD10">IF(COLUMN() - ($E10 + 5) &lt; 0, 0,
  IF(COLUMN() - ($E10 + 5) = 0, $F10,
    BC10 * (1 - IFERROR(INDEX('Inputs &amp; Assuptions'!$C$13:$C$72, COLUMN() - ($E10 + 5)), 0))
  )
)</f>
        <v>763.563880072529</v>
      </c>
      <c r="BE10" s="80" t="n">
        <f aca="false" t="array" ref="BE10:BE10">IF(COLUMN() - ($E10 + 5) &lt; 0, 0,
  IF(COLUMN() - ($E10 + 5) = 0, $F10,
    BD10 * (1 - IFERROR(INDEX('Inputs &amp; Assuptions'!$C$13:$C$72, COLUMN() - ($E10 + 5)), 0))
  )
)</f>
        <v>759.746060672166</v>
      </c>
      <c r="BF10" s="80" t="n">
        <f aca="false" t="array" ref="BF10:BF10">IF(COLUMN() - ($E10 + 5) &lt; 0, 0,
  IF(COLUMN() - ($E10 + 5) = 0, $F10,
    BE10 * (1 - IFERROR(INDEX('Inputs &amp; Assuptions'!$C$13:$C$72, COLUMN() - ($E10 + 5)), 0))
  )
)</f>
        <v>755.947330368805</v>
      </c>
      <c r="BG10" s="80" t="n">
        <f aca="false" t="array" ref="BG10:BG10">IF(COLUMN() - ($E10 + 5) &lt; 0, 0,
  IF(COLUMN() - ($E10 + 5) = 0, $F10,
    BF10 * (1 - IFERROR(INDEX('Inputs &amp; Assuptions'!$C$13:$C$72, COLUMN() - ($E10 + 5)), 0))
  )
)</f>
        <v>752.167593716961</v>
      </c>
      <c r="BH10" s="80" t="n">
        <f aca="false" t="array" ref="BH10:BH10">IF(COLUMN() - ($E10 + 5) &lt; 0, 0,
  IF(COLUMN() - ($E10 + 5) = 0, $F10,
    BG10 * (1 - IFERROR(INDEX('Inputs &amp; Assuptions'!$C$13:$C$72, COLUMN() - ($E10 + 5)), 0))
  )
)</f>
        <v>748.406755748376</v>
      </c>
      <c r="BI10" s="80" t="n">
        <f aca="false" t="array" ref="BI10:BI10">IF(COLUMN() - ($E10 + 5) &lt; 0, 0,
  IF(COLUMN() - ($E10 + 5) = 0, $F10,
    BH10 * (1 - IFERROR(INDEX('Inputs &amp; Assuptions'!$C$13:$C$72, COLUMN() - ($E10 + 5)), 0))
  )
)</f>
        <v>744.664721969635</v>
      </c>
      <c r="BJ10" s="80" t="n">
        <f aca="false" t="array" ref="BJ10:BJ10">IF(COLUMN() - ($E10 + 5) &lt; 0, 0,
  IF(COLUMN() - ($E10 + 5) = 0, $F10,
    BI10 * (1 - IFERROR(INDEX('Inputs &amp; Assuptions'!$C$13:$C$72, COLUMN() - ($E10 + 5)), 0))
  )
)</f>
        <v>740.941398359786</v>
      </c>
      <c r="BK10" s="80" t="n">
        <f aca="false" t="array" ref="BK10:BK10">IF(COLUMN() - ($E10 + 5) &lt; 0, 0,
  IF(COLUMN() - ($E10 + 5) = 0, $F10,
    BJ10 * (1 - IFERROR(INDEX('Inputs &amp; Assuptions'!$C$13:$C$72, COLUMN() - ($E10 + 5)), 0))
  )
)</f>
        <v>737.236691367987</v>
      </c>
      <c r="BL10" s="80" t="n">
        <f aca="false" t="array" ref="BL10:BL10">IF(COLUMN() - ($E10 + 5) &lt; 0, 0,
  IF(COLUMN() - ($E10 + 5) = 0, $F10,
    BK10 * (1 - IFERROR(INDEX('Inputs &amp; Assuptions'!$C$13:$C$72, COLUMN() - ($E10 + 5)), 0))
  )
)</f>
        <v>733.550507911148</v>
      </c>
      <c r="BM10" s="81" t="n">
        <f aca="false" t="array" ref="BM10:BM10">IF(COLUMN() - ($E10 + 5) &lt; 0, 0,
  IF(COLUMN() - ($E10 + 5) = 0, $F10,
    BL10 * (1 - IFERROR(INDEX('Inputs &amp; Assuptions'!$C$13:$C$72, COLUMN() - ($E10 + 5)), 0))
  )
)</f>
        <v>729.882755371592</v>
      </c>
      <c r="BN10" s="76"/>
    </row>
    <row r="11" customFormat="false" ht="14.25" hidden="false" customHeight="false" outlineLevel="0" collapsed="false">
      <c r="A11" s="29" t="n">
        <f aca="false">A10+1</f>
        <v>6</v>
      </c>
      <c r="B11" s="77" t="n">
        <f aca="false">IF(MOD($A11-1, 12) = 0, $B10 * 1.05, $B10)</f>
        <v>1500</v>
      </c>
      <c r="C11" s="78" t="n">
        <f aca="false">$B11*(1-'Inputs &amp; Assuptions'!$C$12)</f>
        <v>1170</v>
      </c>
      <c r="E11" s="29" t="n">
        <f aca="false">E10+1</f>
        <v>6</v>
      </c>
      <c r="F11" s="79"/>
      <c r="G11" s="80"/>
      <c r="H11" s="80"/>
      <c r="I11" s="80"/>
      <c r="J11" s="80"/>
      <c r="K11" s="80" t="n">
        <f aca="false">$C11</f>
        <v>1170</v>
      </c>
      <c r="L11" s="80" t="n">
        <f aca="false" t="array" ref="L11:L11">IF(COLUMN() - ($E11 + 5) &lt; 0, 0,
  IF(COLUMN() - ($E11 + 5) = 0, $F11,
    K11 * (1 - IFERROR(INDEX('Inputs &amp; Assuptions'!$C$13:$C$72, COLUMN() - ($E11 + 5)), 0))
  )
)</f>
        <v>1108.575</v>
      </c>
      <c r="M11" s="80" t="n">
        <f aca="false" t="array" ref="M11:M11">IF(COLUMN() - ($E11 + 5) &lt; 0, 0,
  IF(COLUMN() - ($E11 + 5) = 0, $F11,
    L11 * (1 - IFERROR(INDEX('Inputs &amp; Assuptions'!$C$13:$C$72, COLUMN() - ($E11 + 5)), 0))
  )
)</f>
        <v>1064.232</v>
      </c>
      <c r="N11" s="80" t="n">
        <f aca="false" t="array" ref="N11:N11">IF(COLUMN() - ($E11 + 5) &lt; 0, 0,
  IF(COLUMN() - ($E11 + 5) = 0, $F11,
    M11 * (1 - IFERROR(INDEX('Inputs &amp; Assuptions'!$C$13:$C$72, COLUMN() - ($E11 + 5)), 0))
  )
)</f>
        <v>1034.96562</v>
      </c>
      <c r="O11" s="80" t="n">
        <f aca="false" t="array" ref="O11:O11">IF(COLUMN() - ($E11 + 5) &lt; 0, 0,
  IF(COLUMN() - ($E11 + 5) = 0, $F11,
    N11 * (1 - IFERROR(INDEX('Inputs &amp; Assuptions'!$C$13:$C$72, COLUMN() - ($E11 + 5)), 0))
  )
)</f>
        <v>1009.0914795</v>
      </c>
      <c r="P11" s="80" t="n">
        <f aca="false" t="array" ref="P11:P11">IF(COLUMN() - ($E11 + 5) &lt; 0, 0,
  IF(COLUMN() - ($E11 + 5) = 0, $F11,
    O11 * (1 - IFERROR(INDEX('Inputs &amp; Assuptions'!$C$13:$C$72, COLUMN() - ($E11 + 5)), 0))
  )
)</f>
        <v>986.38692121125</v>
      </c>
      <c r="Q11" s="80" t="n">
        <f aca="false" t="array" ref="Q11:Q11">IF(COLUMN() - ($E11 + 5) &lt; 0, 0,
  IF(COLUMN() - ($E11 + 5) = 0, $F11,
    P11 * (1 - IFERROR(INDEX('Inputs &amp; Assuptions'!$C$13:$C$72, COLUMN() - ($E11 + 5)), 0))
  )
)</f>
        <v>966.659182787025</v>
      </c>
      <c r="R11" s="80" t="n">
        <f aca="false" t="array" ref="R11:R11">IF(COLUMN() - ($E11 + 5) &lt; 0, 0,
  IF(COLUMN() - ($E11 + 5) = 0, $F11,
    Q11 * (1 - IFERROR(INDEX('Inputs &amp; Assuptions'!$C$13:$C$72, COLUMN() - ($E11 + 5)), 0))
  )
)</f>
        <v>949.742647088252</v>
      </c>
      <c r="S11" s="80" t="n">
        <f aca="false" t="array" ref="S11:S11">IF(COLUMN() - ($E11 + 5) &lt; 0, 0,
  IF(COLUMN() - ($E11 + 5) = 0, $F11,
    R11 * (1 - IFERROR(INDEX('Inputs &amp; Assuptions'!$C$13:$C$72, COLUMN() - ($E11 + 5)), 0))
  )
)</f>
        <v>935.496507381928</v>
      </c>
      <c r="T11" s="80" t="n">
        <f aca="false" t="array" ref="T11:T11">IF(COLUMN() - ($E11 + 5) &lt; 0, 0,
  IF(COLUMN() - ($E11 + 5) = 0, $F11,
    S11 * (1 - IFERROR(INDEX('Inputs &amp; Assuptions'!$C$13:$C$72, COLUMN() - ($E11 + 5)), 0))
  )
)</f>
        <v>923.802801039654</v>
      </c>
      <c r="U11" s="80" t="n">
        <f aca="false" t="array" ref="U11:U11">IF(COLUMN() - ($E11 + 5) &lt; 0, 0,
  IF(COLUMN() - ($E11 + 5) = 0, $F11,
    T11 * (1 - IFERROR(INDEX('Inputs &amp; Assuptions'!$C$13:$C$72, COLUMN() - ($E11 + 5)), 0))
  )
)</f>
        <v>914.564773029258</v>
      </c>
      <c r="V11" s="80" t="n">
        <f aca="false" t="array" ref="V11:V11">IF(COLUMN() - ($E11 + 5) &lt; 0, 0,
  IF(COLUMN() - ($E11 + 5) = 0, $F11,
    U11 * (1 - IFERROR(INDEX('Inputs &amp; Assuptions'!$C$13:$C$72, COLUMN() - ($E11 + 5)), 0))
  )
)</f>
        <v>909.991949164111</v>
      </c>
      <c r="W11" s="80" t="n">
        <f aca="false" t="array" ref="W11:W11">IF(COLUMN() - ($E11 + 5) &lt; 0, 0,
  IF(COLUMN() - ($E11 + 5) = 0, $F11,
    V11 * (1 - IFERROR(INDEX('Inputs &amp; Assuptions'!$C$13:$C$72, COLUMN() - ($E11 + 5)), 0))
  )
)</f>
        <v>905.441989418291</v>
      </c>
      <c r="X11" s="80" t="n">
        <f aca="false" t="array" ref="X11:X11">IF(COLUMN() - ($E11 + 5) &lt; 0, 0,
  IF(COLUMN() - ($E11 + 5) = 0, $F11,
    W11 * (1 - IFERROR(INDEX('Inputs &amp; Assuptions'!$C$13:$C$72, COLUMN() - ($E11 + 5)), 0))
  )
)</f>
        <v>900.914779471199</v>
      </c>
      <c r="Y11" s="80" t="n">
        <f aca="false" t="array" ref="Y11:Y11">IF(COLUMN() - ($E11 + 5) &lt; 0, 0,
  IF(COLUMN() - ($E11 + 5) = 0, $F11,
    X11 * (1 - IFERROR(INDEX('Inputs &amp; Assuptions'!$C$13:$C$72, COLUMN() - ($E11 + 5)), 0))
  )
)</f>
        <v>896.410205573843</v>
      </c>
      <c r="Z11" s="80" t="n">
        <f aca="false" t="array" ref="Z11:Z11">IF(COLUMN() - ($E11 + 5) &lt; 0, 0,
  IF(COLUMN() - ($E11 + 5) = 0, $F11,
    Y11 * (1 - IFERROR(INDEX('Inputs &amp; Assuptions'!$C$13:$C$72, COLUMN() - ($E11 + 5)), 0))
  )
)</f>
        <v>891.928154545974</v>
      </c>
      <c r="AA11" s="80" t="n">
        <f aca="false" t="array" ref="AA11:AA11">IF(COLUMN() - ($E11 + 5) &lt; 0, 0,
  IF(COLUMN() - ($E11 + 5) = 0, $F11,
    Z11 * (1 - IFERROR(INDEX('Inputs &amp; Assuptions'!$C$13:$C$72, COLUMN() - ($E11 + 5)), 0))
  )
)</f>
        <v>887.468513773244</v>
      </c>
      <c r="AB11" s="80" t="n">
        <f aca="false" t="array" ref="AB11:AB11">IF(COLUMN() - ($E11 + 5) &lt; 0, 0,
  IF(COLUMN() - ($E11 + 5) = 0, $F11,
    AA11 * (1 - IFERROR(INDEX('Inputs &amp; Assuptions'!$C$13:$C$72, COLUMN() - ($E11 + 5)), 0))
  )
)</f>
        <v>883.031171204378</v>
      </c>
      <c r="AC11" s="80" t="n">
        <f aca="false" t="array" ref="AC11:AC11">IF(COLUMN() - ($E11 + 5) &lt; 0, 0,
  IF(COLUMN() - ($E11 + 5) = 0, $F11,
    AB11 * (1 - IFERROR(INDEX('Inputs &amp; Assuptions'!$C$13:$C$72, COLUMN() - ($E11 + 5)), 0))
  )
)</f>
        <v>878.616015348356</v>
      </c>
      <c r="AD11" s="80" t="n">
        <f aca="false" t="array" ref="AD11:AD11">IF(COLUMN() - ($E11 + 5) &lt; 0, 0,
  IF(COLUMN() - ($E11 + 5) = 0, $F11,
    AC11 * (1 - IFERROR(INDEX('Inputs &amp; Assuptions'!$C$13:$C$72, COLUMN() - ($E11 + 5)), 0))
  )
)</f>
        <v>874.222935271614</v>
      </c>
      <c r="AE11" s="80" t="n">
        <f aca="false" t="array" ref="AE11:AE11">IF(COLUMN() - ($E11 + 5) &lt; 0, 0,
  IF(COLUMN() - ($E11 + 5) = 0, $F11,
    AD11 * (1 - IFERROR(INDEX('Inputs &amp; Assuptions'!$C$13:$C$72, COLUMN() - ($E11 + 5)), 0))
  )
)</f>
        <v>869.851820595256</v>
      </c>
      <c r="AF11" s="80" t="n">
        <f aca="false" t="array" ref="AF11:AF11">IF(COLUMN() - ($E11 + 5) &lt; 0, 0,
  IF(COLUMN() - ($E11 + 5) = 0, $F11,
    AE11 * (1 - IFERROR(INDEX('Inputs &amp; Assuptions'!$C$13:$C$72, COLUMN() - ($E11 + 5)), 0))
  )
)</f>
        <v>865.50256149228</v>
      </c>
      <c r="AG11" s="80" t="n">
        <f aca="false" t="array" ref="AG11:AG11">IF(COLUMN() - ($E11 + 5) &lt; 0, 0,
  IF(COLUMN() - ($E11 + 5) = 0, $F11,
    AF11 * (1 - IFERROR(INDEX('Inputs &amp; Assuptions'!$C$13:$C$72, COLUMN() - ($E11 + 5)), 0))
  )
)</f>
        <v>861.175048684819</v>
      </c>
      <c r="AH11" s="80" t="n">
        <f aca="false" t="array" ref="AH11:AH11">IF(COLUMN() - ($E11 + 5) &lt; 0, 0,
  IF(COLUMN() - ($E11 + 5) = 0, $F11,
    AG11 * (1 - IFERROR(INDEX('Inputs &amp; Assuptions'!$C$13:$C$72, COLUMN() - ($E11 + 5)), 0))
  )
)</f>
        <v>856.869173441394</v>
      </c>
      <c r="AI11" s="80" t="n">
        <f aca="false" t="array" ref="AI11:AI11">IF(COLUMN() - ($E11 + 5) &lt; 0, 0,
  IF(COLUMN() - ($E11 + 5) = 0, $F11,
    AH11 * (1 - IFERROR(INDEX('Inputs &amp; Assuptions'!$C$13:$C$72, COLUMN() - ($E11 + 5)), 0))
  )
)</f>
        <v>852.584827574187</v>
      </c>
      <c r="AJ11" s="80" t="n">
        <f aca="false" t="array" ref="AJ11:AJ11">IF(COLUMN() - ($E11 + 5) &lt; 0, 0,
  IF(COLUMN() - ($E11 + 5) = 0, $F11,
    AI11 * (1 - IFERROR(INDEX('Inputs &amp; Assuptions'!$C$13:$C$72, COLUMN() - ($E11 + 5)), 0))
  )
)</f>
        <v>848.321903436317</v>
      </c>
      <c r="AK11" s="80" t="n">
        <f aca="false" t="array" ref="AK11:AK11">IF(COLUMN() - ($E11 + 5) &lt; 0, 0,
  IF(COLUMN() - ($E11 + 5) = 0, $F11,
    AJ11 * (1 - IFERROR(INDEX('Inputs &amp; Assuptions'!$C$13:$C$72, COLUMN() - ($E11 + 5)), 0))
  )
)</f>
        <v>844.080293919135</v>
      </c>
      <c r="AL11" s="80" t="n">
        <f aca="false" t="array" ref="AL11:AL11">IF(COLUMN() - ($E11 + 5) &lt; 0, 0,
  IF(COLUMN() - ($E11 + 5) = 0, $F11,
    AK11 * (1 - IFERROR(INDEX('Inputs &amp; Assuptions'!$C$13:$C$72, COLUMN() - ($E11 + 5)), 0))
  )
)</f>
        <v>839.859892449539</v>
      </c>
      <c r="AM11" s="80" t="n">
        <f aca="false" t="array" ref="AM11:AM11">IF(COLUMN() - ($E11 + 5) &lt; 0, 0,
  IF(COLUMN() - ($E11 + 5) = 0, $F11,
    AL11 * (1 - IFERROR(INDEX('Inputs &amp; Assuptions'!$C$13:$C$72, COLUMN() - ($E11 + 5)), 0))
  )
)</f>
        <v>835.660592987292</v>
      </c>
      <c r="AN11" s="80" t="n">
        <f aca="false" t="array" ref="AN11:AN11">IF(COLUMN() - ($E11 + 5) &lt; 0, 0,
  IF(COLUMN() - ($E11 + 5) = 0, $F11,
    AM11 * (1 - IFERROR(INDEX('Inputs &amp; Assuptions'!$C$13:$C$72, COLUMN() - ($E11 + 5)), 0))
  )
)</f>
        <v>831.482290022355</v>
      </c>
      <c r="AO11" s="80" t="n">
        <f aca="false" t="array" ref="AO11:AO11">IF(COLUMN() - ($E11 + 5) &lt; 0, 0,
  IF(COLUMN() - ($E11 + 5) = 0, $F11,
    AN11 * (1 - IFERROR(INDEX('Inputs &amp; Assuptions'!$C$13:$C$72, COLUMN() - ($E11 + 5)), 0))
  )
)</f>
        <v>827.324878572243</v>
      </c>
      <c r="AP11" s="80" t="n">
        <f aca="false" t="array" ref="AP11:AP11">IF(COLUMN() - ($E11 + 5) &lt; 0, 0,
  IF(COLUMN() - ($E11 + 5) = 0, $F11,
    AO11 * (1 - IFERROR(INDEX('Inputs &amp; Assuptions'!$C$13:$C$72, COLUMN() - ($E11 + 5)), 0))
  )
)</f>
        <v>823.188254179382</v>
      </c>
      <c r="AQ11" s="80" t="n">
        <f aca="false" t="array" ref="AQ11:AQ11">IF(COLUMN() - ($E11 + 5) &lt; 0, 0,
  IF(COLUMN() - ($E11 + 5) = 0, $F11,
    AP11 * (1 - IFERROR(INDEX('Inputs &amp; Assuptions'!$C$13:$C$72, COLUMN() - ($E11 + 5)), 0))
  )
)</f>
        <v>819.072312908485</v>
      </c>
      <c r="AR11" s="80" t="n">
        <f aca="false" t="array" ref="AR11:AR11">IF(COLUMN() - ($E11 + 5) &lt; 0, 0,
  IF(COLUMN() - ($E11 + 5) = 0, $F11,
    AQ11 * (1 - IFERROR(INDEX('Inputs &amp; Assuptions'!$C$13:$C$72, COLUMN() - ($E11 + 5)), 0))
  )
)</f>
        <v>814.976951343943</v>
      </c>
      <c r="AS11" s="80" t="n">
        <f aca="false" t="array" ref="AS11:AS11">IF(COLUMN() - ($E11 + 5) &lt; 0, 0,
  IF(COLUMN() - ($E11 + 5) = 0, $F11,
    AR11 * (1 - IFERROR(INDEX('Inputs &amp; Assuptions'!$C$13:$C$72, COLUMN() - ($E11 + 5)), 0))
  )
)</f>
        <v>810.902066587223</v>
      </c>
      <c r="AT11" s="80" t="n">
        <f aca="false" t="array" ref="AT11:AT11">IF(COLUMN() - ($E11 + 5) &lt; 0, 0,
  IF(COLUMN() - ($E11 + 5) = 0, $F11,
    AS11 * (1 - IFERROR(INDEX('Inputs &amp; Assuptions'!$C$13:$C$72, COLUMN() - ($E11 + 5)), 0))
  )
)</f>
        <v>806.847556254287</v>
      </c>
      <c r="AU11" s="80" t="n">
        <f aca="false" t="array" ref="AU11:AU11">IF(COLUMN() - ($E11 + 5) &lt; 0, 0,
  IF(COLUMN() - ($E11 + 5) = 0, $F11,
    AT11 * (1 - IFERROR(INDEX('Inputs &amp; Assuptions'!$C$13:$C$72, COLUMN() - ($E11 + 5)), 0))
  )
)</f>
        <v>802.813318473015</v>
      </c>
      <c r="AV11" s="80" t="n">
        <f aca="false" t="array" ref="AV11:AV11">IF(COLUMN() - ($E11 + 5) &lt; 0, 0,
  IF(COLUMN() - ($E11 + 5) = 0, $F11,
    AU11 * (1 - IFERROR(INDEX('Inputs &amp; Assuptions'!$C$13:$C$72, COLUMN() - ($E11 + 5)), 0))
  )
)</f>
        <v>798.79925188065</v>
      </c>
      <c r="AW11" s="80" t="n">
        <f aca="false" t="array" ref="AW11:AW11">IF(COLUMN() - ($E11 + 5) &lt; 0, 0,
  IF(COLUMN() - ($E11 + 5) = 0, $F11,
    AV11 * (1 - IFERROR(INDEX('Inputs &amp; Assuptions'!$C$13:$C$72, COLUMN() - ($E11 + 5)), 0))
  )
)</f>
        <v>794.805255621247</v>
      </c>
      <c r="AX11" s="80" t="n">
        <f aca="false" t="array" ref="AX11:AX11">IF(COLUMN() - ($E11 + 5) &lt; 0, 0,
  IF(COLUMN() - ($E11 + 5) = 0, $F11,
    AW11 * (1 - IFERROR(INDEX('Inputs &amp; Assuptions'!$C$13:$C$72, COLUMN() - ($E11 + 5)), 0))
  )
)</f>
        <v>790.831229343141</v>
      </c>
      <c r="AY11" s="80" t="n">
        <f aca="false" t="array" ref="AY11:AY11">IF(COLUMN() - ($E11 + 5) &lt; 0, 0,
  IF(COLUMN() - ($E11 + 5) = 0, $F11,
    AX11 * (1 - IFERROR(INDEX('Inputs &amp; Assuptions'!$C$13:$C$72, COLUMN() - ($E11 + 5)), 0))
  )
)</f>
        <v>786.877073196425</v>
      </c>
      <c r="AZ11" s="80" t="n">
        <f aca="false" t="array" ref="AZ11:AZ11">IF(COLUMN() - ($E11 + 5) &lt; 0, 0,
  IF(COLUMN() - ($E11 + 5) = 0, $F11,
    AY11 * (1 - IFERROR(INDEX('Inputs &amp; Assuptions'!$C$13:$C$72, COLUMN() - ($E11 + 5)), 0))
  )
)</f>
        <v>782.942687830443</v>
      </c>
      <c r="BA11" s="80" t="n">
        <f aca="false" t="array" ref="BA11:BA11">IF(COLUMN() - ($E11 + 5) &lt; 0, 0,
  IF(COLUMN() - ($E11 + 5) = 0, $F11,
    AZ11 * (1 - IFERROR(INDEX('Inputs &amp; Assuptions'!$C$13:$C$72, COLUMN() - ($E11 + 5)), 0))
  )
)</f>
        <v>779.027974391291</v>
      </c>
      <c r="BB11" s="80" t="n">
        <f aca="false" t="array" ref="BB11:BB11">IF(COLUMN() - ($E11 + 5) &lt; 0, 0,
  IF(COLUMN() - ($E11 + 5) = 0, $F11,
    BA11 * (1 - IFERROR(INDEX('Inputs &amp; Assuptions'!$C$13:$C$72, COLUMN() - ($E11 + 5)), 0))
  )
)</f>
        <v>775.132834519334</v>
      </c>
      <c r="BC11" s="80" t="n">
        <f aca="false" t="array" ref="BC11:BC11">IF(COLUMN() - ($E11 + 5) &lt; 0, 0,
  IF(COLUMN() - ($E11 + 5) = 0, $F11,
    BB11 * (1 - IFERROR(INDEX('Inputs &amp; Assuptions'!$C$13:$C$72, COLUMN() - ($E11 + 5)), 0))
  )
)</f>
        <v>771.257170346737</v>
      </c>
      <c r="BD11" s="80" t="n">
        <f aca="false" t="array" ref="BD11:BD11">IF(COLUMN() - ($E11 + 5) &lt; 0, 0,
  IF(COLUMN() - ($E11 + 5) = 0, $F11,
    BC11 * (1 - IFERROR(INDEX('Inputs &amp; Assuptions'!$C$13:$C$72, COLUMN() - ($E11 + 5)), 0))
  )
)</f>
        <v>767.400884495004</v>
      </c>
      <c r="BE11" s="80" t="n">
        <f aca="false" t="array" ref="BE11:BE11">IF(COLUMN() - ($E11 + 5) &lt; 0, 0,
  IF(COLUMN() - ($E11 + 5) = 0, $F11,
    BD11 * (1 - IFERROR(INDEX('Inputs &amp; Assuptions'!$C$13:$C$72, COLUMN() - ($E11 + 5)), 0))
  )
)</f>
        <v>763.563880072529</v>
      </c>
      <c r="BF11" s="80" t="n">
        <f aca="false" t="array" ref="BF11:BF11">IF(COLUMN() - ($E11 + 5) &lt; 0, 0,
  IF(COLUMN() - ($E11 + 5) = 0, $F11,
    BE11 * (1 - IFERROR(INDEX('Inputs &amp; Assuptions'!$C$13:$C$72, COLUMN() - ($E11 + 5)), 0))
  )
)</f>
        <v>759.746060672166</v>
      </c>
      <c r="BG11" s="80" t="n">
        <f aca="false" t="array" ref="BG11:BG11">IF(COLUMN() - ($E11 + 5) &lt; 0, 0,
  IF(COLUMN() - ($E11 + 5) = 0, $F11,
    BF11 * (1 - IFERROR(INDEX('Inputs &amp; Assuptions'!$C$13:$C$72, COLUMN() - ($E11 + 5)), 0))
  )
)</f>
        <v>755.947330368805</v>
      </c>
      <c r="BH11" s="80" t="n">
        <f aca="false" t="array" ref="BH11:BH11">IF(COLUMN() - ($E11 + 5) &lt; 0, 0,
  IF(COLUMN() - ($E11 + 5) = 0, $F11,
    BG11 * (1 - IFERROR(INDEX('Inputs &amp; Assuptions'!$C$13:$C$72, COLUMN() - ($E11 + 5)), 0))
  )
)</f>
        <v>752.167593716961</v>
      </c>
      <c r="BI11" s="80" t="n">
        <f aca="false" t="array" ref="BI11:BI11">IF(COLUMN() - ($E11 + 5) &lt; 0, 0,
  IF(COLUMN() - ($E11 + 5) = 0, $F11,
    BH11 * (1 - IFERROR(INDEX('Inputs &amp; Assuptions'!$C$13:$C$72, COLUMN() - ($E11 + 5)), 0))
  )
)</f>
        <v>748.406755748376</v>
      </c>
      <c r="BJ11" s="80" t="n">
        <f aca="false" t="array" ref="BJ11:BJ11">IF(COLUMN() - ($E11 + 5) &lt; 0, 0,
  IF(COLUMN() - ($E11 + 5) = 0, $F11,
    BI11 * (1 - IFERROR(INDEX('Inputs &amp; Assuptions'!$C$13:$C$72, COLUMN() - ($E11 + 5)), 0))
  )
)</f>
        <v>744.664721969635</v>
      </c>
      <c r="BK11" s="80" t="n">
        <f aca="false" t="array" ref="BK11:BK11">IF(COLUMN() - ($E11 + 5) &lt; 0, 0,
  IF(COLUMN() - ($E11 + 5) = 0, $F11,
    BJ11 * (1 - IFERROR(INDEX('Inputs &amp; Assuptions'!$C$13:$C$72, COLUMN() - ($E11 + 5)), 0))
  )
)</f>
        <v>740.941398359786</v>
      </c>
      <c r="BL11" s="80" t="n">
        <f aca="false" t="array" ref="BL11:BL11">IF(COLUMN() - ($E11 + 5) &lt; 0, 0,
  IF(COLUMN() - ($E11 + 5) = 0, $F11,
    BK11 * (1 - IFERROR(INDEX('Inputs &amp; Assuptions'!$C$13:$C$72, COLUMN() - ($E11 + 5)), 0))
  )
)</f>
        <v>737.236691367987</v>
      </c>
      <c r="BM11" s="81" t="n">
        <f aca="false" t="array" ref="BM11:BM11">IF(COLUMN() - ($E11 + 5) &lt; 0, 0,
  IF(COLUMN() - ($E11 + 5) = 0, $F11,
    BL11 * (1 - IFERROR(INDEX('Inputs &amp; Assuptions'!$C$13:$C$72, COLUMN() - ($E11 + 5)), 0))
  )
)</f>
        <v>733.550507911148</v>
      </c>
      <c r="BN11" s="76"/>
    </row>
    <row r="12" customFormat="false" ht="14.25" hidden="false" customHeight="false" outlineLevel="0" collapsed="false">
      <c r="A12" s="29" t="n">
        <f aca="false">A11+1</f>
        <v>7</v>
      </c>
      <c r="B12" s="77" t="n">
        <f aca="false">IF(MOD($A12-1, 12) = 0, $B11 * 1.05, $B11)</f>
        <v>1500</v>
      </c>
      <c r="C12" s="78" t="n">
        <f aca="false">$B12*(1-'Inputs &amp; Assuptions'!$C$12)</f>
        <v>1170</v>
      </c>
      <c r="E12" s="29" t="n">
        <f aca="false">E11+1</f>
        <v>7</v>
      </c>
      <c r="F12" s="79"/>
      <c r="G12" s="80"/>
      <c r="H12" s="80"/>
      <c r="I12" s="80"/>
      <c r="J12" s="80"/>
      <c r="K12" s="80"/>
      <c r="L12" s="80" t="n">
        <f aca="false">$C12</f>
        <v>1170</v>
      </c>
      <c r="M12" s="80" t="n">
        <f aca="false" t="array" ref="M12:M12">IF(COLUMN() - ($E12 + 5) &lt; 0, 0,
  IF(COLUMN() - ($E12 + 5) = 0, $F12,
    L12 * (1 - IFERROR(INDEX('Inputs &amp; Assuptions'!$C$13:$C$72, COLUMN() - ($E12 + 5)), 0))
  )
)</f>
        <v>1108.575</v>
      </c>
      <c r="N12" s="80" t="n">
        <f aca="false" t="array" ref="N12:N12">IF(COLUMN() - ($E12 + 5) &lt; 0, 0,
  IF(COLUMN() - ($E12 + 5) = 0, $F12,
    M12 * (1 - IFERROR(INDEX('Inputs &amp; Assuptions'!$C$13:$C$72, COLUMN() - ($E12 + 5)), 0))
  )
)</f>
        <v>1064.232</v>
      </c>
      <c r="O12" s="80" t="n">
        <f aca="false" t="array" ref="O12:O12">IF(COLUMN() - ($E12 + 5) &lt; 0, 0,
  IF(COLUMN() - ($E12 + 5) = 0, $F12,
    N12 * (1 - IFERROR(INDEX('Inputs &amp; Assuptions'!$C$13:$C$72, COLUMN() - ($E12 + 5)), 0))
  )
)</f>
        <v>1034.96562</v>
      </c>
      <c r="P12" s="80" t="n">
        <f aca="false" t="array" ref="P12:P12">IF(COLUMN() - ($E12 + 5) &lt; 0, 0,
  IF(COLUMN() - ($E12 + 5) = 0, $F12,
    O12 * (1 - IFERROR(INDEX('Inputs &amp; Assuptions'!$C$13:$C$72, COLUMN() - ($E12 + 5)), 0))
  )
)</f>
        <v>1009.0914795</v>
      </c>
      <c r="Q12" s="80" t="n">
        <f aca="false" t="array" ref="Q12:Q12">IF(COLUMN() - ($E12 + 5) &lt; 0, 0,
  IF(COLUMN() - ($E12 + 5) = 0, $F12,
    P12 * (1 - IFERROR(INDEX('Inputs &amp; Assuptions'!$C$13:$C$72, COLUMN() - ($E12 + 5)), 0))
  )
)</f>
        <v>986.38692121125</v>
      </c>
      <c r="R12" s="80" t="n">
        <f aca="false" t="array" ref="R12:R12">IF(COLUMN() - ($E12 + 5) &lt; 0, 0,
  IF(COLUMN() - ($E12 + 5) = 0, $F12,
    Q12 * (1 - IFERROR(INDEX('Inputs &amp; Assuptions'!$C$13:$C$72, COLUMN() - ($E12 + 5)), 0))
  )
)</f>
        <v>966.659182787025</v>
      </c>
      <c r="S12" s="80" t="n">
        <f aca="false" t="array" ref="S12:S12">IF(COLUMN() - ($E12 + 5) &lt; 0, 0,
  IF(COLUMN() - ($E12 + 5) = 0, $F12,
    R12 * (1 - IFERROR(INDEX('Inputs &amp; Assuptions'!$C$13:$C$72, COLUMN() - ($E12 + 5)), 0))
  )
)</f>
        <v>949.742647088252</v>
      </c>
      <c r="T12" s="80" t="n">
        <f aca="false" t="array" ref="T12:T12">IF(COLUMN() - ($E12 + 5) &lt; 0, 0,
  IF(COLUMN() - ($E12 + 5) = 0, $F12,
    S12 * (1 - IFERROR(INDEX('Inputs &amp; Assuptions'!$C$13:$C$72, COLUMN() - ($E12 + 5)), 0))
  )
)</f>
        <v>935.496507381928</v>
      </c>
      <c r="U12" s="80" t="n">
        <f aca="false" t="array" ref="U12:U12">IF(COLUMN() - ($E12 + 5) &lt; 0, 0,
  IF(COLUMN() - ($E12 + 5) = 0, $F12,
    T12 * (1 - IFERROR(INDEX('Inputs &amp; Assuptions'!$C$13:$C$72, COLUMN() - ($E12 + 5)), 0))
  )
)</f>
        <v>923.802801039654</v>
      </c>
      <c r="V12" s="80" t="n">
        <f aca="false" t="array" ref="V12:V12">IF(COLUMN() - ($E12 + 5) &lt; 0, 0,
  IF(COLUMN() - ($E12 + 5) = 0, $F12,
    U12 * (1 - IFERROR(INDEX('Inputs &amp; Assuptions'!$C$13:$C$72, COLUMN() - ($E12 + 5)), 0))
  )
)</f>
        <v>914.564773029258</v>
      </c>
      <c r="W12" s="80" t="n">
        <f aca="false" t="array" ref="W12:W12">IF(COLUMN() - ($E12 + 5) &lt; 0, 0,
  IF(COLUMN() - ($E12 + 5) = 0, $F12,
    V12 * (1 - IFERROR(INDEX('Inputs &amp; Assuptions'!$C$13:$C$72, COLUMN() - ($E12 + 5)), 0))
  )
)</f>
        <v>909.991949164111</v>
      </c>
      <c r="X12" s="80" t="n">
        <f aca="false" t="array" ref="X12:X12">IF(COLUMN() - ($E12 + 5) &lt; 0, 0,
  IF(COLUMN() - ($E12 + 5) = 0, $F12,
    W12 * (1 - IFERROR(INDEX('Inputs &amp; Assuptions'!$C$13:$C$72, COLUMN() - ($E12 + 5)), 0))
  )
)</f>
        <v>905.441989418291</v>
      </c>
      <c r="Y12" s="80" t="n">
        <f aca="false" t="array" ref="Y12:Y12">IF(COLUMN() - ($E12 + 5) &lt; 0, 0,
  IF(COLUMN() - ($E12 + 5) = 0, $F12,
    X12 * (1 - IFERROR(INDEX('Inputs &amp; Assuptions'!$C$13:$C$72, COLUMN() - ($E12 + 5)), 0))
  )
)</f>
        <v>900.914779471199</v>
      </c>
      <c r="Z12" s="80" t="n">
        <f aca="false" t="array" ref="Z12:Z12">IF(COLUMN() - ($E12 + 5) &lt; 0, 0,
  IF(COLUMN() - ($E12 + 5) = 0, $F12,
    Y12 * (1 - IFERROR(INDEX('Inputs &amp; Assuptions'!$C$13:$C$72, COLUMN() - ($E12 + 5)), 0))
  )
)</f>
        <v>896.410205573843</v>
      </c>
      <c r="AA12" s="80" t="n">
        <f aca="false" t="array" ref="AA12:AA12">IF(COLUMN() - ($E12 + 5) &lt; 0, 0,
  IF(COLUMN() - ($E12 + 5) = 0, $F12,
    Z12 * (1 - IFERROR(INDEX('Inputs &amp; Assuptions'!$C$13:$C$72, COLUMN() - ($E12 + 5)), 0))
  )
)</f>
        <v>891.928154545974</v>
      </c>
      <c r="AB12" s="80" t="n">
        <f aca="false" t="array" ref="AB12:AB12">IF(COLUMN() - ($E12 + 5) &lt; 0, 0,
  IF(COLUMN() - ($E12 + 5) = 0, $F12,
    AA12 * (1 - IFERROR(INDEX('Inputs &amp; Assuptions'!$C$13:$C$72, COLUMN() - ($E12 + 5)), 0))
  )
)</f>
        <v>887.468513773244</v>
      </c>
      <c r="AC12" s="80" t="n">
        <f aca="false" t="array" ref="AC12:AC12">IF(COLUMN() - ($E12 + 5) &lt; 0, 0,
  IF(COLUMN() - ($E12 + 5) = 0, $F12,
    AB12 * (1 - IFERROR(INDEX('Inputs &amp; Assuptions'!$C$13:$C$72, COLUMN() - ($E12 + 5)), 0))
  )
)</f>
        <v>883.031171204378</v>
      </c>
      <c r="AD12" s="80" t="n">
        <f aca="false" t="array" ref="AD12:AD12">IF(COLUMN() - ($E12 + 5) &lt; 0, 0,
  IF(COLUMN() - ($E12 + 5) = 0, $F12,
    AC12 * (1 - IFERROR(INDEX('Inputs &amp; Assuptions'!$C$13:$C$72, COLUMN() - ($E12 + 5)), 0))
  )
)</f>
        <v>878.616015348356</v>
      </c>
      <c r="AE12" s="80" t="n">
        <f aca="false" t="array" ref="AE12:AE12">IF(COLUMN() - ($E12 + 5) &lt; 0, 0,
  IF(COLUMN() - ($E12 + 5) = 0, $F12,
    AD12 * (1 - IFERROR(INDEX('Inputs &amp; Assuptions'!$C$13:$C$72, COLUMN() - ($E12 + 5)), 0))
  )
)</f>
        <v>874.222935271614</v>
      </c>
      <c r="AF12" s="80" t="n">
        <f aca="false" t="array" ref="AF12:AF12">IF(COLUMN() - ($E12 + 5) &lt; 0, 0,
  IF(COLUMN() - ($E12 + 5) = 0, $F12,
    AE12 * (1 - IFERROR(INDEX('Inputs &amp; Assuptions'!$C$13:$C$72, COLUMN() - ($E12 + 5)), 0))
  )
)</f>
        <v>869.851820595256</v>
      </c>
      <c r="AG12" s="80" t="n">
        <f aca="false" t="array" ref="AG12:AG12">IF(COLUMN() - ($E12 + 5) &lt; 0, 0,
  IF(COLUMN() - ($E12 + 5) = 0, $F12,
    AF12 * (1 - IFERROR(INDEX('Inputs &amp; Assuptions'!$C$13:$C$72, COLUMN() - ($E12 + 5)), 0))
  )
)</f>
        <v>865.50256149228</v>
      </c>
      <c r="AH12" s="80" t="n">
        <f aca="false" t="array" ref="AH12:AH12">IF(COLUMN() - ($E12 + 5) &lt; 0, 0,
  IF(COLUMN() - ($E12 + 5) = 0, $F12,
    AG12 * (1 - IFERROR(INDEX('Inputs &amp; Assuptions'!$C$13:$C$72, COLUMN() - ($E12 + 5)), 0))
  )
)</f>
        <v>861.175048684819</v>
      </c>
      <c r="AI12" s="80" t="n">
        <f aca="false" t="array" ref="AI12:AI12">IF(COLUMN() - ($E12 + 5) &lt; 0, 0,
  IF(COLUMN() - ($E12 + 5) = 0, $F12,
    AH12 * (1 - IFERROR(INDEX('Inputs &amp; Assuptions'!$C$13:$C$72, COLUMN() - ($E12 + 5)), 0))
  )
)</f>
        <v>856.869173441394</v>
      </c>
      <c r="AJ12" s="80" t="n">
        <f aca="false" t="array" ref="AJ12:AJ12">IF(COLUMN() - ($E12 + 5) &lt; 0, 0,
  IF(COLUMN() - ($E12 + 5) = 0, $F12,
    AI12 * (1 - IFERROR(INDEX('Inputs &amp; Assuptions'!$C$13:$C$72, COLUMN() - ($E12 + 5)), 0))
  )
)</f>
        <v>852.584827574187</v>
      </c>
      <c r="AK12" s="80" t="n">
        <f aca="false" t="array" ref="AK12:AK12">IF(COLUMN() - ($E12 + 5) &lt; 0, 0,
  IF(COLUMN() - ($E12 + 5) = 0, $F12,
    AJ12 * (1 - IFERROR(INDEX('Inputs &amp; Assuptions'!$C$13:$C$72, COLUMN() - ($E12 + 5)), 0))
  )
)</f>
        <v>848.321903436317</v>
      </c>
      <c r="AL12" s="80" t="n">
        <f aca="false" t="array" ref="AL12:AL12">IF(COLUMN() - ($E12 + 5) &lt; 0, 0,
  IF(COLUMN() - ($E12 + 5) = 0, $F12,
    AK12 * (1 - IFERROR(INDEX('Inputs &amp; Assuptions'!$C$13:$C$72, COLUMN() - ($E12 + 5)), 0))
  )
)</f>
        <v>844.080293919135</v>
      </c>
      <c r="AM12" s="80" t="n">
        <f aca="false" t="array" ref="AM12:AM12">IF(COLUMN() - ($E12 + 5) &lt; 0, 0,
  IF(COLUMN() - ($E12 + 5) = 0, $F12,
    AL12 * (1 - IFERROR(INDEX('Inputs &amp; Assuptions'!$C$13:$C$72, COLUMN() - ($E12 + 5)), 0))
  )
)</f>
        <v>839.859892449539</v>
      </c>
      <c r="AN12" s="80" t="n">
        <f aca="false" t="array" ref="AN12:AN12">IF(COLUMN() - ($E12 + 5) &lt; 0, 0,
  IF(COLUMN() - ($E12 + 5) = 0, $F12,
    AM12 * (1 - IFERROR(INDEX('Inputs &amp; Assuptions'!$C$13:$C$72, COLUMN() - ($E12 + 5)), 0))
  )
)</f>
        <v>835.660592987292</v>
      </c>
      <c r="AO12" s="80" t="n">
        <f aca="false" t="array" ref="AO12:AO12">IF(COLUMN() - ($E12 + 5) &lt; 0, 0,
  IF(COLUMN() - ($E12 + 5) = 0, $F12,
    AN12 * (1 - IFERROR(INDEX('Inputs &amp; Assuptions'!$C$13:$C$72, COLUMN() - ($E12 + 5)), 0))
  )
)</f>
        <v>831.482290022355</v>
      </c>
      <c r="AP12" s="80" t="n">
        <f aca="false" t="array" ref="AP12:AP12">IF(COLUMN() - ($E12 + 5) &lt; 0, 0,
  IF(COLUMN() - ($E12 + 5) = 0, $F12,
    AO12 * (1 - IFERROR(INDEX('Inputs &amp; Assuptions'!$C$13:$C$72, COLUMN() - ($E12 + 5)), 0))
  )
)</f>
        <v>827.324878572243</v>
      </c>
      <c r="AQ12" s="80" t="n">
        <f aca="false" t="array" ref="AQ12:AQ12">IF(COLUMN() - ($E12 + 5) &lt; 0, 0,
  IF(COLUMN() - ($E12 + 5) = 0, $F12,
    AP12 * (1 - IFERROR(INDEX('Inputs &amp; Assuptions'!$C$13:$C$72, COLUMN() - ($E12 + 5)), 0))
  )
)</f>
        <v>823.188254179382</v>
      </c>
      <c r="AR12" s="80" t="n">
        <f aca="false" t="array" ref="AR12:AR12">IF(COLUMN() - ($E12 + 5) &lt; 0, 0,
  IF(COLUMN() - ($E12 + 5) = 0, $F12,
    AQ12 * (1 - IFERROR(INDEX('Inputs &amp; Assuptions'!$C$13:$C$72, COLUMN() - ($E12 + 5)), 0))
  )
)</f>
        <v>819.072312908485</v>
      </c>
      <c r="AS12" s="80" t="n">
        <f aca="false" t="array" ref="AS12:AS12">IF(COLUMN() - ($E12 + 5) &lt; 0, 0,
  IF(COLUMN() - ($E12 + 5) = 0, $F12,
    AR12 * (1 - IFERROR(INDEX('Inputs &amp; Assuptions'!$C$13:$C$72, COLUMN() - ($E12 + 5)), 0))
  )
)</f>
        <v>814.976951343943</v>
      </c>
      <c r="AT12" s="80" t="n">
        <f aca="false" t="array" ref="AT12:AT12">IF(COLUMN() - ($E12 + 5) &lt; 0, 0,
  IF(COLUMN() - ($E12 + 5) = 0, $F12,
    AS12 * (1 - IFERROR(INDEX('Inputs &amp; Assuptions'!$C$13:$C$72, COLUMN() - ($E12 + 5)), 0))
  )
)</f>
        <v>810.902066587223</v>
      </c>
      <c r="AU12" s="80" t="n">
        <f aca="false" t="array" ref="AU12:AU12">IF(COLUMN() - ($E12 + 5) &lt; 0, 0,
  IF(COLUMN() - ($E12 + 5) = 0, $F12,
    AT12 * (1 - IFERROR(INDEX('Inputs &amp; Assuptions'!$C$13:$C$72, COLUMN() - ($E12 + 5)), 0))
  )
)</f>
        <v>806.847556254287</v>
      </c>
      <c r="AV12" s="80" t="n">
        <f aca="false" t="array" ref="AV12:AV12">IF(COLUMN() - ($E12 + 5) &lt; 0, 0,
  IF(COLUMN() - ($E12 + 5) = 0, $F12,
    AU12 * (1 - IFERROR(INDEX('Inputs &amp; Assuptions'!$C$13:$C$72, COLUMN() - ($E12 + 5)), 0))
  )
)</f>
        <v>802.813318473015</v>
      </c>
      <c r="AW12" s="80" t="n">
        <f aca="false" t="array" ref="AW12:AW12">IF(COLUMN() - ($E12 + 5) &lt; 0, 0,
  IF(COLUMN() - ($E12 + 5) = 0, $F12,
    AV12 * (1 - IFERROR(INDEX('Inputs &amp; Assuptions'!$C$13:$C$72, COLUMN() - ($E12 + 5)), 0))
  )
)</f>
        <v>798.79925188065</v>
      </c>
      <c r="AX12" s="80" t="n">
        <f aca="false" t="array" ref="AX12:AX12">IF(COLUMN() - ($E12 + 5) &lt; 0, 0,
  IF(COLUMN() - ($E12 + 5) = 0, $F12,
    AW12 * (1 - IFERROR(INDEX('Inputs &amp; Assuptions'!$C$13:$C$72, COLUMN() - ($E12 + 5)), 0))
  )
)</f>
        <v>794.805255621247</v>
      </c>
      <c r="AY12" s="80" t="n">
        <f aca="false" t="array" ref="AY12:AY12">IF(COLUMN() - ($E12 + 5) &lt; 0, 0,
  IF(COLUMN() - ($E12 + 5) = 0, $F12,
    AX12 * (1 - IFERROR(INDEX('Inputs &amp; Assuptions'!$C$13:$C$72, COLUMN() - ($E12 + 5)), 0))
  )
)</f>
        <v>790.831229343141</v>
      </c>
      <c r="AZ12" s="80" t="n">
        <f aca="false" t="array" ref="AZ12:AZ12">IF(COLUMN() - ($E12 + 5) &lt; 0, 0,
  IF(COLUMN() - ($E12 + 5) = 0, $F12,
    AY12 * (1 - IFERROR(INDEX('Inputs &amp; Assuptions'!$C$13:$C$72, COLUMN() - ($E12 + 5)), 0))
  )
)</f>
        <v>786.877073196425</v>
      </c>
      <c r="BA12" s="80" t="n">
        <f aca="false" t="array" ref="BA12:BA12">IF(COLUMN() - ($E12 + 5) &lt; 0, 0,
  IF(COLUMN() - ($E12 + 5) = 0, $F12,
    AZ12 * (1 - IFERROR(INDEX('Inputs &amp; Assuptions'!$C$13:$C$72, COLUMN() - ($E12 + 5)), 0))
  )
)</f>
        <v>782.942687830443</v>
      </c>
      <c r="BB12" s="80" t="n">
        <f aca="false" t="array" ref="BB12:BB12">IF(COLUMN() - ($E12 + 5) &lt; 0, 0,
  IF(COLUMN() - ($E12 + 5) = 0, $F12,
    BA12 * (1 - IFERROR(INDEX('Inputs &amp; Assuptions'!$C$13:$C$72, COLUMN() - ($E12 + 5)), 0))
  )
)</f>
        <v>779.027974391291</v>
      </c>
      <c r="BC12" s="80" t="n">
        <f aca="false" t="array" ref="BC12:BC12">IF(COLUMN() - ($E12 + 5) &lt; 0, 0,
  IF(COLUMN() - ($E12 + 5) = 0, $F12,
    BB12 * (1 - IFERROR(INDEX('Inputs &amp; Assuptions'!$C$13:$C$72, COLUMN() - ($E12 + 5)), 0))
  )
)</f>
        <v>775.132834519334</v>
      </c>
      <c r="BD12" s="80" t="n">
        <f aca="false" t="array" ref="BD12:BD12">IF(COLUMN() - ($E12 + 5) &lt; 0, 0,
  IF(COLUMN() - ($E12 + 5) = 0, $F12,
    BC12 * (1 - IFERROR(INDEX('Inputs &amp; Assuptions'!$C$13:$C$72, COLUMN() - ($E12 + 5)), 0))
  )
)</f>
        <v>771.257170346737</v>
      </c>
      <c r="BE12" s="80" t="n">
        <f aca="false" t="array" ref="BE12:BE12">IF(COLUMN() - ($E12 + 5) &lt; 0, 0,
  IF(COLUMN() - ($E12 + 5) = 0, $F12,
    BD12 * (1 - IFERROR(INDEX('Inputs &amp; Assuptions'!$C$13:$C$72, COLUMN() - ($E12 + 5)), 0))
  )
)</f>
        <v>767.400884495004</v>
      </c>
      <c r="BF12" s="80" t="n">
        <f aca="false" t="array" ref="BF12:BF12">IF(COLUMN() - ($E12 + 5) &lt; 0, 0,
  IF(COLUMN() - ($E12 + 5) = 0, $F12,
    BE12 * (1 - IFERROR(INDEX('Inputs &amp; Assuptions'!$C$13:$C$72, COLUMN() - ($E12 + 5)), 0))
  )
)</f>
        <v>763.563880072529</v>
      </c>
      <c r="BG12" s="80" t="n">
        <f aca="false" t="array" ref="BG12:BG12">IF(COLUMN() - ($E12 + 5) &lt; 0, 0,
  IF(COLUMN() - ($E12 + 5) = 0, $F12,
    BF12 * (1 - IFERROR(INDEX('Inputs &amp; Assuptions'!$C$13:$C$72, COLUMN() - ($E12 + 5)), 0))
  )
)</f>
        <v>759.746060672166</v>
      </c>
      <c r="BH12" s="80" t="n">
        <f aca="false" t="array" ref="BH12:BH12">IF(COLUMN() - ($E12 + 5) &lt; 0, 0,
  IF(COLUMN() - ($E12 + 5) = 0, $F12,
    BG12 * (1 - IFERROR(INDEX('Inputs &amp; Assuptions'!$C$13:$C$72, COLUMN() - ($E12 + 5)), 0))
  )
)</f>
        <v>755.947330368805</v>
      </c>
      <c r="BI12" s="80" t="n">
        <f aca="false" t="array" ref="BI12:BI12">IF(COLUMN() - ($E12 + 5) &lt; 0, 0,
  IF(COLUMN() - ($E12 + 5) = 0, $F12,
    BH12 * (1 - IFERROR(INDEX('Inputs &amp; Assuptions'!$C$13:$C$72, COLUMN() - ($E12 + 5)), 0))
  )
)</f>
        <v>752.167593716961</v>
      </c>
      <c r="BJ12" s="80" t="n">
        <f aca="false" t="array" ref="BJ12:BJ12">IF(COLUMN() - ($E12 + 5) &lt; 0, 0,
  IF(COLUMN() - ($E12 + 5) = 0, $F12,
    BI12 * (1 - IFERROR(INDEX('Inputs &amp; Assuptions'!$C$13:$C$72, COLUMN() - ($E12 + 5)), 0))
  )
)</f>
        <v>748.406755748376</v>
      </c>
      <c r="BK12" s="80" t="n">
        <f aca="false" t="array" ref="BK12:BK12">IF(COLUMN() - ($E12 + 5) &lt; 0, 0,
  IF(COLUMN() - ($E12 + 5) = 0, $F12,
    BJ12 * (1 - IFERROR(INDEX('Inputs &amp; Assuptions'!$C$13:$C$72, COLUMN() - ($E12 + 5)), 0))
  )
)</f>
        <v>744.664721969635</v>
      </c>
      <c r="BL12" s="80" t="n">
        <f aca="false" t="array" ref="BL12:BL12">IF(COLUMN() - ($E12 + 5) &lt; 0, 0,
  IF(COLUMN() - ($E12 + 5) = 0, $F12,
    BK12 * (1 - IFERROR(INDEX('Inputs &amp; Assuptions'!$C$13:$C$72, COLUMN() - ($E12 + 5)), 0))
  )
)</f>
        <v>740.941398359786</v>
      </c>
      <c r="BM12" s="81" t="n">
        <f aca="false" t="array" ref="BM12:BM12">IF(COLUMN() - ($E12 + 5) &lt; 0, 0,
  IF(COLUMN() - ($E12 + 5) = 0, $F12,
    BL12 * (1 - IFERROR(INDEX('Inputs &amp; Assuptions'!$C$13:$C$72, COLUMN() - ($E12 + 5)), 0))
  )
)</f>
        <v>737.236691367987</v>
      </c>
      <c r="BN12" s="76"/>
    </row>
    <row r="13" customFormat="false" ht="14.25" hidden="false" customHeight="false" outlineLevel="0" collapsed="false">
      <c r="A13" s="29" t="n">
        <f aca="false">A12+1</f>
        <v>8</v>
      </c>
      <c r="B13" s="77" t="n">
        <f aca="false">IF(MOD($A13-1, 12) = 0, $B12 * 1.05, $B12)</f>
        <v>1500</v>
      </c>
      <c r="C13" s="78" t="n">
        <f aca="false">$B13*(1-'Inputs &amp; Assuptions'!$C$12)</f>
        <v>1170</v>
      </c>
      <c r="E13" s="29" t="n">
        <f aca="false">E12+1</f>
        <v>8</v>
      </c>
      <c r="F13" s="79"/>
      <c r="G13" s="80"/>
      <c r="H13" s="80"/>
      <c r="I13" s="80"/>
      <c r="J13" s="80"/>
      <c r="K13" s="80"/>
      <c r="L13" s="80"/>
      <c r="M13" s="80" t="n">
        <f aca="false">$C13</f>
        <v>1170</v>
      </c>
      <c r="N13" s="80" t="n">
        <f aca="false" t="array" ref="N13:N13">IF(COLUMN() - ($E13 + 5) &lt; 0, 0,
  IF(COLUMN() - ($E13 + 5) = 0, $F13,
    M13 * (1 - IFERROR(INDEX('Inputs &amp; Assuptions'!$C$13:$C$72, COLUMN() - ($E13 + 5)), 0))
  )
)</f>
        <v>1108.575</v>
      </c>
      <c r="O13" s="80" t="n">
        <f aca="false" t="array" ref="O13:O13">IF(COLUMN() - ($E13 + 5) &lt; 0, 0,
  IF(COLUMN() - ($E13 + 5) = 0, $F13,
    N13 * (1 - IFERROR(INDEX('Inputs &amp; Assuptions'!$C$13:$C$72, COLUMN() - ($E13 + 5)), 0))
  )
)</f>
        <v>1064.232</v>
      </c>
      <c r="P13" s="80" t="n">
        <f aca="false" t="array" ref="P13:P13">IF(COLUMN() - ($E13 + 5) &lt; 0, 0,
  IF(COLUMN() - ($E13 + 5) = 0, $F13,
    O13 * (1 - IFERROR(INDEX('Inputs &amp; Assuptions'!$C$13:$C$72, COLUMN() - ($E13 + 5)), 0))
  )
)</f>
        <v>1034.96562</v>
      </c>
      <c r="Q13" s="80" t="n">
        <f aca="false" t="array" ref="Q13:Q13">IF(COLUMN() - ($E13 + 5) &lt; 0, 0,
  IF(COLUMN() - ($E13 + 5) = 0, $F13,
    P13 * (1 - IFERROR(INDEX('Inputs &amp; Assuptions'!$C$13:$C$72, COLUMN() - ($E13 + 5)), 0))
  )
)</f>
        <v>1009.0914795</v>
      </c>
      <c r="R13" s="80" t="n">
        <f aca="false" t="array" ref="R13:R13">IF(COLUMN() - ($E13 + 5) &lt; 0, 0,
  IF(COLUMN() - ($E13 + 5) = 0, $F13,
    Q13 * (1 - IFERROR(INDEX('Inputs &amp; Assuptions'!$C$13:$C$72, COLUMN() - ($E13 + 5)), 0))
  )
)</f>
        <v>986.38692121125</v>
      </c>
      <c r="S13" s="80" t="n">
        <f aca="false" t="array" ref="S13:S13">IF(COLUMN() - ($E13 + 5) &lt; 0, 0,
  IF(COLUMN() - ($E13 + 5) = 0, $F13,
    R13 * (1 - IFERROR(INDEX('Inputs &amp; Assuptions'!$C$13:$C$72, COLUMN() - ($E13 + 5)), 0))
  )
)</f>
        <v>966.659182787025</v>
      </c>
      <c r="T13" s="80" t="n">
        <f aca="false" t="array" ref="T13:T13">IF(COLUMN() - ($E13 + 5) &lt; 0, 0,
  IF(COLUMN() - ($E13 + 5) = 0, $F13,
    S13 * (1 - IFERROR(INDEX('Inputs &amp; Assuptions'!$C$13:$C$72, COLUMN() - ($E13 + 5)), 0))
  )
)</f>
        <v>949.742647088252</v>
      </c>
      <c r="U13" s="80" t="n">
        <f aca="false" t="array" ref="U13:U13">IF(COLUMN() - ($E13 + 5) &lt; 0, 0,
  IF(COLUMN() - ($E13 + 5) = 0, $F13,
    T13 * (1 - IFERROR(INDEX('Inputs &amp; Assuptions'!$C$13:$C$72, COLUMN() - ($E13 + 5)), 0))
  )
)</f>
        <v>935.496507381928</v>
      </c>
      <c r="V13" s="80" t="n">
        <f aca="false" t="array" ref="V13:V13">IF(COLUMN() - ($E13 + 5) &lt; 0, 0,
  IF(COLUMN() - ($E13 + 5) = 0, $F13,
    U13 * (1 - IFERROR(INDEX('Inputs &amp; Assuptions'!$C$13:$C$72, COLUMN() - ($E13 + 5)), 0))
  )
)</f>
        <v>923.802801039654</v>
      </c>
      <c r="W13" s="80" t="n">
        <f aca="false" t="array" ref="W13:W13">IF(COLUMN() - ($E13 + 5) &lt; 0, 0,
  IF(COLUMN() - ($E13 + 5) = 0, $F13,
    V13 * (1 - IFERROR(INDEX('Inputs &amp; Assuptions'!$C$13:$C$72, COLUMN() - ($E13 + 5)), 0))
  )
)</f>
        <v>914.564773029258</v>
      </c>
      <c r="X13" s="80" t="n">
        <f aca="false" t="array" ref="X13:X13">IF(COLUMN() - ($E13 + 5) &lt; 0, 0,
  IF(COLUMN() - ($E13 + 5) = 0, $F13,
    W13 * (1 - IFERROR(INDEX('Inputs &amp; Assuptions'!$C$13:$C$72, COLUMN() - ($E13 + 5)), 0))
  )
)</f>
        <v>909.991949164111</v>
      </c>
      <c r="Y13" s="80" t="n">
        <f aca="false" t="array" ref="Y13:Y13">IF(COLUMN() - ($E13 + 5) &lt; 0, 0,
  IF(COLUMN() - ($E13 + 5) = 0, $F13,
    X13 * (1 - IFERROR(INDEX('Inputs &amp; Assuptions'!$C$13:$C$72, COLUMN() - ($E13 + 5)), 0))
  )
)</f>
        <v>905.441989418291</v>
      </c>
      <c r="Z13" s="80" t="n">
        <f aca="false" t="array" ref="Z13:Z13">IF(COLUMN() - ($E13 + 5) &lt; 0, 0,
  IF(COLUMN() - ($E13 + 5) = 0, $F13,
    Y13 * (1 - IFERROR(INDEX('Inputs &amp; Assuptions'!$C$13:$C$72, COLUMN() - ($E13 + 5)), 0))
  )
)</f>
        <v>900.914779471199</v>
      </c>
      <c r="AA13" s="80" t="n">
        <f aca="false" t="array" ref="AA13:AA13">IF(COLUMN() - ($E13 + 5) &lt; 0, 0,
  IF(COLUMN() - ($E13 + 5) = 0, $F13,
    Z13 * (1 - IFERROR(INDEX('Inputs &amp; Assuptions'!$C$13:$C$72, COLUMN() - ($E13 + 5)), 0))
  )
)</f>
        <v>896.410205573843</v>
      </c>
      <c r="AB13" s="80" t="n">
        <f aca="false" t="array" ref="AB13:AB13">IF(COLUMN() - ($E13 + 5) &lt; 0, 0,
  IF(COLUMN() - ($E13 + 5) = 0, $F13,
    AA13 * (1 - IFERROR(INDEX('Inputs &amp; Assuptions'!$C$13:$C$72, COLUMN() - ($E13 + 5)), 0))
  )
)</f>
        <v>891.928154545974</v>
      </c>
      <c r="AC13" s="80" t="n">
        <f aca="false" t="array" ref="AC13:AC13">IF(COLUMN() - ($E13 + 5) &lt; 0, 0,
  IF(COLUMN() - ($E13 + 5) = 0, $F13,
    AB13 * (1 - IFERROR(INDEX('Inputs &amp; Assuptions'!$C$13:$C$72, COLUMN() - ($E13 + 5)), 0))
  )
)</f>
        <v>887.468513773244</v>
      </c>
      <c r="AD13" s="80" t="n">
        <f aca="false" t="array" ref="AD13:AD13">IF(COLUMN() - ($E13 + 5) &lt; 0, 0,
  IF(COLUMN() - ($E13 + 5) = 0, $F13,
    AC13 * (1 - IFERROR(INDEX('Inputs &amp; Assuptions'!$C$13:$C$72, COLUMN() - ($E13 + 5)), 0))
  )
)</f>
        <v>883.031171204378</v>
      </c>
      <c r="AE13" s="80" t="n">
        <f aca="false" t="array" ref="AE13:AE13">IF(COLUMN() - ($E13 + 5) &lt; 0, 0,
  IF(COLUMN() - ($E13 + 5) = 0, $F13,
    AD13 * (1 - IFERROR(INDEX('Inputs &amp; Assuptions'!$C$13:$C$72, COLUMN() - ($E13 + 5)), 0))
  )
)</f>
        <v>878.616015348356</v>
      </c>
      <c r="AF13" s="80" t="n">
        <f aca="false" t="array" ref="AF13:AF13">IF(COLUMN() - ($E13 + 5) &lt; 0, 0,
  IF(COLUMN() - ($E13 + 5) = 0, $F13,
    AE13 * (1 - IFERROR(INDEX('Inputs &amp; Assuptions'!$C$13:$C$72, COLUMN() - ($E13 + 5)), 0))
  )
)</f>
        <v>874.222935271614</v>
      </c>
      <c r="AG13" s="80" t="n">
        <f aca="false" t="array" ref="AG13:AG13">IF(COLUMN() - ($E13 + 5) &lt; 0, 0,
  IF(COLUMN() - ($E13 + 5) = 0, $F13,
    AF13 * (1 - IFERROR(INDEX('Inputs &amp; Assuptions'!$C$13:$C$72, COLUMN() - ($E13 + 5)), 0))
  )
)</f>
        <v>869.851820595256</v>
      </c>
      <c r="AH13" s="80" t="n">
        <f aca="false" t="array" ref="AH13:AH13">IF(COLUMN() - ($E13 + 5) &lt; 0, 0,
  IF(COLUMN() - ($E13 + 5) = 0, $F13,
    AG13 * (1 - IFERROR(INDEX('Inputs &amp; Assuptions'!$C$13:$C$72, COLUMN() - ($E13 + 5)), 0))
  )
)</f>
        <v>865.50256149228</v>
      </c>
      <c r="AI13" s="80" t="n">
        <f aca="false" t="array" ref="AI13:AI13">IF(COLUMN() - ($E13 + 5) &lt; 0, 0,
  IF(COLUMN() - ($E13 + 5) = 0, $F13,
    AH13 * (1 - IFERROR(INDEX('Inputs &amp; Assuptions'!$C$13:$C$72, COLUMN() - ($E13 + 5)), 0))
  )
)</f>
        <v>861.175048684819</v>
      </c>
      <c r="AJ13" s="80" t="n">
        <f aca="false" t="array" ref="AJ13:AJ13">IF(COLUMN() - ($E13 + 5) &lt; 0, 0,
  IF(COLUMN() - ($E13 + 5) = 0, $F13,
    AI13 * (1 - IFERROR(INDEX('Inputs &amp; Assuptions'!$C$13:$C$72, COLUMN() - ($E13 + 5)), 0))
  )
)</f>
        <v>856.869173441394</v>
      </c>
      <c r="AK13" s="80" t="n">
        <f aca="false" t="array" ref="AK13:AK13">IF(COLUMN() - ($E13 + 5) &lt; 0, 0,
  IF(COLUMN() - ($E13 + 5) = 0, $F13,
    AJ13 * (1 - IFERROR(INDEX('Inputs &amp; Assuptions'!$C$13:$C$72, COLUMN() - ($E13 + 5)), 0))
  )
)</f>
        <v>852.584827574187</v>
      </c>
      <c r="AL13" s="80" t="n">
        <f aca="false" t="array" ref="AL13:AL13">IF(COLUMN() - ($E13 + 5) &lt; 0, 0,
  IF(COLUMN() - ($E13 + 5) = 0, $F13,
    AK13 * (1 - IFERROR(INDEX('Inputs &amp; Assuptions'!$C$13:$C$72, COLUMN() - ($E13 + 5)), 0))
  )
)</f>
        <v>848.321903436317</v>
      </c>
      <c r="AM13" s="80" t="n">
        <f aca="false" t="array" ref="AM13:AM13">IF(COLUMN() - ($E13 + 5) &lt; 0, 0,
  IF(COLUMN() - ($E13 + 5) = 0, $F13,
    AL13 * (1 - IFERROR(INDEX('Inputs &amp; Assuptions'!$C$13:$C$72, COLUMN() - ($E13 + 5)), 0))
  )
)</f>
        <v>844.080293919135</v>
      </c>
      <c r="AN13" s="80" t="n">
        <f aca="false" t="array" ref="AN13:AN13">IF(COLUMN() - ($E13 + 5) &lt; 0, 0,
  IF(COLUMN() - ($E13 + 5) = 0, $F13,
    AM13 * (1 - IFERROR(INDEX('Inputs &amp; Assuptions'!$C$13:$C$72, COLUMN() - ($E13 + 5)), 0))
  )
)</f>
        <v>839.859892449539</v>
      </c>
      <c r="AO13" s="80" t="n">
        <f aca="false" t="array" ref="AO13:AO13">IF(COLUMN() - ($E13 + 5) &lt; 0, 0,
  IF(COLUMN() - ($E13 + 5) = 0, $F13,
    AN13 * (1 - IFERROR(INDEX('Inputs &amp; Assuptions'!$C$13:$C$72, COLUMN() - ($E13 + 5)), 0))
  )
)</f>
        <v>835.660592987292</v>
      </c>
      <c r="AP13" s="80" t="n">
        <f aca="false" t="array" ref="AP13:AP13">IF(COLUMN() - ($E13 + 5) &lt; 0, 0,
  IF(COLUMN() - ($E13 + 5) = 0, $F13,
    AO13 * (1 - IFERROR(INDEX('Inputs &amp; Assuptions'!$C$13:$C$72, COLUMN() - ($E13 + 5)), 0))
  )
)</f>
        <v>831.482290022355</v>
      </c>
      <c r="AQ13" s="80" t="n">
        <f aca="false" t="array" ref="AQ13:AQ13">IF(COLUMN() - ($E13 + 5) &lt; 0, 0,
  IF(COLUMN() - ($E13 + 5) = 0, $F13,
    AP13 * (1 - IFERROR(INDEX('Inputs &amp; Assuptions'!$C$13:$C$72, COLUMN() - ($E13 + 5)), 0))
  )
)</f>
        <v>827.324878572243</v>
      </c>
      <c r="AR13" s="80" t="n">
        <f aca="false" t="array" ref="AR13:AR13">IF(COLUMN() - ($E13 + 5) &lt; 0, 0,
  IF(COLUMN() - ($E13 + 5) = 0, $F13,
    AQ13 * (1 - IFERROR(INDEX('Inputs &amp; Assuptions'!$C$13:$C$72, COLUMN() - ($E13 + 5)), 0))
  )
)</f>
        <v>823.188254179382</v>
      </c>
      <c r="AS13" s="80" t="n">
        <f aca="false" t="array" ref="AS13:AS13">IF(COLUMN() - ($E13 + 5) &lt; 0, 0,
  IF(COLUMN() - ($E13 + 5) = 0, $F13,
    AR13 * (1 - IFERROR(INDEX('Inputs &amp; Assuptions'!$C$13:$C$72, COLUMN() - ($E13 + 5)), 0))
  )
)</f>
        <v>819.072312908485</v>
      </c>
      <c r="AT13" s="80" t="n">
        <f aca="false" t="array" ref="AT13:AT13">IF(COLUMN() - ($E13 + 5) &lt; 0, 0,
  IF(COLUMN() - ($E13 + 5) = 0, $F13,
    AS13 * (1 - IFERROR(INDEX('Inputs &amp; Assuptions'!$C$13:$C$72, COLUMN() - ($E13 + 5)), 0))
  )
)</f>
        <v>814.976951343943</v>
      </c>
      <c r="AU13" s="80" t="n">
        <f aca="false" t="array" ref="AU13:AU13">IF(COLUMN() - ($E13 + 5) &lt; 0, 0,
  IF(COLUMN() - ($E13 + 5) = 0, $F13,
    AT13 * (1 - IFERROR(INDEX('Inputs &amp; Assuptions'!$C$13:$C$72, COLUMN() - ($E13 + 5)), 0))
  )
)</f>
        <v>810.902066587223</v>
      </c>
      <c r="AV13" s="80" t="n">
        <f aca="false" t="array" ref="AV13:AV13">IF(COLUMN() - ($E13 + 5) &lt; 0, 0,
  IF(COLUMN() - ($E13 + 5) = 0, $F13,
    AU13 * (1 - IFERROR(INDEX('Inputs &amp; Assuptions'!$C$13:$C$72, COLUMN() - ($E13 + 5)), 0))
  )
)</f>
        <v>806.847556254287</v>
      </c>
      <c r="AW13" s="80" t="n">
        <f aca="false" t="array" ref="AW13:AW13">IF(COLUMN() - ($E13 + 5) &lt; 0, 0,
  IF(COLUMN() - ($E13 + 5) = 0, $F13,
    AV13 * (1 - IFERROR(INDEX('Inputs &amp; Assuptions'!$C$13:$C$72, COLUMN() - ($E13 + 5)), 0))
  )
)</f>
        <v>802.813318473015</v>
      </c>
      <c r="AX13" s="80" t="n">
        <f aca="false" t="array" ref="AX13:AX13">IF(COLUMN() - ($E13 + 5) &lt; 0, 0,
  IF(COLUMN() - ($E13 + 5) = 0, $F13,
    AW13 * (1 - IFERROR(INDEX('Inputs &amp; Assuptions'!$C$13:$C$72, COLUMN() - ($E13 + 5)), 0))
  )
)</f>
        <v>798.79925188065</v>
      </c>
      <c r="AY13" s="80" t="n">
        <f aca="false" t="array" ref="AY13:AY13">IF(COLUMN() - ($E13 + 5) &lt; 0, 0,
  IF(COLUMN() - ($E13 + 5) = 0, $F13,
    AX13 * (1 - IFERROR(INDEX('Inputs &amp; Assuptions'!$C$13:$C$72, COLUMN() - ($E13 + 5)), 0))
  )
)</f>
        <v>794.805255621247</v>
      </c>
      <c r="AZ13" s="80" t="n">
        <f aca="false" t="array" ref="AZ13:AZ13">IF(COLUMN() - ($E13 + 5) &lt; 0, 0,
  IF(COLUMN() - ($E13 + 5) = 0, $F13,
    AY13 * (1 - IFERROR(INDEX('Inputs &amp; Assuptions'!$C$13:$C$72, COLUMN() - ($E13 + 5)), 0))
  )
)</f>
        <v>790.831229343141</v>
      </c>
      <c r="BA13" s="80" t="n">
        <f aca="false" t="array" ref="BA13:BA13">IF(COLUMN() - ($E13 + 5) &lt; 0, 0,
  IF(COLUMN() - ($E13 + 5) = 0, $F13,
    AZ13 * (1 - IFERROR(INDEX('Inputs &amp; Assuptions'!$C$13:$C$72, COLUMN() - ($E13 + 5)), 0))
  )
)</f>
        <v>786.877073196425</v>
      </c>
      <c r="BB13" s="80" t="n">
        <f aca="false" t="array" ref="BB13:BB13">IF(COLUMN() - ($E13 + 5) &lt; 0, 0,
  IF(COLUMN() - ($E13 + 5) = 0, $F13,
    BA13 * (1 - IFERROR(INDEX('Inputs &amp; Assuptions'!$C$13:$C$72, COLUMN() - ($E13 + 5)), 0))
  )
)</f>
        <v>782.942687830443</v>
      </c>
      <c r="BC13" s="80" t="n">
        <f aca="false" t="array" ref="BC13:BC13">IF(COLUMN() - ($E13 + 5) &lt; 0, 0,
  IF(COLUMN() - ($E13 + 5) = 0, $F13,
    BB13 * (1 - IFERROR(INDEX('Inputs &amp; Assuptions'!$C$13:$C$72, COLUMN() - ($E13 + 5)), 0))
  )
)</f>
        <v>779.027974391291</v>
      </c>
      <c r="BD13" s="80" t="n">
        <f aca="false" t="array" ref="BD13:BD13">IF(COLUMN() - ($E13 + 5) &lt; 0, 0,
  IF(COLUMN() - ($E13 + 5) = 0, $F13,
    BC13 * (1 - IFERROR(INDEX('Inputs &amp; Assuptions'!$C$13:$C$72, COLUMN() - ($E13 + 5)), 0))
  )
)</f>
        <v>775.132834519334</v>
      </c>
      <c r="BE13" s="80" t="n">
        <f aca="false" t="array" ref="BE13:BE13">IF(COLUMN() - ($E13 + 5) &lt; 0, 0,
  IF(COLUMN() - ($E13 + 5) = 0, $F13,
    BD13 * (1 - IFERROR(INDEX('Inputs &amp; Assuptions'!$C$13:$C$72, COLUMN() - ($E13 + 5)), 0))
  )
)</f>
        <v>771.257170346737</v>
      </c>
      <c r="BF13" s="80" t="n">
        <f aca="false" t="array" ref="BF13:BF13">IF(COLUMN() - ($E13 + 5) &lt; 0, 0,
  IF(COLUMN() - ($E13 + 5) = 0, $F13,
    BE13 * (1 - IFERROR(INDEX('Inputs &amp; Assuptions'!$C$13:$C$72, COLUMN() - ($E13 + 5)), 0))
  )
)</f>
        <v>767.400884495004</v>
      </c>
      <c r="BG13" s="80" t="n">
        <f aca="false" t="array" ref="BG13:BG13">IF(COLUMN() - ($E13 + 5) &lt; 0, 0,
  IF(COLUMN() - ($E13 + 5) = 0, $F13,
    BF13 * (1 - IFERROR(INDEX('Inputs &amp; Assuptions'!$C$13:$C$72, COLUMN() - ($E13 + 5)), 0))
  )
)</f>
        <v>763.563880072529</v>
      </c>
      <c r="BH13" s="80" t="n">
        <f aca="false" t="array" ref="BH13:BH13">IF(COLUMN() - ($E13 + 5) &lt; 0, 0,
  IF(COLUMN() - ($E13 + 5) = 0, $F13,
    BG13 * (1 - IFERROR(INDEX('Inputs &amp; Assuptions'!$C$13:$C$72, COLUMN() - ($E13 + 5)), 0))
  )
)</f>
        <v>759.746060672166</v>
      </c>
      <c r="BI13" s="80" t="n">
        <f aca="false" t="array" ref="BI13:BI13">IF(COLUMN() - ($E13 + 5) &lt; 0, 0,
  IF(COLUMN() - ($E13 + 5) = 0, $F13,
    BH13 * (1 - IFERROR(INDEX('Inputs &amp; Assuptions'!$C$13:$C$72, COLUMN() - ($E13 + 5)), 0))
  )
)</f>
        <v>755.947330368805</v>
      </c>
      <c r="BJ13" s="80" t="n">
        <f aca="false" t="array" ref="BJ13:BJ13">IF(COLUMN() - ($E13 + 5) &lt; 0, 0,
  IF(COLUMN() - ($E13 + 5) = 0, $F13,
    BI13 * (1 - IFERROR(INDEX('Inputs &amp; Assuptions'!$C$13:$C$72, COLUMN() - ($E13 + 5)), 0))
  )
)</f>
        <v>752.167593716961</v>
      </c>
      <c r="BK13" s="80" t="n">
        <f aca="false" t="array" ref="BK13:BK13">IF(COLUMN() - ($E13 + 5) &lt; 0, 0,
  IF(COLUMN() - ($E13 + 5) = 0, $F13,
    BJ13 * (1 - IFERROR(INDEX('Inputs &amp; Assuptions'!$C$13:$C$72, COLUMN() - ($E13 + 5)), 0))
  )
)</f>
        <v>748.406755748376</v>
      </c>
      <c r="BL13" s="80" t="n">
        <f aca="false" t="array" ref="BL13:BL13">IF(COLUMN() - ($E13 + 5) &lt; 0, 0,
  IF(COLUMN() - ($E13 + 5) = 0, $F13,
    BK13 * (1 - IFERROR(INDEX('Inputs &amp; Assuptions'!$C$13:$C$72, COLUMN() - ($E13 + 5)), 0))
  )
)</f>
        <v>744.664721969635</v>
      </c>
      <c r="BM13" s="81" t="n">
        <f aca="false" t="array" ref="BM13:BM13">IF(COLUMN() - ($E13 + 5) &lt; 0, 0,
  IF(COLUMN() - ($E13 + 5) = 0, $F13,
    BL13 * (1 - IFERROR(INDEX('Inputs &amp; Assuptions'!$C$13:$C$72, COLUMN() - ($E13 + 5)), 0))
  )
)</f>
        <v>740.941398359786</v>
      </c>
      <c r="BN13" s="76"/>
    </row>
    <row r="14" customFormat="false" ht="14.25" hidden="false" customHeight="false" outlineLevel="0" collapsed="false">
      <c r="A14" s="29" t="n">
        <f aca="false">A13+1</f>
        <v>9</v>
      </c>
      <c r="B14" s="77" t="n">
        <f aca="false">IF(MOD($A14-1, 12) = 0, $B13 * 1.05, $B13)</f>
        <v>1500</v>
      </c>
      <c r="C14" s="78" t="n">
        <f aca="false">$B14*(1-'Inputs &amp; Assuptions'!$C$12)</f>
        <v>1170</v>
      </c>
      <c r="E14" s="29" t="n">
        <f aca="false">E13+1</f>
        <v>9</v>
      </c>
      <c r="F14" s="79"/>
      <c r="G14" s="80"/>
      <c r="H14" s="80"/>
      <c r="I14" s="80"/>
      <c r="J14" s="80"/>
      <c r="K14" s="80"/>
      <c r="L14" s="80"/>
      <c r="M14" s="80"/>
      <c r="N14" s="80" t="n">
        <f aca="false">$C14</f>
        <v>1170</v>
      </c>
      <c r="O14" s="80" t="n">
        <f aca="false" t="array" ref="O14:O14">IF(COLUMN() - ($E14 + 5) &lt; 0, 0,
  IF(COLUMN() - ($E14 + 5) = 0, $F14,
    N14 * (1 - IFERROR(INDEX('Inputs &amp; Assuptions'!$C$13:$C$72, COLUMN() - ($E14 + 5)), 0))
  )
)</f>
        <v>1108.575</v>
      </c>
      <c r="P14" s="80" t="n">
        <f aca="false" t="array" ref="P14:P14">IF(COLUMN() - ($E14 + 5) &lt; 0, 0,
  IF(COLUMN() - ($E14 + 5) = 0, $F14,
    O14 * (1 - IFERROR(INDEX('Inputs &amp; Assuptions'!$C$13:$C$72, COLUMN() - ($E14 + 5)), 0))
  )
)</f>
        <v>1064.232</v>
      </c>
      <c r="Q14" s="80" t="n">
        <f aca="false" t="array" ref="Q14:Q14">IF(COLUMN() - ($E14 + 5) &lt; 0, 0,
  IF(COLUMN() - ($E14 + 5) = 0, $F14,
    P14 * (1 - IFERROR(INDEX('Inputs &amp; Assuptions'!$C$13:$C$72, COLUMN() - ($E14 + 5)), 0))
  )
)</f>
        <v>1034.96562</v>
      </c>
      <c r="R14" s="80" t="n">
        <f aca="false" t="array" ref="R14:R14">IF(COLUMN() - ($E14 + 5) &lt; 0, 0,
  IF(COLUMN() - ($E14 + 5) = 0, $F14,
    Q14 * (1 - IFERROR(INDEX('Inputs &amp; Assuptions'!$C$13:$C$72, COLUMN() - ($E14 + 5)), 0))
  )
)</f>
        <v>1009.0914795</v>
      </c>
      <c r="S14" s="80" t="n">
        <f aca="false" t="array" ref="S14:S14">IF(COLUMN() - ($E14 + 5) &lt; 0, 0,
  IF(COLUMN() - ($E14 + 5) = 0, $F14,
    R14 * (1 - IFERROR(INDEX('Inputs &amp; Assuptions'!$C$13:$C$72, COLUMN() - ($E14 + 5)), 0))
  )
)</f>
        <v>986.38692121125</v>
      </c>
      <c r="T14" s="80" t="n">
        <f aca="false" t="array" ref="T14:T14">IF(COLUMN() - ($E14 + 5) &lt; 0, 0,
  IF(COLUMN() - ($E14 + 5) = 0, $F14,
    S14 * (1 - IFERROR(INDEX('Inputs &amp; Assuptions'!$C$13:$C$72, COLUMN() - ($E14 + 5)), 0))
  )
)</f>
        <v>966.659182787025</v>
      </c>
      <c r="U14" s="80" t="n">
        <f aca="false" t="array" ref="U14:U14">IF(COLUMN() - ($E14 + 5) &lt; 0, 0,
  IF(COLUMN() - ($E14 + 5) = 0, $F14,
    T14 * (1 - IFERROR(INDEX('Inputs &amp; Assuptions'!$C$13:$C$72, COLUMN() - ($E14 + 5)), 0))
  )
)</f>
        <v>949.742647088252</v>
      </c>
      <c r="V14" s="80" t="n">
        <f aca="false" t="array" ref="V14:V14">IF(COLUMN() - ($E14 + 5) &lt; 0, 0,
  IF(COLUMN() - ($E14 + 5) = 0, $F14,
    U14 * (1 - IFERROR(INDEX('Inputs &amp; Assuptions'!$C$13:$C$72, COLUMN() - ($E14 + 5)), 0))
  )
)</f>
        <v>935.496507381928</v>
      </c>
      <c r="W14" s="80" t="n">
        <f aca="false" t="array" ref="W14:W14">IF(COLUMN() - ($E14 + 5) &lt; 0, 0,
  IF(COLUMN() - ($E14 + 5) = 0, $F14,
    V14 * (1 - IFERROR(INDEX('Inputs &amp; Assuptions'!$C$13:$C$72, COLUMN() - ($E14 + 5)), 0))
  )
)</f>
        <v>923.802801039654</v>
      </c>
      <c r="X14" s="80" t="n">
        <f aca="false" t="array" ref="X14:X14">IF(COLUMN() - ($E14 + 5) &lt; 0, 0,
  IF(COLUMN() - ($E14 + 5) = 0, $F14,
    W14 * (1 - IFERROR(INDEX('Inputs &amp; Assuptions'!$C$13:$C$72, COLUMN() - ($E14 + 5)), 0))
  )
)</f>
        <v>914.564773029258</v>
      </c>
      <c r="Y14" s="80" t="n">
        <f aca="false" t="array" ref="Y14:Y14">IF(COLUMN() - ($E14 + 5) &lt; 0, 0,
  IF(COLUMN() - ($E14 + 5) = 0, $F14,
    X14 * (1 - IFERROR(INDEX('Inputs &amp; Assuptions'!$C$13:$C$72, COLUMN() - ($E14 + 5)), 0))
  )
)</f>
        <v>909.991949164111</v>
      </c>
      <c r="Z14" s="80" t="n">
        <f aca="false" t="array" ref="Z14:Z14">IF(COLUMN() - ($E14 + 5) &lt; 0, 0,
  IF(COLUMN() - ($E14 + 5) = 0, $F14,
    Y14 * (1 - IFERROR(INDEX('Inputs &amp; Assuptions'!$C$13:$C$72, COLUMN() - ($E14 + 5)), 0))
  )
)</f>
        <v>905.441989418291</v>
      </c>
      <c r="AA14" s="80" t="n">
        <f aca="false" t="array" ref="AA14:AA14">IF(COLUMN() - ($E14 + 5) &lt; 0, 0,
  IF(COLUMN() - ($E14 + 5) = 0, $F14,
    Z14 * (1 - IFERROR(INDEX('Inputs &amp; Assuptions'!$C$13:$C$72, COLUMN() - ($E14 + 5)), 0))
  )
)</f>
        <v>900.914779471199</v>
      </c>
      <c r="AB14" s="80" t="n">
        <f aca="false" t="array" ref="AB14:AB14">IF(COLUMN() - ($E14 + 5) &lt; 0, 0,
  IF(COLUMN() - ($E14 + 5) = 0, $F14,
    AA14 * (1 - IFERROR(INDEX('Inputs &amp; Assuptions'!$C$13:$C$72, COLUMN() - ($E14 + 5)), 0))
  )
)</f>
        <v>896.410205573843</v>
      </c>
      <c r="AC14" s="80" t="n">
        <f aca="false" t="array" ref="AC14:AC14">IF(COLUMN() - ($E14 + 5) &lt; 0, 0,
  IF(COLUMN() - ($E14 + 5) = 0, $F14,
    AB14 * (1 - IFERROR(INDEX('Inputs &amp; Assuptions'!$C$13:$C$72, COLUMN() - ($E14 + 5)), 0))
  )
)</f>
        <v>891.928154545974</v>
      </c>
      <c r="AD14" s="80" t="n">
        <f aca="false" t="array" ref="AD14:AD14">IF(COLUMN() - ($E14 + 5) &lt; 0, 0,
  IF(COLUMN() - ($E14 + 5) = 0, $F14,
    AC14 * (1 - IFERROR(INDEX('Inputs &amp; Assuptions'!$C$13:$C$72, COLUMN() - ($E14 + 5)), 0))
  )
)</f>
        <v>887.468513773244</v>
      </c>
      <c r="AE14" s="80" t="n">
        <f aca="false" t="array" ref="AE14:AE14">IF(COLUMN() - ($E14 + 5) &lt; 0, 0,
  IF(COLUMN() - ($E14 + 5) = 0, $F14,
    AD14 * (1 - IFERROR(INDEX('Inputs &amp; Assuptions'!$C$13:$C$72, COLUMN() - ($E14 + 5)), 0))
  )
)</f>
        <v>883.031171204378</v>
      </c>
      <c r="AF14" s="80" t="n">
        <f aca="false" t="array" ref="AF14:AF14">IF(COLUMN() - ($E14 + 5) &lt; 0, 0,
  IF(COLUMN() - ($E14 + 5) = 0, $F14,
    AE14 * (1 - IFERROR(INDEX('Inputs &amp; Assuptions'!$C$13:$C$72, COLUMN() - ($E14 + 5)), 0))
  )
)</f>
        <v>878.616015348356</v>
      </c>
      <c r="AG14" s="80" t="n">
        <f aca="false" t="array" ref="AG14:AG14">IF(COLUMN() - ($E14 + 5) &lt; 0, 0,
  IF(COLUMN() - ($E14 + 5) = 0, $F14,
    AF14 * (1 - IFERROR(INDEX('Inputs &amp; Assuptions'!$C$13:$C$72, COLUMN() - ($E14 + 5)), 0))
  )
)</f>
        <v>874.222935271614</v>
      </c>
      <c r="AH14" s="80" t="n">
        <f aca="false" t="array" ref="AH14:AH14">IF(COLUMN() - ($E14 + 5) &lt; 0, 0,
  IF(COLUMN() - ($E14 + 5) = 0, $F14,
    AG14 * (1 - IFERROR(INDEX('Inputs &amp; Assuptions'!$C$13:$C$72, COLUMN() - ($E14 + 5)), 0))
  )
)</f>
        <v>869.851820595256</v>
      </c>
      <c r="AI14" s="80" t="n">
        <f aca="false" t="array" ref="AI14:AI14">IF(COLUMN() - ($E14 + 5) &lt; 0, 0,
  IF(COLUMN() - ($E14 + 5) = 0, $F14,
    AH14 * (1 - IFERROR(INDEX('Inputs &amp; Assuptions'!$C$13:$C$72, COLUMN() - ($E14 + 5)), 0))
  )
)</f>
        <v>865.50256149228</v>
      </c>
      <c r="AJ14" s="80" t="n">
        <f aca="false" t="array" ref="AJ14:AJ14">IF(COLUMN() - ($E14 + 5) &lt; 0, 0,
  IF(COLUMN() - ($E14 + 5) = 0, $F14,
    AI14 * (1 - IFERROR(INDEX('Inputs &amp; Assuptions'!$C$13:$C$72, COLUMN() - ($E14 + 5)), 0))
  )
)</f>
        <v>861.175048684819</v>
      </c>
      <c r="AK14" s="80" t="n">
        <f aca="false" t="array" ref="AK14:AK14">IF(COLUMN() - ($E14 + 5) &lt; 0, 0,
  IF(COLUMN() - ($E14 + 5) = 0, $F14,
    AJ14 * (1 - IFERROR(INDEX('Inputs &amp; Assuptions'!$C$13:$C$72, COLUMN() - ($E14 + 5)), 0))
  )
)</f>
        <v>856.869173441394</v>
      </c>
      <c r="AL14" s="80" t="n">
        <f aca="false" t="array" ref="AL14:AL14">IF(COLUMN() - ($E14 + 5) &lt; 0, 0,
  IF(COLUMN() - ($E14 + 5) = 0, $F14,
    AK14 * (1 - IFERROR(INDEX('Inputs &amp; Assuptions'!$C$13:$C$72, COLUMN() - ($E14 + 5)), 0))
  )
)</f>
        <v>852.584827574187</v>
      </c>
      <c r="AM14" s="80" t="n">
        <f aca="false" t="array" ref="AM14:AM14">IF(COLUMN() - ($E14 + 5) &lt; 0, 0,
  IF(COLUMN() - ($E14 + 5) = 0, $F14,
    AL14 * (1 - IFERROR(INDEX('Inputs &amp; Assuptions'!$C$13:$C$72, COLUMN() - ($E14 + 5)), 0))
  )
)</f>
        <v>848.321903436317</v>
      </c>
      <c r="AN14" s="80" t="n">
        <f aca="false" t="array" ref="AN14:AN14">IF(COLUMN() - ($E14 + 5) &lt; 0, 0,
  IF(COLUMN() - ($E14 + 5) = 0, $F14,
    AM14 * (1 - IFERROR(INDEX('Inputs &amp; Assuptions'!$C$13:$C$72, COLUMN() - ($E14 + 5)), 0))
  )
)</f>
        <v>844.080293919135</v>
      </c>
      <c r="AO14" s="80" t="n">
        <f aca="false" t="array" ref="AO14:AO14">IF(COLUMN() - ($E14 + 5) &lt; 0, 0,
  IF(COLUMN() - ($E14 + 5) = 0, $F14,
    AN14 * (1 - IFERROR(INDEX('Inputs &amp; Assuptions'!$C$13:$C$72, COLUMN() - ($E14 + 5)), 0))
  )
)</f>
        <v>839.859892449539</v>
      </c>
      <c r="AP14" s="80" t="n">
        <f aca="false" t="array" ref="AP14:AP14">IF(COLUMN() - ($E14 + 5) &lt; 0, 0,
  IF(COLUMN() - ($E14 + 5) = 0, $F14,
    AO14 * (1 - IFERROR(INDEX('Inputs &amp; Assuptions'!$C$13:$C$72, COLUMN() - ($E14 + 5)), 0))
  )
)</f>
        <v>835.660592987292</v>
      </c>
      <c r="AQ14" s="80" t="n">
        <f aca="false" t="array" ref="AQ14:AQ14">IF(COLUMN() - ($E14 + 5) &lt; 0, 0,
  IF(COLUMN() - ($E14 + 5) = 0, $F14,
    AP14 * (1 - IFERROR(INDEX('Inputs &amp; Assuptions'!$C$13:$C$72, COLUMN() - ($E14 + 5)), 0))
  )
)</f>
        <v>831.482290022355</v>
      </c>
      <c r="AR14" s="80" t="n">
        <f aca="false" t="array" ref="AR14:AR14">IF(COLUMN() - ($E14 + 5) &lt; 0, 0,
  IF(COLUMN() - ($E14 + 5) = 0, $F14,
    AQ14 * (1 - IFERROR(INDEX('Inputs &amp; Assuptions'!$C$13:$C$72, COLUMN() - ($E14 + 5)), 0))
  )
)</f>
        <v>827.324878572243</v>
      </c>
      <c r="AS14" s="80" t="n">
        <f aca="false" t="array" ref="AS14:AS14">IF(COLUMN() - ($E14 + 5) &lt; 0, 0,
  IF(COLUMN() - ($E14 + 5) = 0, $F14,
    AR14 * (1 - IFERROR(INDEX('Inputs &amp; Assuptions'!$C$13:$C$72, COLUMN() - ($E14 + 5)), 0))
  )
)</f>
        <v>823.188254179382</v>
      </c>
      <c r="AT14" s="80" t="n">
        <f aca="false" t="array" ref="AT14:AT14">IF(COLUMN() - ($E14 + 5) &lt; 0, 0,
  IF(COLUMN() - ($E14 + 5) = 0, $F14,
    AS14 * (1 - IFERROR(INDEX('Inputs &amp; Assuptions'!$C$13:$C$72, COLUMN() - ($E14 + 5)), 0))
  )
)</f>
        <v>819.072312908485</v>
      </c>
      <c r="AU14" s="80" t="n">
        <f aca="false" t="array" ref="AU14:AU14">IF(COLUMN() - ($E14 + 5) &lt; 0, 0,
  IF(COLUMN() - ($E14 + 5) = 0, $F14,
    AT14 * (1 - IFERROR(INDEX('Inputs &amp; Assuptions'!$C$13:$C$72, COLUMN() - ($E14 + 5)), 0))
  )
)</f>
        <v>814.976951343943</v>
      </c>
      <c r="AV14" s="80" t="n">
        <f aca="false" t="array" ref="AV14:AV14">IF(COLUMN() - ($E14 + 5) &lt; 0, 0,
  IF(COLUMN() - ($E14 + 5) = 0, $F14,
    AU14 * (1 - IFERROR(INDEX('Inputs &amp; Assuptions'!$C$13:$C$72, COLUMN() - ($E14 + 5)), 0))
  )
)</f>
        <v>810.902066587223</v>
      </c>
      <c r="AW14" s="80" t="n">
        <f aca="false" t="array" ref="AW14:AW14">IF(COLUMN() - ($E14 + 5) &lt; 0, 0,
  IF(COLUMN() - ($E14 + 5) = 0, $F14,
    AV14 * (1 - IFERROR(INDEX('Inputs &amp; Assuptions'!$C$13:$C$72, COLUMN() - ($E14 + 5)), 0))
  )
)</f>
        <v>806.847556254287</v>
      </c>
      <c r="AX14" s="80" t="n">
        <f aca="false" t="array" ref="AX14:AX14">IF(COLUMN() - ($E14 + 5) &lt; 0, 0,
  IF(COLUMN() - ($E14 + 5) = 0, $F14,
    AW14 * (1 - IFERROR(INDEX('Inputs &amp; Assuptions'!$C$13:$C$72, COLUMN() - ($E14 + 5)), 0))
  )
)</f>
        <v>802.813318473015</v>
      </c>
      <c r="AY14" s="80" t="n">
        <f aca="false" t="array" ref="AY14:AY14">IF(COLUMN() - ($E14 + 5) &lt; 0, 0,
  IF(COLUMN() - ($E14 + 5) = 0, $F14,
    AX14 * (1 - IFERROR(INDEX('Inputs &amp; Assuptions'!$C$13:$C$72, COLUMN() - ($E14 + 5)), 0))
  )
)</f>
        <v>798.79925188065</v>
      </c>
      <c r="AZ14" s="80" t="n">
        <f aca="false" t="array" ref="AZ14:AZ14">IF(COLUMN() - ($E14 + 5) &lt; 0, 0,
  IF(COLUMN() - ($E14 + 5) = 0, $F14,
    AY14 * (1 - IFERROR(INDEX('Inputs &amp; Assuptions'!$C$13:$C$72, COLUMN() - ($E14 + 5)), 0))
  )
)</f>
        <v>794.805255621247</v>
      </c>
      <c r="BA14" s="80" t="n">
        <f aca="false" t="array" ref="BA14:BA14">IF(COLUMN() - ($E14 + 5) &lt; 0, 0,
  IF(COLUMN() - ($E14 + 5) = 0, $F14,
    AZ14 * (1 - IFERROR(INDEX('Inputs &amp; Assuptions'!$C$13:$C$72, COLUMN() - ($E14 + 5)), 0))
  )
)</f>
        <v>790.831229343141</v>
      </c>
      <c r="BB14" s="80" t="n">
        <f aca="false" t="array" ref="BB14:BB14">IF(COLUMN() - ($E14 + 5) &lt; 0, 0,
  IF(COLUMN() - ($E14 + 5) = 0, $F14,
    BA14 * (1 - IFERROR(INDEX('Inputs &amp; Assuptions'!$C$13:$C$72, COLUMN() - ($E14 + 5)), 0))
  )
)</f>
        <v>786.877073196425</v>
      </c>
      <c r="BC14" s="80" t="n">
        <f aca="false" t="array" ref="BC14:BC14">IF(COLUMN() - ($E14 + 5) &lt; 0, 0,
  IF(COLUMN() - ($E14 + 5) = 0, $F14,
    BB14 * (1 - IFERROR(INDEX('Inputs &amp; Assuptions'!$C$13:$C$72, COLUMN() - ($E14 + 5)), 0))
  )
)</f>
        <v>782.942687830443</v>
      </c>
      <c r="BD14" s="80" t="n">
        <f aca="false" t="array" ref="BD14:BD14">IF(COLUMN() - ($E14 + 5) &lt; 0, 0,
  IF(COLUMN() - ($E14 + 5) = 0, $F14,
    BC14 * (1 - IFERROR(INDEX('Inputs &amp; Assuptions'!$C$13:$C$72, COLUMN() - ($E14 + 5)), 0))
  )
)</f>
        <v>779.027974391291</v>
      </c>
      <c r="BE14" s="80" t="n">
        <f aca="false" t="array" ref="BE14:BE14">IF(COLUMN() - ($E14 + 5) &lt; 0, 0,
  IF(COLUMN() - ($E14 + 5) = 0, $F14,
    BD14 * (1 - IFERROR(INDEX('Inputs &amp; Assuptions'!$C$13:$C$72, COLUMN() - ($E14 + 5)), 0))
  )
)</f>
        <v>775.132834519334</v>
      </c>
      <c r="BF14" s="80" t="n">
        <f aca="false" t="array" ref="BF14:BF14">IF(COLUMN() - ($E14 + 5) &lt; 0, 0,
  IF(COLUMN() - ($E14 + 5) = 0, $F14,
    BE14 * (1 - IFERROR(INDEX('Inputs &amp; Assuptions'!$C$13:$C$72, COLUMN() - ($E14 + 5)), 0))
  )
)</f>
        <v>771.257170346737</v>
      </c>
      <c r="BG14" s="80" t="n">
        <f aca="false" t="array" ref="BG14:BG14">IF(COLUMN() - ($E14 + 5) &lt; 0, 0,
  IF(COLUMN() - ($E14 + 5) = 0, $F14,
    BF14 * (1 - IFERROR(INDEX('Inputs &amp; Assuptions'!$C$13:$C$72, COLUMN() - ($E14 + 5)), 0))
  )
)</f>
        <v>767.400884495004</v>
      </c>
      <c r="BH14" s="80" t="n">
        <f aca="false" t="array" ref="BH14:BH14">IF(COLUMN() - ($E14 + 5) &lt; 0, 0,
  IF(COLUMN() - ($E14 + 5) = 0, $F14,
    BG14 * (1 - IFERROR(INDEX('Inputs &amp; Assuptions'!$C$13:$C$72, COLUMN() - ($E14 + 5)), 0))
  )
)</f>
        <v>763.563880072529</v>
      </c>
      <c r="BI14" s="80" t="n">
        <f aca="false" t="array" ref="BI14:BI14">IF(COLUMN() - ($E14 + 5) &lt; 0, 0,
  IF(COLUMN() - ($E14 + 5) = 0, $F14,
    BH14 * (1 - IFERROR(INDEX('Inputs &amp; Assuptions'!$C$13:$C$72, COLUMN() - ($E14 + 5)), 0))
  )
)</f>
        <v>759.746060672166</v>
      </c>
      <c r="BJ14" s="80" t="n">
        <f aca="false" t="array" ref="BJ14:BJ14">IF(COLUMN() - ($E14 + 5) &lt; 0, 0,
  IF(COLUMN() - ($E14 + 5) = 0, $F14,
    BI14 * (1 - IFERROR(INDEX('Inputs &amp; Assuptions'!$C$13:$C$72, COLUMN() - ($E14 + 5)), 0))
  )
)</f>
        <v>755.947330368805</v>
      </c>
      <c r="BK14" s="80" t="n">
        <f aca="false" t="array" ref="BK14:BK14">IF(COLUMN() - ($E14 + 5) &lt; 0, 0,
  IF(COLUMN() - ($E14 + 5) = 0, $F14,
    BJ14 * (1 - IFERROR(INDEX('Inputs &amp; Assuptions'!$C$13:$C$72, COLUMN() - ($E14 + 5)), 0))
  )
)</f>
        <v>752.167593716961</v>
      </c>
      <c r="BL14" s="80" t="n">
        <f aca="false" t="array" ref="BL14:BL14">IF(COLUMN() - ($E14 + 5) &lt; 0, 0,
  IF(COLUMN() - ($E14 + 5) = 0, $F14,
    BK14 * (1 - IFERROR(INDEX('Inputs &amp; Assuptions'!$C$13:$C$72, COLUMN() - ($E14 + 5)), 0))
  )
)</f>
        <v>748.406755748376</v>
      </c>
      <c r="BM14" s="81" t="n">
        <f aca="false" t="array" ref="BM14:BM14">IF(COLUMN() - ($E14 + 5) &lt; 0, 0,
  IF(COLUMN() - ($E14 + 5) = 0, $F14,
    BL14 * (1 - IFERROR(INDEX('Inputs &amp; Assuptions'!$C$13:$C$72, COLUMN() - ($E14 + 5)), 0))
  )
)</f>
        <v>744.664721969635</v>
      </c>
      <c r="BN14" s="76"/>
    </row>
    <row r="15" customFormat="false" ht="14.25" hidden="false" customHeight="false" outlineLevel="0" collapsed="false">
      <c r="A15" s="29" t="n">
        <f aca="false">A14+1</f>
        <v>10</v>
      </c>
      <c r="B15" s="77" t="n">
        <f aca="false">IF(MOD($A15-1, 12) = 0, $B14 * 1.05, $B14)</f>
        <v>1500</v>
      </c>
      <c r="C15" s="78" t="n">
        <f aca="false">$B15*(1-'Inputs &amp; Assuptions'!$C$12)</f>
        <v>1170</v>
      </c>
      <c r="E15" s="29" t="n">
        <f aca="false">E14+1</f>
        <v>10</v>
      </c>
      <c r="F15" s="79"/>
      <c r="G15" s="80"/>
      <c r="H15" s="80"/>
      <c r="I15" s="80"/>
      <c r="J15" s="80"/>
      <c r="K15" s="80"/>
      <c r="L15" s="80"/>
      <c r="M15" s="80"/>
      <c r="N15" s="80"/>
      <c r="O15" s="80" t="n">
        <f aca="false">$C15</f>
        <v>1170</v>
      </c>
      <c r="P15" s="80" t="n">
        <f aca="false" t="array" ref="P15:P15">IF(COLUMN() - ($E15 + 5) &lt; 0, 0,
  IF(COLUMN() - ($E15 + 5) = 0, $F15,
    O15 * (1 - IFERROR(INDEX('Inputs &amp; Assuptions'!$C$13:$C$72, COLUMN() - ($E15 + 5)), 0))
  )
)</f>
        <v>1108.575</v>
      </c>
      <c r="Q15" s="80" t="n">
        <f aca="false" t="array" ref="Q15:Q15">IF(COLUMN() - ($E15 + 5) &lt; 0, 0,
  IF(COLUMN() - ($E15 + 5) = 0, $F15,
    P15 * (1 - IFERROR(INDEX('Inputs &amp; Assuptions'!$C$13:$C$72, COLUMN() - ($E15 + 5)), 0))
  )
)</f>
        <v>1064.232</v>
      </c>
      <c r="R15" s="80" t="n">
        <f aca="false" t="array" ref="R15:R15">IF(COLUMN() - ($E15 + 5) &lt; 0, 0,
  IF(COLUMN() - ($E15 + 5) = 0, $F15,
    Q15 * (1 - IFERROR(INDEX('Inputs &amp; Assuptions'!$C$13:$C$72, COLUMN() - ($E15 + 5)), 0))
  )
)</f>
        <v>1034.96562</v>
      </c>
      <c r="S15" s="80" t="n">
        <f aca="false" t="array" ref="S15:S15">IF(COLUMN() - ($E15 + 5) &lt; 0, 0,
  IF(COLUMN() - ($E15 + 5) = 0, $F15,
    R15 * (1 - IFERROR(INDEX('Inputs &amp; Assuptions'!$C$13:$C$72, COLUMN() - ($E15 + 5)), 0))
  )
)</f>
        <v>1009.0914795</v>
      </c>
      <c r="T15" s="80" t="n">
        <f aca="false" t="array" ref="T15:T15">IF(COLUMN() - ($E15 + 5) &lt; 0, 0,
  IF(COLUMN() - ($E15 + 5) = 0, $F15,
    S15 * (1 - IFERROR(INDEX('Inputs &amp; Assuptions'!$C$13:$C$72, COLUMN() - ($E15 + 5)), 0))
  )
)</f>
        <v>986.38692121125</v>
      </c>
      <c r="U15" s="80" t="n">
        <f aca="false" t="array" ref="U15:U15">IF(COLUMN() - ($E15 + 5) &lt; 0, 0,
  IF(COLUMN() - ($E15 + 5) = 0, $F15,
    T15 * (1 - IFERROR(INDEX('Inputs &amp; Assuptions'!$C$13:$C$72, COLUMN() - ($E15 + 5)), 0))
  )
)</f>
        <v>966.659182787025</v>
      </c>
      <c r="V15" s="80" t="n">
        <f aca="false" t="array" ref="V15:V15">IF(COLUMN() - ($E15 + 5) &lt; 0, 0,
  IF(COLUMN() - ($E15 + 5) = 0, $F15,
    U15 * (1 - IFERROR(INDEX('Inputs &amp; Assuptions'!$C$13:$C$72, COLUMN() - ($E15 + 5)), 0))
  )
)</f>
        <v>949.742647088252</v>
      </c>
      <c r="W15" s="80" t="n">
        <f aca="false" t="array" ref="W15:W15">IF(COLUMN() - ($E15 + 5) &lt; 0, 0,
  IF(COLUMN() - ($E15 + 5) = 0, $F15,
    V15 * (1 - IFERROR(INDEX('Inputs &amp; Assuptions'!$C$13:$C$72, COLUMN() - ($E15 + 5)), 0))
  )
)</f>
        <v>935.496507381928</v>
      </c>
      <c r="X15" s="80" t="n">
        <f aca="false" t="array" ref="X15:X15">IF(COLUMN() - ($E15 + 5) &lt; 0, 0,
  IF(COLUMN() - ($E15 + 5) = 0, $F15,
    W15 * (1 - IFERROR(INDEX('Inputs &amp; Assuptions'!$C$13:$C$72, COLUMN() - ($E15 + 5)), 0))
  )
)</f>
        <v>923.802801039654</v>
      </c>
      <c r="Y15" s="80" t="n">
        <f aca="false" t="array" ref="Y15:Y15">IF(COLUMN() - ($E15 + 5) &lt; 0, 0,
  IF(COLUMN() - ($E15 + 5) = 0, $F15,
    X15 * (1 - IFERROR(INDEX('Inputs &amp; Assuptions'!$C$13:$C$72, COLUMN() - ($E15 + 5)), 0))
  )
)</f>
        <v>914.564773029258</v>
      </c>
      <c r="Z15" s="80" t="n">
        <f aca="false" t="array" ref="Z15:Z15">IF(COLUMN() - ($E15 + 5) &lt; 0, 0,
  IF(COLUMN() - ($E15 + 5) = 0, $F15,
    Y15 * (1 - IFERROR(INDEX('Inputs &amp; Assuptions'!$C$13:$C$72, COLUMN() - ($E15 + 5)), 0))
  )
)</f>
        <v>909.991949164111</v>
      </c>
      <c r="AA15" s="80" t="n">
        <f aca="false" t="array" ref="AA15:AA15">IF(COLUMN() - ($E15 + 5) &lt; 0, 0,
  IF(COLUMN() - ($E15 + 5) = 0, $F15,
    Z15 * (1 - IFERROR(INDEX('Inputs &amp; Assuptions'!$C$13:$C$72, COLUMN() - ($E15 + 5)), 0))
  )
)</f>
        <v>905.441989418291</v>
      </c>
      <c r="AB15" s="80" t="n">
        <f aca="false" t="array" ref="AB15:AB15">IF(COLUMN() - ($E15 + 5) &lt; 0, 0,
  IF(COLUMN() - ($E15 + 5) = 0, $F15,
    AA15 * (1 - IFERROR(INDEX('Inputs &amp; Assuptions'!$C$13:$C$72, COLUMN() - ($E15 + 5)), 0))
  )
)</f>
        <v>900.914779471199</v>
      </c>
      <c r="AC15" s="80" t="n">
        <f aca="false" t="array" ref="AC15:AC15">IF(COLUMN() - ($E15 + 5) &lt; 0, 0,
  IF(COLUMN() - ($E15 + 5) = 0, $F15,
    AB15 * (1 - IFERROR(INDEX('Inputs &amp; Assuptions'!$C$13:$C$72, COLUMN() - ($E15 + 5)), 0))
  )
)</f>
        <v>896.410205573843</v>
      </c>
      <c r="AD15" s="80" t="n">
        <f aca="false" t="array" ref="AD15:AD15">IF(COLUMN() - ($E15 + 5) &lt; 0, 0,
  IF(COLUMN() - ($E15 + 5) = 0, $F15,
    AC15 * (1 - IFERROR(INDEX('Inputs &amp; Assuptions'!$C$13:$C$72, COLUMN() - ($E15 + 5)), 0))
  )
)</f>
        <v>891.928154545974</v>
      </c>
      <c r="AE15" s="80" t="n">
        <f aca="false" t="array" ref="AE15:AE15">IF(COLUMN() - ($E15 + 5) &lt; 0, 0,
  IF(COLUMN() - ($E15 + 5) = 0, $F15,
    AD15 * (1 - IFERROR(INDEX('Inputs &amp; Assuptions'!$C$13:$C$72, COLUMN() - ($E15 + 5)), 0))
  )
)</f>
        <v>887.468513773244</v>
      </c>
      <c r="AF15" s="80" t="n">
        <f aca="false" t="array" ref="AF15:AF15">IF(COLUMN() - ($E15 + 5) &lt; 0, 0,
  IF(COLUMN() - ($E15 + 5) = 0, $F15,
    AE15 * (1 - IFERROR(INDEX('Inputs &amp; Assuptions'!$C$13:$C$72, COLUMN() - ($E15 + 5)), 0))
  )
)</f>
        <v>883.031171204378</v>
      </c>
      <c r="AG15" s="80" t="n">
        <f aca="false" t="array" ref="AG15:AG15">IF(COLUMN() - ($E15 + 5) &lt; 0, 0,
  IF(COLUMN() - ($E15 + 5) = 0, $F15,
    AF15 * (1 - IFERROR(INDEX('Inputs &amp; Assuptions'!$C$13:$C$72, COLUMN() - ($E15 + 5)), 0))
  )
)</f>
        <v>878.616015348356</v>
      </c>
      <c r="AH15" s="80" t="n">
        <f aca="false" t="array" ref="AH15:AH15">IF(COLUMN() - ($E15 + 5) &lt; 0, 0,
  IF(COLUMN() - ($E15 + 5) = 0, $F15,
    AG15 * (1 - IFERROR(INDEX('Inputs &amp; Assuptions'!$C$13:$C$72, COLUMN() - ($E15 + 5)), 0))
  )
)</f>
        <v>874.222935271614</v>
      </c>
      <c r="AI15" s="80" t="n">
        <f aca="false" t="array" ref="AI15:AI15">IF(COLUMN() - ($E15 + 5) &lt; 0, 0,
  IF(COLUMN() - ($E15 + 5) = 0, $F15,
    AH15 * (1 - IFERROR(INDEX('Inputs &amp; Assuptions'!$C$13:$C$72, COLUMN() - ($E15 + 5)), 0))
  )
)</f>
        <v>869.851820595256</v>
      </c>
      <c r="AJ15" s="80" t="n">
        <f aca="false" t="array" ref="AJ15:AJ15">IF(COLUMN() - ($E15 + 5) &lt; 0, 0,
  IF(COLUMN() - ($E15 + 5) = 0, $F15,
    AI15 * (1 - IFERROR(INDEX('Inputs &amp; Assuptions'!$C$13:$C$72, COLUMN() - ($E15 + 5)), 0))
  )
)</f>
        <v>865.50256149228</v>
      </c>
      <c r="AK15" s="80" t="n">
        <f aca="false" t="array" ref="AK15:AK15">IF(COLUMN() - ($E15 + 5) &lt; 0, 0,
  IF(COLUMN() - ($E15 + 5) = 0, $F15,
    AJ15 * (1 - IFERROR(INDEX('Inputs &amp; Assuptions'!$C$13:$C$72, COLUMN() - ($E15 + 5)), 0))
  )
)</f>
        <v>861.175048684819</v>
      </c>
      <c r="AL15" s="80" t="n">
        <f aca="false" t="array" ref="AL15:AL15">IF(COLUMN() - ($E15 + 5) &lt; 0, 0,
  IF(COLUMN() - ($E15 + 5) = 0, $F15,
    AK15 * (1 - IFERROR(INDEX('Inputs &amp; Assuptions'!$C$13:$C$72, COLUMN() - ($E15 + 5)), 0))
  )
)</f>
        <v>856.869173441394</v>
      </c>
      <c r="AM15" s="80" t="n">
        <f aca="false" t="array" ref="AM15:AM15">IF(COLUMN() - ($E15 + 5) &lt; 0, 0,
  IF(COLUMN() - ($E15 + 5) = 0, $F15,
    AL15 * (1 - IFERROR(INDEX('Inputs &amp; Assuptions'!$C$13:$C$72, COLUMN() - ($E15 + 5)), 0))
  )
)</f>
        <v>852.584827574187</v>
      </c>
      <c r="AN15" s="80" t="n">
        <f aca="false" t="array" ref="AN15:AN15">IF(COLUMN() - ($E15 + 5) &lt; 0, 0,
  IF(COLUMN() - ($E15 + 5) = 0, $F15,
    AM15 * (1 - IFERROR(INDEX('Inputs &amp; Assuptions'!$C$13:$C$72, COLUMN() - ($E15 + 5)), 0))
  )
)</f>
        <v>848.321903436317</v>
      </c>
      <c r="AO15" s="80" t="n">
        <f aca="false" t="array" ref="AO15:AO15">IF(COLUMN() - ($E15 + 5) &lt; 0, 0,
  IF(COLUMN() - ($E15 + 5) = 0, $F15,
    AN15 * (1 - IFERROR(INDEX('Inputs &amp; Assuptions'!$C$13:$C$72, COLUMN() - ($E15 + 5)), 0))
  )
)</f>
        <v>844.080293919135</v>
      </c>
      <c r="AP15" s="80" t="n">
        <f aca="false" t="array" ref="AP15:AP15">IF(COLUMN() - ($E15 + 5) &lt; 0, 0,
  IF(COLUMN() - ($E15 + 5) = 0, $F15,
    AO15 * (1 - IFERROR(INDEX('Inputs &amp; Assuptions'!$C$13:$C$72, COLUMN() - ($E15 + 5)), 0))
  )
)</f>
        <v>839.859892449539</v>
      </c>
      <c r="AQ15" s="80" t="n">
        <f aca="false" t="array" ref="AQ15:AQ15">IF(COLUMN() - ($E15 + 5) &lt; 0, 0,
  IF(COLUMN() - ($E15 + 5) = 0, $F15,
    AP15 * (1 - IFERROR(INDEX('Inputs &amp; Assuptions'!$C$13:$C$72, COLUMN() - ($E15 + 5)), 0))
  )
)</f>
        <v>835.660592987292</v>
      </c>
      <c r="AR15" s="80" t="n">
        <f aca="false" t="array" ref="AR15:AR15">IF(COLUMN() - ($E15 + 5) &lt; 0, 0,
  IF(COLUMN() - ($E15 + 5) = 0, $F15,
    AQ15 * (1 - IFERROR(INDEX('Inputs &amp; Assuptions'!$C$13:$C$72, COLUMN() - ($E15 + 5)), 0))
  )
)</f>
        <v>831.482290022355</v>
      </c>
      <c r="AS15" s="80" t="n">
        <f aca="false" t="array" ref="AS15:AS15">IF(COLUMN() - ($E15 + 5) &lt; 0, 0,
  IF(COLUMN() - ($E15 + 5) = 0, $F15,
    AR15 * (1 - IFERROR(INDEX('Inputs &amp; Assuptions'!$C$13:$C$72, COLUMN() - ($E15 + 5)), 0))
  )
)</f>
        <v>827.324878572243</v>
      </c>
      <c r="AT15" s="80" t="n">
        <f aca="false" t="array" ref="AT15:AT15">IF(COLUMN() - ($E15 + 5) &lt; 0, 0,
  IF(COLUMN() - ($E15 + 5) = 0, $F15,
    AS15 * (1 - IFERROR(INDEX('Inputs &amp; Assuptions'!$C$13:$C$72, COLUMN() - ($E15 + 5)), 0))
  )
)</f>
        <v>823.188254179382</v>
      </c>
      <c r="AU15" s="80" t="n">
        <f aca="false" t="array" ref="AU15:AU15">IF(COLUMN() - ($E15 + 5) &lt; 0, 0,
  IF(COLUMN() - ($E15 + 5) = 0, $F15,
    AT15 * (1 - IFERROR(INDEX('Inputs &amp; Assuptions'!$C$13:$C$72, COLUMN() - ($E15 + 5)), 0))
  )
)</f>
        <v>819.072312908485</v>
      </c>
      <c r="AV15" s="80" t="n">
        <f aca="false" t="array" ref="AV15:AV15">IF(COLUMN() - ($E15 + 5) &lt; 0, 0,
  IF(COLUMN() - ($E15 + 5) = 0, $F15,
    AU15 * (1 - IFERROR(INDEX('Inputs &amp; Assuptions'!$C$13:$C$72, COLUMN() - ($E15 + 5)), 0))
  )
)</f>
        <v>814.976951343943</v>
      </c>
      <c r="AW15" s="80" t="n">
        <f aca="false" t="array" ref="AW15:AW15">IF(COLUMN() - ($E15 + 5) &lt; 0, 0,
  IF(COLUMN() - ($E15 + 5) = 0, $F15,
    AV15 * (1 - IFERROR(INDEX('Inputs &amp; Assuptions'!$C$13:$C$72, COLUMN() - ($E15 + 5)), 0))
  )
)</f>
        <v>810.902066587223</v>
      </c>
      <c r="AX15" s="80" t="n">
        <f aca="false" t="array" ref="AX15:AX15">IF(COLUMN() - ($E15 + 5) &lt; 0, 0,
  IF(COLUMN() - ($E15 + 5) = 0, $F15,
    AW15 * (1 - IFERROR(INDEX('Inputs &amp; Assuptions'!$C$13:$C$72, COLUMN() - ($E15 + 5)), 0))
  )
)</f>
        <v>806.847556254287</v>
      </c>
      <c r="AY15" s="80" t="n">
        <f aca="false" t="array" ref="AY15:AY15">IF(COLUMN() - ($E15 + 5) &lt; 0, 0,
  IF(COLUMN() - ($E15 + 5) = 0, $F15,
    AX15 * (1 - IFERROR(INDEX('Inputs &amp; Assuptions'!$C$13:$C$72, COLUMN() - ($E15 + 5)), 0))
  )
)</f>
        <v>802.813318473015</v>
      </c>
      <c r="AZ15" s="80" t="n">
        <f aca="false" t="array" ref="AZ15:AZ15">IF(COLUMN() - ($E15 + 5) &lt; 0, 0,
  IF(COLUMN() - ($E15 + 5) = 0, $F15,
    AY15 * (1 - IFERROR(INDEX('Inputs &amp; Assuptions'!$C$13:$C$72, COLUMN() - ($E15 + 5)), 0))
  )
)</f>
        <v>798.79925188065</v>
      </c>
      <c r="BA15" s="80" t="n">
        <f aca="false" t="array" ref="BA15:BA15">IF(COLUMN() - ($E15 + 5) &lt; 0, 0,
  IF(COLUMN() - ($E15 + 5) = 0, $F15,
    AZ15 * (1 - IFERROR(INDEX('Inputs &amp; Assuptions'!$C$13:$C$72, COLUMN() - ($E15 + 5)), 0))
  )
)</f>
        <v>794.805255621247</v>
      </c>
      <c r="BB15" s="80" t="n">
        <f aca="false" t="array" ref="BB15:BB15">IF(COLUMN() - ($E15 + 5) &lt; 0, 0,
  IF(COLUMN() - ($E15 + 5) = 0, $F15,
    BA15 * (1 - IFERROR(INDEX('Inputs &amp; Assuptions'!$C$13:$C$72, COLUMN() - ($E15 + 5)), 0))
  )
)</f>
        <v>790.831229343141</v>
      </c>
      <c r="BC15" s="80" t="n">
        <f aca="false" t="array" ref="BC15:BC15">IF(COLUMN() - ($E15 + 5) &lt; 0, 0,
  IF(COLUMN() - ($E15 + 5) = 0, $F15,
    BB15 * (1 - IFERROR(INDEX('Inputs &amp; Assuptions'!$C$13:$C$72, COLUMN() - ($E15 + 5)), 0))
  )
)</f>
        <v>786.877073196425</v>
      </c>
      <c r="BD15" s="80" t="n">
        <f aca="false" t="array" ref="BD15:BD15">IF(COLUMN() - ($E15 + 5) &lt; 0, 0,
  IF(COLUMN() - ($E15 + 5) = 0, $F15,
    BC15 * (1 - IFERROR(INDEX('Inputs &amp; Assuptions'!$C$13:$C$72, COLUMN() - ($E15 + 5)), 0))
  )
)</f>
        <v>782.942687830443</v>
      </c>
      <c r="BE15" s="80" t="n">
        <f aca="false" t="array" ref="BE15:BE15">IF(COLUMN() - ($E15 + 5) &lt; 0, 0,
  IF(COLUMN() - ($E15 + 5) = 0, $F15,
    BD15 * (1 - IFERROR(INDEX('Inputs &amp; Assuptions'!$C$13:$C$72, COLUMN() - ($E15 + 5)), 0))
  )
)</f>
        <v>779.027974391291</v>
      </c>
      <c r="BF15" s="80" t="n">
        <f aca="false" t="array" ref="BF15:BF15">IF(COLUMN() - ($E15 + 5) &lt; 0, 0,
  IF(COLUMN() - ($E15 + 5) = 0, $F15,
    BE15 * (1 - IFERROR(INDEX('Inputs &amp; Assuptions'!$C$13:$C$72, COLUMN() - ($E15 + 5)), 0))
  )
)</f>
        <v>775.132834519334</v>
      </c>
      <c r="BG15" s="80" t="n">
        <f aca="false" t="array" ref="BG15:BG15">IF(COLUMN() - ($E15 + 5) &lt; 0, 0,
  IF(COLUMN() - ($E15 + 5) = 0, $F15,
    BF15 * (1 - IFERROR(INDEX('Inputs &amp; Assuptions'!$C$13:$C$72, COLUMN() - ($E15 + 5)), 0))
  )
)</f>
        <v>771.257170346737</v>
      </c>
      <c r="BH15" s="80" t="n">
        <f aca="false" t="array" ref="BH15:BH15">IF(COLUMN() - ($E15 + 5) &lt; 0, 0,
  IF(COLUMN() - ($E15 + 5) = 0, $F15,
    BG15 * (1 - IFERROR(INDEX('Inputs &amp; Assuptions'!$C$13:$C$72, COLUMN() - ($E15 + 5)), 0))
  )
)</f>
        <v>767.400884495004</v>
      </c>
      <c r="BI15" s="80" t="n">
        <f aca="false" t="array" ref="BI15:BI15">IF(COLUMN() - ($E15 + 5) &lt; 0, 0,
  IF(COLUMN() - ($E15 + 5) = 0, $F15,
    BH15 * (1 - IFERROR(INDEX('Inputs &amp; Assuptions'!$C$13:$C$72, COLUMN() - ($E15 + 5)), 0))
  )
)</f>
        <v>763.563880072529</v>
      </c>
      <c r="BJ15" s="80" t="n">
        <f aca="false" t="array" ref="BJ15:BJ15">IF(COLUMN() - ($E15 + 5) &lt; 0, 0,
  IF(COLUMN() - ($E15 + 5) = 0, $F15,
    BI15 * (1 - IFERROR(INDEX('Inputs &amp; Assuptions'!$C$13:$C$72, COLUMN() - ($E15 + 5)), 0))
  )
)</f>
        <v>759.746060672166</v>
      </c>
      <c r="BK15" s="80" t="n">
        <f aca="false" t="array" ref="BK15:BK15">IF(COLUMN() - ($E15 + 5) &lt; 0, 0,
  IF(COLUMN() - ($E15 + 5) = 0, $F15,
    BJ15 * (1 - IFERROR(INDEX('Inputs &amp; Assuptions'!$C$13:$C$72, COLUMN() - ($E15 + 5)), 0))
  )
)</f>
        <v>755.947330368805</v>
      </c>
      <c r="BL15" s="80" t="n">
        <f aca="false" t="array" ref="BL15:BL15">IF(COLUMN() - ($E15 + 5) &lt; 0, 0,
  IF(COLUMN() - ($E15 + 5) = 0, $F15,
    BK15 * (1 - IFERROR(INDEX('Inputs &amp; Assuptions'!$C$13:$C$72, COLUMN() - ($E15 + 5)), 0))
  )
)</f>
        <v>752.167593716961</v>
      </c>
      <c r="BM15" s="81" t="n">
        <f aca="false" t="array" ref="BM15:BM15">IF(COLUMN() - ($E15 + 5) &lt; 0, 0,
  IF(COLUMN() - ($E15 + 5) = 0, $F15,
    BL15 * (1 - IFERROR(INDEX('Inputs &amp; Assuptions'!$C$13:$C$72, COLUMN() - ($E15 + 5)), 0))
  )
)</f>
        <v>748.406755748376</v>
      </c>
      <c r="BN15" s="76"/>
    </row>
    <row r="16" customFormat="false" ht="14.25" hidden="false" customHeight="false" outlineLevel="0" collapsed="false">
      <c r="A16" s="29" t="n">
        <f aca="false">A15+1</f>
        <v>11</v>
      </c>
      <c r="B16" s="77" t="n">
        <f aca="false">IF(MOD($A16-1, 12) = 0, $B15 * 1.05, $B15)</f>
        <v>1500</v>
      </c>
      <c r="C16" s="78" t="n">
        <f aca="false">$B16*(1-'Inputs &amp; Assuptions'!$C$12)</f>
        <v>1170</v>
      </c>
      <c r="E16" s="29" t="n">
        <f aca="false">E15+1</f>
        <v>11</v>
      </c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 t="n">
        <f aca="false">$C16</f>
        <v>1170</v>
      </c>
      <c r="Q16" s="80" t="n">
        <f aca="false" t="array" ref="Q16:Q16">IF(COLUMN() - ($E16 + 5) &lt; 0, 0,
  IF(COLUMN() - ($E16 + 5) = 0, $F16,
    P16 * (1 - IFERROR(INDEX('Inputs &amp; Assuptions'!$C$13:$C$72, COLUMN() - ($E16 + 5)), 0))
  )
)</f>
        <v>1108.575</v>
      </c>
      <c r="R16" s="80" t="n">
        <f aca="false" t="array" ref="R16:R16">IF(COLUMN() - ($E16 + 5) &lt; 0, 0,
  IF(COLUMN() - ($E16 + 5) = 0, $F16,
    Q16 * (1 - IFERROR(INDEX('Inputs &amp; Assuptions'!$C$13:$C$72, COLUMN() - ($E16 + 5)), 0))
  )
)</f>
        <v>1064.232</v>
      </c>
      <c r="S16" s="80" t="n">
        <f aca="false" t="array" ref="S16:S16">IF(COLUMN() - ($E16 + 5) &lt; 0, 0,
  IF(COLUMN() - ($E16 + 5) = 0, $F16,
    R16 * (1 - IFERROR(INDEX('Inputs &amp; Assuptions'!$C$13:$C$72, COLUMN() - ($E16 + 5)), 0))
  )
)</f>
        <v>1034.96562</v>
      </c>
      <c r="T16" s="80" t="n">
        <f aca="false" t="array" ref="T16:T16">IF(COLUMN() - ($E16 + 5) &lt; 0, 0,
  IF(COLUMN() - ($E16 + 5) = 0, $F16,
    S16 * (1 - IFERROR(INDEX('Inputs &amp; Assuptions'!$C$13:$C$72, COLUMN() - ($E16 + 5)), 0))
  )
)</f>
        <v>1009.0914795</v>
      </c>
      <c r="U16" s="80" t="n">
        <f aca="false" t="array" ref="U16:U16">IF(COLUMN() - ($E16 + 5) &lt; 0, 0,
  IF(COLUMN() - ($E16 + 5) = 0, $F16,
    T16 * (1 - IFERROR(INDEX('Inputs &amp; Assuptions'!$C$13:$C$72, COLUMN() - ($E16 + 5)), 0))
  )
)</f>
        <v>986.38692121125</v>
      </c>
      <c r="V16" s="80" t="n">
        <f aca="false" t="array" ref="V16:V16">IF(COLUMN() - ($E16 + 5) &lt; 0, 0,
  IF(COLUMN() - ($E16 + 5) = 0, $F16,
    U16 * (1 - IFERROR(INDEX('Inputs &amp; Assuptions'!$C$13:$C$72, COLUMN() - ($E16 + 5)), 0))
  )
)</f>
        <v>966.659182787025</v>
      </c>
      <c r="W16" s="80" t="n">
        <f aca="false" t="array" ref="W16:W16">IF(COLUMN() - ($E16 + 5) &lt; 0, 0,
  IF(COLUMN() - ($E16 + 5) = 0, $F16,
    V16 * (1 - IFERROR(INDEX('Inputs &amp; Assuptions'!$C$13:$C$72, COLUMN() - ($E16 + 5)), 0))
  )
)</f>
        <v>949.742647088252</v>
      </c>
      <c r="X16" s="80" t="n">
        <f aca="false" t="array" ref="X16:X16">IF(COLUMN() - ($E16 + 5) &lt; 0, 0,
  IF(COLUMN() - ($E16 + 5) = 0, $F16,
    W16 * (1 - IFERROR(INDEX('Inputs &amp; Assuptions'!$C$13:$C$72, COLUMN() - ($E16 + 5)), 0))
  )
)</f>
        <v>935.496507381928</v>
      </c>
      <c r="Y16" s="80" t="n">
        <f aca="false" t="array" ref="Y16:Y16">IF(COLUMN() - ($E16 + 5) &lt; 0, 0,
  IF(COLUMN() - ($E16 + 5) = 0, $F16,
    X16 * (1 - IFERROR(INDEX('Inputs &amp; Assuptions'!$C$13:$C$72, COLUMN() - ($E16 + 5)), 0))
  )
)</f>
        <v>923.802801039654</v>
      </c>
      <c r="Z16" s="80" t="n">
        <f aca="false" t="array" ref="Z16:Z16">IF(COLUMN() - ($E16 + 5) &lt; 0, 0,
  IF(COLUMN() - ($E16 + 5) = 0, $F16,
    Y16 * (1 - IFERROR(INDEX('Inputs &amp; Assuptions'!$C$13:$C$72, COLUMN() - ($E16 + 5)), 0))
  )
)</f>
        <v>914.564773029258</v>
      </c>
      <c r="AA16" s="80" t="n">
        <f aca="false" t="array" ref="AA16:AA16">IF(COLUMN() - ($E16 + 5) &lt; 0, 0,
  IF(COLUMN() - ($E16 + 5) = 0, $F16,
    Z16 * (1 - IFERROR(INDEX('Inputs &amp; Assuptions'!$C$13:$C$72, COLUMN() - ($E16 + 5)), 0))
  )
)</f>
        <v>909.991949164111</v>
      </c>
      <c r="AB16" s="80" t="n">
        <f aca="false" t="array" ref="AB16:AB16">IF(COLUMN() - ($E16 + 5) &lt; 0, 0,
  IF(COLUMN() - ($E16 + 5) = 0, $F16,
    AA16 * (1 - IFERROR(INDEX('Inputs &amp; Assuptions'!$C$13:$C$72, COLUMN() - ($E16 + 5)), 0))
  )
)</f>
        <v>905.441989418291</v>
      </c>
      <c r="AC16" s="80" t="n">
        <f aca="false" t="array" ref="AC16:AC16">IF(COLUMN() - ($E16 + 5) &lt; 0, 0,
  IF(COLUMN() - ($E16 + 5) = 0, $F16,
    AB16 * (1 - IFERROR(INDEX('Inputs &amp; Assuptions'!$C$13:$C$72, COLUMN() - ($E16 + 5)), 0))
  )
)</f>
        <v>900.914779471199</v>
      </c>
      <c r="AD16" s="80" t="n">
        <f aca="false" t="array" ref="AD16:AD16">IF(COLUMN() - ($E16 + 5) &lt; 0, 0,
  IF(COLUMN() - ($E16 + 5) = 0, $F16,
    AC16 * (1 - IFERROR(INDEX('Inputs &amp; Assuptions'!$C$13:$C$72, COLUMN() - ($E16 + 5)), 0))
  )
)</f>
        <v>896.410205573843</v>
      </c>
      <c r="AE16" s="80" t="n">
        <f aca="false" t="array" ref="AE16:AE16">IF(COLUMN() - ($E16 + 5) &lt; 0, 0,
  IF(COLUMN() - ($E16 + 5) = 0, $F16,
    AD16 * (1 - IFERROR(INDEX('Inputs &amp; Assuptions'!$C$13:$C$72, COLUMN() - ($E16 + 5)), 0))
  )
)</f>
        <v>891.928154545974</v>
      </c>
      <c r="AF16" s="80" t="n">
        <f aca="false" t="array" ref="AF16:AF16">IF(COLUMN() - ($E16 + 5) &lt; 0, 0,
  IF(COLUMN() - ($E16 + 5) = 0, $F16,
    AE16 * (1 - IFERROR(INDEX('Inputs &amp; Assuptions'!$C$13:$C$72, COLUMN() - ($E16 + 5)), 0))
  )
)</f>
        <v>887.468513773244</v>
      </c>
      <c r="AG16" s="80" t="n">
        <f aca="false" t="array" ref="AG16:AG16">IF(COLUMN() - ($E16 + 5) &lt; 0, 0,
  IF(COLUMN() - ($E16 + 5) = 0, $F16,
    AF16 * (1 - IFERROR(INDEX('Inputs &amp; Assuptions'!$C$13:$C$72, COLUMN() - ($E16 + 5)), 0))
  )
)</f>
        <v>883.031171204378</v>
      </c>
      <c r="AH16" s="80" t="n">
        <f aca="false" t="array" ref="AH16:AH16">IF(COLUMN() - ($E16 + 5) &lt; 0, 0,
  IF(COLUMN() - ($E16 + 5) = 0, $F16,
    AG16 * (1 - IFERROR(INDEX('Inputs &amp; Assuptions'!$C$13:$C$72, COLUMN() - ($E16 + 5)), 0))
  )
)</f>
        <v>878.616015348356</v>
      </c>
      <c r="AI16" s="80" t="n">
        <f aca="false" t="array" ref="AI16:AI16">IF(COLUMN() - ($E16 + 5) &lt; 0, 0,
  IF(COLUMN() - ($E16 + 5) = 0, $F16,
    AH16 * (1 - IFERROR(INDEX('Inputs &amp; Assuptions'!$C$13:$C$72, COLUMN() - ($E16 + 5)), 0))
  )
)</f>
        <v>874.222935271614</v>
      </c>
      <c r="AJ16" s="80" t="n">
        <f aca="false" t="array" ref="AJ16:AJ16">IF(COLUMN() - ($E16 + 5) &lt; 0, 0,
  IF(COLUMN() - ($E16 + 5) = 0, $F16,
    AI16 * (1 - IFERROR(INDEX('Inputs &amp; Assuptions'!$C$13:$C$72, COLUMN() - ($E16 + 5)), 0))
  )
)</f>
        <v>869.851820595256</v>
      </c>
      <c r="AK16" s="80" t="n">
        <f aca="false" t="array" ref="AK16:AK16">IF(COLUMN() - ($E16 + 5) &lt; 0, 0,
  IF(COLUMN() - ($E16 + 5) = 0, $F16,
    AJ16 * (1 - IFERROR(INDEX('Inputs &amp; Assuptions'!$C$13:$C$72, COLUMN() - ($E16 + 5)), 0))
  )
)</f>
        <v>865.50256149228</v>
      </c>
      <c r="AL16" s="80" t="n">
        <f aca="false" t="array" ref="AL16:AL16">IF(COLUMN() - ($E16 + 5) &lt; 0, 0,
  IF(COLUMN() - ($E16 + 5) = 0, $F16,
    AK16 * (1 - IFERROR(INDEX('Inputs &amp; Assuptions'!$C$13:$C$72, COLUMN() - ($E16 + 5)), 0))
  )
)</f>
        <v>861.175048684819</v>
      </c>
      <c r="AM16" s="80" t="n">
        <f aca="false" t="array" ref="AM16:AM16">IF(COLUMN() - ($E16 + 5) &lt; 0, 0,
  IF(COLUMN() - ($E16 + 5) = 0, $F16,
    AL16 * (1 - IFERROR(INDEX('Inputs &amp; Assuptions'!$C$13:$C$72, COLUMN() - ($E16 + 5)), 0))
  )
)</f>
        <v>856.869173441394</v>
      </c>
      <c r="AN16" s="80" t="n">
        <f aca="false" t="array" ref="AN16:AN16">IF(COLUMN() - ($E16 + 5) &lt; 0, 0,
  IF(COLUMN() - ($E16 + 5) = 0, $F16,
    AM16 * (1 - IFERROR(INDEX('Inputs &amp; Assuptions'!$C$13:$C$72, COLUMN() - ($E16 + 5)), 0))
  )
)</f>
        <v>852.584827574187</v>
      </c>
      <c r="AO16" s="80" t="n">
        <f aca="false" t="array" ref="AO16:AO16">IF(COLUMN() - ($E16 + 5) &lt; 0, 0,
  IF(COLUMN() - ($E16 + 5) = 0, $F16,
    AN16 * (1 - IFERROR(INDEX('Inputs &amp; Assuptions'!$C$13:$C$72, COLUMN() - ($E16 + 5)), 0))
  )
)</f>
        <v>848.321903436317</v>
      </c>
      <c r="AP16" s="80" t="n">
        <f aca="false" t="array" ref="AP16:AP16">IF(COLUMN() - ($E16 + 5) &lt; 0, 0,
  IF(COLUMN() - ($E16 + 5) = 0, $F16,
    AO16 * (1 - IFERROR(INDEX('Inputs &amp; Assuptions'!$C$13:$C$72, COLUMN() - ($E16 + 5)), 0))
  )
)</f>
        <v>844.080293919135</v>
      </c>
      <c r="AQ16" s="80" t="n">
        <f aca="false" t="array" ref="AQ16:AQ16">IF(COLUMN() - ($E16 + 5) &lt; 0, 0,
  IF(COLUMN() - ($E16 + 5) = 0, $F16,
    AP16 * (1 - IFERROR(INDEX('Inputs &amp; Assuptions'!$C$13:$C$72, COLUMN() - ($E16 + 5)), 0))
  )
)</f>
        <v>839.859892449539</v>
      </c>
      <c r="AR16" s="80" t="n">
        <f aca="false" t="array" ref="AR16:AR16">IF(COLUMN() - ($E16 + 5) &lt; 0, 0,
  IF(COLUMN() - ($E16 + 5) = 0, $F16,
    AQ16 * (1 - IFERROR(INDEX('Inputs &amp; Assuptions'!$C$13:$C$72, COLUMN() - ($E16 + 5)), 0))
  )
)</f>
        <v>835.660592987292</v>
      </c>
      <c r="AS16" s="80" t="n">
        <f aca="false" t="array" ref="AS16:AS16">IF(COLUMN() - ($E16 + 5) &lt; 0, 0,
  IF(COLUMN() - ($E16 + 5) = 0, $F16,
    AR16 * (1 - IFERROR(INDEX('Inputs &amp; Assuptions'!$C$13:$C$72, COLUMN() - ($E16 + 5)), 0))
  )
)</f>
        <v>831.482290022355</v>
      </c>
      <c r="AT16" s="80" t="n">
        <f aca="false" t="array" ref="AT16:AT16">IF(COLUMN() - ($E16 + 5) &lt; 0, 0,
  IF(COLUMN() - ($E16 + 5) = 0, $F16,
    AS16 * (1 - IFERROR(INDEX('Inputs &amp; Assuptions'!$C$13:$C$72, COLUMN() - ($E16 + 5)), 0))
  )
)</f>
        <v>827.324878572243</v>
      </c>
      <c r="AU16" s="80" t="n">
        <f aca="false" t="array" ref="AU16:AU16">IF(COLUMN() - ($E16 + 5) &lt; 0, 0,
  IF(COLUMN() - ($E16 + 5) = 0, $F16,
    AT16 * (1 - IFERROR(INDEX('Inputs &amp; Assuptions'!$C$13:$C$72, COLUMN() - ($E16 + 5)), 0))
  )
)</f>
        <v>823.188254179382</v>
      </c>
      <c r="AV16" s="80" t="n">
        <f aca="false" t="array" ref="AV16:AV16">IF(COLUMN() - ($E16 + 5) &lt; 0, 0,
  IF(COLUMN() - ($E16 + 5) = 0, $F16,
    AU16 * (1 - IFERROR(INDEX('Inputs &amp; Assuptions'!$C$13:$C$72, COLUMN() - ($E16 + 5)), 0))
  )
)</f>
        <v>819.072312908485</v>
      </c>
      <c r="AW16" s="80" t="n">
        <f aca="false" t="array" ref="AW16:AW16">IF(COLUMN() - ($E16 + 5) &lt; 0, 0,
  IF(COLUMN() - ($E16 + 5) = 0, $F16,
    AV16 * (1 - IFERROR(INDEX('Inputs &amp; Assuptions'!$C$13:$C$72, COLUMN() - ($E16 + 5)), 0))
  )
)</f>
        <v>814.976951343943</v>
      </c>
      <c r="AX16" s="80" t="n">
        <f aca="false" t="array" ref="AX16:AX16">IF(COLUMN() - ($E16 + 5) &lt; 0, 0,
  IF(COLUMN() - ($E16 + 5) = 0, $F16,
    AW16 * (1 - IFERROR(INDEX('Inputs &amp; Assuptions'!$C$13:$C$72, COLUMN() - ($E16 + 5)), 0))
  )
)</f>
        <v>810.902066587223</v>
      </c>
      <c r="AY16" s="80" t="n">
        <f aca="false" t="array" ref="AY16:AY16">IF(COLUMN() - ($E16 + 5) &lt; 0, 0,
  IF(COLUMN() - ($E16 + 5) = 0, $F16,
    AX16 * (1 - IFERROR(INDEX('Inputs &amp; Assuptions'!$C$13:$C$72, COLUMN() - ($E16 + 5)), 0))
  )
)</f>
        <v>806.847556254287</v>
      </c>
      <c r="AZ16" s="80" t="n">
        <f aca="false" t="array" ref="AZ16:AZ16">IF(COLUMN() - ($E16 + 5) &lt; 0, 0,
  IF(COLUMN() - ($E16 + 5) = 0, $F16,
    AY16 * (1 - IFERROR(INDEX('Inputs &amp; Assuptions'!$C$13:$C$72, COLUMN() - ($E16 + 5)), 0))
  )
)</f>
        <v>802.813318473015</v>
      </c>
      <c r="BA16" s="80" t="n">
        <f aca="false" t="array" ref="BA16:BA16">IF(COLUMN() - ($E16 + 5) &lt; 0, 0,
  IF(COLUMN() - ($E16 + 5) = 0, $F16,
    AZ16 * (1 - IFERROR(INDEX('Inputs &amp; Assuptions'!$C$13:$C$72, COLUMN() - ($E16 + 5)), 0))
  )
)</f>
        <v>798.79925188065</v>
      </c>
      <c r="BB16" s="80" t="n">
        <f aca="false" t="array" ref="BB16:BB16">IF(COLUMN() - ($E16 + 5) &lt; 0, 0,
  IF(COLUMN() - ($E16 + 5) = 0, $F16,
    BA16 * (1 - IFERROR(INDEX('Inputs &amp; Assuptions'!$C$13:$C$72, COLUMN() - ($E16 + 5)), 0))
  )
)</f>
        <v>794.805255621247</v>
      </c>
      <c r="BC16" s="80" t="n">
        <f aca="false" t="array" ref="BC16:BC16">IF(COLUMN() - ($E16 + 5) &lt; 0, 0,
  IF(COLUMN() - ($E16 + 5) = 0, $F16,
    BB16 * (1 - IFERROR(INDEX('Inputs &amp; Assuptions'!$C$13:$C$72, COLUMN() - ($E16 + 5)), 0))
  )
)</f>
        <v>790.831229343141</v>
      </c>
      <c r="BD16" s="80" t="n">
        <f aca="false" t="array" ref="BD16:BD16">IF(COLUMN() - ($E16 + 5) &lt; 0, 0,
  IF(COLUMN() - ($E16 + 5) = 0, $F16,
    BC16 * (1 - IFERROR(INDEX('Inputs &amp; Assuptions'!$C$13:$C$72, COLUMN() - ($E16 + 5)), 0))
  )
)</f>
        <v>786.877073196425</v>
      </c>
      <c r="BE16" s="80" t="n">
        <f aca="false" t="array" ref="BE16:BE16">IF(COLUMN() - ($E16 + 5) &lt; 0, 0,
  IF(COLUMN() - ($E16 + 5) = 0, $F16,
    BD16 * (1 - IFERROR(INDEX('Inputs &amp; Assuptions'!$C$13:$C$72, COLUMN() - ($E16 + 5)), 0))
  )
)</f>
        <v>782.942687830443</v>
      </c>
      <c r="BF16" s="80" t="n">
        <f aca="false" t="array" ref="BF16:BF16">IF(COLUMN() - ($E16 + 5) &lt; 0, 0,
  IF(COLUMN() - ($E16 + 5) = 0, $F16,
    BE16 * (1 - IFERROR(INDEX('Inputs &amp; Assuptions'!$C$13:$C$72, COLUMN() - ($E16 + 5)), 0))
  )
)</f>
        <v>779.027974391291</v>
      </c>
      <c r="BG16" s="80" t="n">
        <f aca="false" t="array" ref="BG16:BG16">IF(COLUMN() - ($E16 + 5) &lt; 0, 0,
  IF(COLUMN() - ($E16 + 5) = 0, $F16,
    BF16 * (1 - IFERROR(INDEX('Inputs &amp; Assuptions'!$C$13:$C$72, COLUMN() - ($E16 + 5)), 0))
  )
)</f>
        <v>775.132834519334</v>
      </c>
      <c r="BH16" s="80" t="n">
        <f aca="false" t="array" ref="BH16:BH16">IF(COLUMN() - ($E16 + 5) &lt; 0, 0,
  IF(COLUMN() - ($E16 + 5) = 0, $F16,
    BG16 * (1 - IFERROR(INDEX('Inputs &amp; Assuptions'!$C$13:$C$72, COLUMN() - ($E16 + 5)), 0))
  )
)</f>
        <v>771.257170346737</v>
      </c>
      <c r="BI16" s="80" t="n">
        <f aca="false" t="array" ref="BI16:BI16">IF(COLUMN() - ($E16 + 5) &lt; 0, 0,
  IF(COLUMN() - ($E16 + 5) = 0, $F16,
    BH16 * (1 - IFERROR(INDEX('Inputs &amp; Assuptions'!$C$13:$C$72, COLUMN() - ($E16 + 5)), 0))
  )
)</f>
        <v>767.400884495004</v>
      </c>
      <c r="BJ16" s="80" t="n">
        <f aca="false" t="array" ref="BJ16:BJ16">IF(COLUMN() - ($E16 + 5) &lt; 0, 0,
  IF(COLUMN() - ($E16 + 5) = 0, $F16,
    BI16 * (1 - IFERROR(INDEX('Inputs &amp; Assuptions'!$C$13:$C$72, COLUMN() - ($E16 + 5)), 0))
  )
)</f>
        <v>763.563880072529</v>
      </c>
      <c r="BK16" s="80" t="n">
        <f aca="false" t="array" ref="BK16:BK16">IF(COLUMN() - ($E16 + 5) &lt; 0, 0,
  IF(COLUMN() - ($E16 + 5) = 0, $F16,
    BJ16 * (1 - IFERROR(INDEX('Inputs &amp; Assuptions'!$C$13:$C$72, COLUMN() - ($E16 + 5)), 0))
  )
)</f>
        <v>759.746060672166</v>
      </c>
      <c r="BL16" s="80" t="n">
        <f aca="false" t="array" ref="BL16:BL16">IF(COLUMN() - ($E16 + 5) &lt; 0, 0,
  IF(COLUMN() - ($E16 + 5) = 0, $F16,
    BK16 * (1 - IFERROR(INDEX('Inputs &amp; Assuptions'!$C$13:$C$72, COLUMN() - ($E16 + 5)), 0))
  )
)</f>
        <v>755.947330368805</v>
      </c>
      <c r="BM16" s="81" t="n">
        <f aca="false" t="array" ref="BM16:BM16">IF(COLUMN() - ($E16 + 5) &lt; 0, 0,
  IF(COLUMN() - ($E16 + 5) = 0, $F16,
    BL16 * (1 - IFERROR(INDEX('Inputs &amp; Assuptions'!$C$13:$C$72, COLUMN() - ($E16 + 5)), 0))
  )
)</f>
        <v>752.167593716961</v>
      </c>
      <c r="BN16" s="76"/>
    </row>
    <row r="17" customFormat="false" ht="14.25" hidden="false" customHeight="false" outlineLevel="0" collapsed="false">
      <c r="A17" s="29" t="n">
        <f aca="false">A16+1</f>
        <v>12</v>
      </c>
      <c r="B17" s="77" t="n">
        <f aca="false">IF(MOD($A17-1, 12) = 0, $B16 * 1.05, $B16)</f>
        <v>1500</v>
      </c>
      <c r="C17" s="78" t="n">
        <f aca="false">$B17*(1-'Inputs &amp; Assuptions'!$C$12)</f>
        <v>1170</v>
      </c>
      <c r="E17" s="29" t="n">
        <f aca="false">E16+1</f>
        <v>12</v>
      </c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 t="n">
        <f aca="false">$C17</f>
        <v>1170</v>
      </c>
      <c r="R17" s="80" t="n">
        <f aca="false" t="array" ref="R17:R17">IF(COLUMN() - ($E17 + 5) &lt; 0, 0,
  IF(COLUMN() - ($E17 + 5) = 0, $F17,
    Q17 * (1 - IFERROR(INDEX('Inputs &amp; Assuptions'!$C$13:$C$72, COLUMN() - ($E17 + 5)), 0))
  )
)</f>
        <v>1108.575</v>
      </c>
      <c r="S17" s="80" t="n">
        <f aca="false" t="array" ref="S17:S17">IF(COLUMN() - ($E17 + 5) &lt; 0, 0,
  IF(COLUMN() - ($E17 + 5) = 0, $F17,
    R17 * (1 - IFERROR(INDEX('Inputs &amp; Assuptions'!$C$13:$C$72, COLUMN() - ($E17 + 5)), 0))
  )
)</f>
        <v>1064.232</v>
      </c>
      <c r="T17" s="80" t="n">
        <f aca="false" t="array" ref="T17:T17">IF(COLUMN() - ($E17 + 5) &lt; 0, 0,
  IF(COLUMN() - ($E17 + 5) = 0, $F17,
    S17 * (1 - IFERROR(INDEX('Inputs &amp; Assuptions'!$C$13:$C$72, COLUMN() - ($E17 + 5)), 0))
  )
)</f>
        <v>1034.96562</v>
      </c>
      <c r="U17" s="80" t="n">
        <f aca="false" t="array" ref="U17:U17">IF(COLUMN() - ($E17 + 5) &lt; 0, 0,
  IF(COLUMN() - ($E17 + 5) = 0, $F17,
    T17 * (1 - IFERROR(INDEX('Inputs &amp; Assuptions'!$C$13:$C$72, COLUMN() - ($E17 + 5)), 0))
  )
)</f>
        <v>1009.0914795</v>
      </c>
      <c r="V17" s="80" t="n">
        <f aca="false" t="array" ref="V17:V17">IF(COLUMN() - ($E17 + 5) &lt; 0, 0,
  IF(COLUMN() - ($E17 + 5) = 0, $F17,
    U17 * (1 - IFERROR(INDEX('Inputs &amp; Assuptions'!$C$13:$C$72, COLUMN() - ($E17 + 5)), 0))
  )
)</f>
        <v>986.38692121125</v>
      </c>
      <c r="W17" s="80" t="n">
        <f aca="false" t="array" ref="W17:W17">IF(COLUMN() - ($E17 + 5) &lt; 0, 0,
  IF(COLUMN() - ($E17 + 5) = 0, $F17,
    V17 * (1 - IFERROR(INDEX('Inputs &amp; Assuptions'!$C$13:$C$72, COLUMN() - ($E17 + 5)), 0))
  )
)</f>
        <v>966.659182787025</v>
      </c>
      <c r="X17" s="80" t="n">
        <f aca="false" t="array" ref="X17:X17">IF(COLUMN() - ($E17 + 5) &lt; 0, 0,
  IF(COLUMN() - ($E17 + 5) = 0, $F17,
    W17 * (1 - IFERROR(INDEX('Inputs &amp; Assuptions'!$C$13:$C$72, COLUMN() - ($E17 + 5)), 0))
  )
)</f>
        <v>949.742647088252</v>
      </c>
      <c r="Y17" s="80" t="n">
        <f aca="false" t="array" ref="Y17:Y17">IF(COLUMN() - ($E17 + 5) &lt; 0, 0,
  IF(COLUMN() - ($E17 + 5) = 0, $F17,
    X17 * (1 - IFERROR(INDEX('Inputs &amp; Assuptions'!$C$13:$C$72, COLUMN() - ($E17 + 5)), 0))
  )
)</f>
        <v>935.496507381928</v>
      </c>
      <c r="Z17" s="80" t="n">
        <f aca="false" t="array" ref="Z17:Z17">IF(COLUMN() - ($E17 + 5) &lt; 0, 0,
  IF(COLUMN() - ($E17 + 5) = 0, $F17,
    Y17 * (1 - IFERROR(INDEX('Inputs &amp; Assuptions'!$C$13:$C$72, COLUMN() - ($E17 + 5)), 0))
  )
)</f>
        <v>923.802801039654</v>
      </c>
      <c r="AA17" s="80" t="n">
        <f aca="false" t="array" ref="AA17:AA17">IF(COLUMN() - ($E17 + 5) &lt; 0, 0,
  IF(COLUMN() - ($E17 + 5) = 0, $F17,
    Z17 * (1 - IFERROR(INDEX('Inputs &amp; Assuptions'!$C$13:$C$72, COLUMN() - ($E17 + 5)), 0))
  )
)</f>
        <v>914.564773029258</v>
      </c>
      <c r="AB17" s="80" t="n">
        <f aca="false" t="array" ref="AB17:AB17">IF(COLUMN() - ($E17 + 5) &lt; 0, 0,
  IF(COLUMN() - ($E17 + 5) = 0, $F17,
    AA17 * (1 - IFERROR(INDEX('Inputs &amp; Assuptions'!$C$13:$C$72, COLUMN() - ($E17 + 5)), 0))
  )
)</f>
        <v>909.991949164111</v>
      </c>
      <c r="AC17" s="80" t="n">
        <f aca="false" t="array" ref="AC17:AC17">IF(COLUMN() - ($E17 + 5) &lt; 0, 0,
  IF(COLUMN() - ($E17 + 5) = 0, $F17,
    AB17 * (1 - IFERROR(INDEX('Inputs &amp; Assuptions'!$C$13:$C$72, COLUMN() - ($E17 + 5)), 0))
  )
)</f>
        <v>905.441989418291</v>
      </c>
      <c r="AD17" s="80" t="n">
        <f aca="false" t="array" ref="AD17:AD17">IF(COLUMN() - ($E17 + 5) &lt; 0, 0,
  IF(COLUMN() - ($E17 + 5) = 0, $F17,
    AC17 * (1 - IFERROR(INDEX('Inputs &amp; Assuptions'!$C$13:$C$72, COLUMN() - ($E17 + 5)), 0))
  )
)</f>
        <v>900.914779471199</v>
      </c>
      <c r="AE17" s="80" t="n">
        <f aca="false" t="array" ref="AE17:AE17">IF(COLUMN() - ($E17 + 5) &lt; 0, 0,
  IF(COLUMN() - ($E17 + 5) = 0, $F17,
    AD17 * (1 - IFERROR(INDEX('Inputs &amp; Assuptions'!$C$13:$C$72, COLUMN() - ($E17 + 5)), 0))
  )
)</f>
        <v>896.410205573843</v>
      </c>
      <c r="AF17" s="80" t="n">
        <f aca="false" t="array" ref="AF17:AF17">IF(COLUMN() - ($E17 + 5) &lt; 0, 0,
  IF(COLUMN() - ($E17 + 5) = 0, $F17,
    AE17 * (1 - IFERROR(INDEX('Inputs &amp; Assuptions'!$C$13:$C$72, COLUMN() - ($E17 + 5)), 0))
  )
)</f>
        <v>891.928154545974</v>
      </c>
      <c r="AG17" s="80" t="n">
        <f aca="false" t="array" ref="AG17:AG17">IF(COLUMN() - ($E17 + 5) &lt; 0, 0,
  IF(COLUMN() - ($E17 + 5) = 0, $F17,
    AF17 * (1 - IFERROR(INDEX('Inputs &amp; Assuptions'!$C$13:$C$72, COLUMN() - ($E17 + 5)), 0))
  )
)</f>
        <v>887.468513773244</v>
      </c>
      <c r="AH17" s="80" t="n">
        <f aca="false" t="array" ref="AH17:AH17">IF(COLUMN() - ($E17 + 5) &lt; 0, 0,
  IF(COLUMN() - ($E17 + 5) = 0, $F17,
    AG17 * (1 - IFERROR(INDEX('Inputs &amp; Assuptions'!$C$13:$C$72, COLUMN() - ($E17 + 5)), 0))
  )
)</f>
        <v>883.031171204378</v>
      </c>
      <c r="AI17" s="80" t="n">
        <f aca="false" t="array" ref="AI17:AI17">IF(COLUMN() - ($E17 + 5) &lt; 0, 0,
  IF(COLUMN() - ($E17 + 5) = 0, $F17,
    AH17 * (1 - IFERROR(INDEX('Inputs &amp; Assuptions'!$C$13:$C$72, COLUMN() - ($E17 + 5)), 0))
  )
)</f>
        <v>878.616015348356</v>
      </c>
      <c r="AJ17" s="80" t="n">
        <f aca="false" t="array" ref="AJ17:AJ17">IF(COLUMN() - ($E17 + 5) &lt; 0, 0,
  IF(COLUMN() - ($E17 + 5) = 0, $F17,
    AI17 * (1 - IFERROR(INDEX('Inputs &amp; Assuptions'!$C$13:$C$72, COLUMN() - ($E17 + 5)), 0))
  )
)</f>
        <v>874.222935271614</v>
      </c>
      <c r="AK17" s="80" t="n">
        <f aca="false" t="array" ref="AK17:AK17">IF(COLUMN() - ($E17 + 5) &lt; 0, 0,
  IF(COLUMN() - ($E17 + 5) = 0, $F17,
    AJ17 * (1 - IFERROR(INDEX('Inputs &amp; Assuptions'!$C$13:$C$72, COLUMN() - ($E17 + 5)), 0))
  )
)</f>
        <v>869.851820595256</v>
      </c>
      <c r="AL17" s="80" t="n">
        <f aca="false" t="array" ref="AL17:AL17">IF(COLUMN() - ($E17 + 5) &lt; 0, 0,
  IF(COLUMN() - ($E17 + 5) = 0, $F17,
    AK17 * (1 - IFERROR(INDEX('Inputs &amp; Assuptions'!$C$13:$C$72, COLUMN() - ($E17 + 5)), 0))
  )
)</f>
        <v>865.50256149228</v>
      </c>
      <c r="AM17" s="80" t="n">
        <f aca="false" t="array" ref="AM17:AM17">IF(COLUMN() - ($E17 + 5) &lt; 0, 0,
  IF(COLUMN() - ($E17 + 5) = 0, $F17,
    AL17 * (1 - IFERROR(INDEX('Inputs &amp; Assuptions'!$C$13:$C$72, COLUMN() - ($E17 + 5)), 0))
  )
)</f>
        <v>861.175048684819</v>
      </c>
      <c r="AN17" s="80" t="n">
        <f aca="false" t="array" ref="AN17:AN17">IF(COLUMN() - ($E17 + 5) &lt; 0, 0,
  IF(COLUMN() - ($E17 + 5) = 0, $F17,
    AM17 * (1 - IFERROR(INDEX('Inputs &amp; Assuptions'!$C$13:$C$72, COLUMN() - ($E17 + 5)), 0))
  )
)</f>
        <v>856.869173441394</v>
      </c>
      <c r="AO17" s="80" t="n">
        <f aca="false" t="array" ref="AO17:AO17">IF(COLUMN() - ($E17 + 5) &lt; 0, 0,
  IF(COLUMN() - ($E17 + 5) = 0, $F17,
    AN17 * (1 - IFERROR(INDEX('Inputs &amp; Assuptions'!$C$13:$C$72, COLUMN() - ($E17 + 5)), 0))
  )
)</f>
        <v>852.584827574187</v>
      </c>
      <c r="AP17" s="80" t="n">
        <f aca="false" t="array" ref="AP17:AP17">IF(COLUMN() - ($E17 + 5) &lt; 0, 0,
  IF(COLUMN() - ($E17 + 5) = 0, $F17,
    AO17 * (1 - IFERROR(INDEX('Inputs &amp; Assuptions'!$C$13:$C$72, COLUMN() - ($E17 + 5)), 0))
  )
)</f>
        <v>848.321903436317</v>
      </c>
      <c r="AQ17" s="80" t="n">
        <f aca="false" t="array" ref="AQ17:AQ17">IF(COLUMN() - ($E17 + 5) &lt; 0, 0,
  IF(COLUMN() - ($E17 + 5) = 0, $F17,
    AP17 * (1 - IFERROR(INDEX('Inputs &amp; Assuptions'!$C$13:$C$72, COLUMN() - ($E17 + 5)), 0))
  )
)</f>
        <v>844.080293919135</v>
      </c>
      <c r="AR17" s="80" t="n">
        <f aca="false" t="array" ref="AR17:AR17">IF(COLUMN() - ($E17 + 5) &lt; 0, 0,
  IF(COLUMN() - ($E17 + 5) = 0, $F17,
    AQ17 * (1 - IFERROR(INDEX('Inputs &amp; Assuptions'!$C$13:$C$72, COLUMN() - ($E17 + 5)), 0))
  )
)</f>
        <v>839.859892449539</v>
      </c>
      <c r="AS17" s="80" t="n">
        <f aca="false" t="array" ref="AS17:AS17">IF(COLUMN() - ($E17 + 5) &lt; 0, 0,
  IF(COLUMN() - ($E17 + 5) = 0, $F17,
    AR17 * (1 - IFERROR(INDEX('Inputs &amp; Assuptions'!$C$13:$C$72, COLUMN() - ($E17 + 5)), 0))
  )
)</f>
        <v>835.660592987292</v>
      </c>
      <c r="AT17" s="80" t="n">
        <f aca="false" t="array" ref="AT17:AT17">IF(COLUMN() - ($E17 + 5) &lt; 0, 0,
  IF(COLUMN() - ($E17 + 5) = 0, $F17,
    AS17 * (1 - IFERROR(INDEX('Inputs &amp; Assuptions'!$C$13:$C$72, COLUMN() - ($E17 + 5)), 0))
  )
)</f>
        <v>831.482290022355</v>
      </c>
      <c r="AU17" s="80" t="n">
        <f aca="false" t="array" ref="AU17:AU17">IF(COLUMN() - ($E17 + 5) &lt; 0, 0,
  IF(COLUMN() - ($E17 + 5) = 0, $F17,
    AT17 * (1 - IFERROR(INDEX('Inputs &amp; Assuptions'!$C$13:$C$72, COLUMN() - ($E17 + 5)), 0))
  )
)</f>
        <v>827.324878572243</v>
      </c>
      <c r="AV17" s="80" t="n">
        <f aca="false" t="array" ref="AV17:AV17">IF(COLUMN() - ($E17 + 5) &lt; 0, 0,
  IF(COLUMN() - ($E17 + 5) = 0, $F17,
    AU17 * (1 - IFERROR(INDEX('Inputs &amp; Assuptions'!$C$13:$C$72, COLUMN() - ($E17 + 5)), 0))
  )
)</f>
        <v>823.188254179382</v>
      </c>
      <c r="AW17" s="80" t="n">
        <f aca="false" t="array" ref="AW17:AW17">IF(COLUMN() - ($E17 + 5) &lt; 0, 0,
  IF(COLUMN() - ($E17 + 5) = 0, $F17,
    AV17 * (1 - IFERROR(INDEX('Inputs &amp; Assuptions'!$C$13:$C$72, COLUMN() - ($E17 + 5)), 0))
  )
)</f>
        <v>819.072312908485</v>
      </c>
      <c r="AX17" s="80" t="n">
        <f aca="false" t="array" ref="AX17:AX17">IF(COLUMN() - ($E17 + 5) &lt; 0, 0,
  IF(COLUMN() - ($E17 + 5) = 0, $F17,
    AW17 * (1 - IFERROR(INDEX('Inputs &amp; Assuptions'!$C$13:$C$72, COLUMN() - ($E17 + 5)), 0))
  )
)</f>
        <v>814.976951343943</v>
      </c>
      <c r="AY17" s="80" t="n">
        <f aca="false" t="array" ref="AY17:AY17">IF(COLUMN() - ($E17 + 5) &lt; 0, 0,
  IF(COLUMN() - ($E17 + 5) = 0, $F17,
    AX17 * (1 - IFERROR(INDEX('Inputs &amp; Assuptions'!$C$13:$C$72, COLUMN() - ($E17 + 5)), 0))
  )
)</f>
        <v>810.902066587223</v>
      </c>
      <c r="AZ17" s="80" t="n">
        <f aca="false" t="array" ref="AZ17:AZ17">IF(COLUMN() - ($E17 + 5) &lt; 0, 0,
  IF(COLUMN() - ($E17 + 5) = 0, $F17,
    AY17 * (1 - IFERROR(INDEX('Inputs &amp; Assuptions'!$C$13:$C$72, COLUMN() - ($E17 + 5)), 0))
  )
)</f>
        <v>806.847556254287</v>
      </c>
      <c r="BA17" s="80" t="n">
        <f aca="false" t="array" ref="BA17:BA17">IF(COLUMN() - ($E17 + 5) &lt; 0, 0,
  IF(COLUMN() - ($E17 + 5) = 0, $F17,
    AZ17 * (1 - IFERROR(INDEX('Inputs &amp; Assuptions'!$C$13:$C$72, COLUMN() - ($E17 + 5)), 0))
  )
)</f>
        <v>802.813318473015</v>
      </c>
      <c r="BB17" s="80" t="n">
        <f aca="false" t="array" ref="BB17:BB17">IF(COLUMN() - ($E17 + 5) &lt; 0, 0,
  IF(COLUMN() - ($E17 + 5) = 0, $F17,
    BA17 * (1 - IFERROR(INDEX('Inputs &amp; Assuptions'!$C$13:$C$72, COLUMN() - ($E17 + 5)), 0))
  )
)</f>
        <v>798.79925188065</v>
      </c>
      <c r="BC17" s="80" t="n">
        <f aca="false" t="array" ref="BC17:BC17">IF(COLUMN() - ($E17 + 5) &lt; 0, 0,
  IF(COLUMN() - ($E17 + 5) = 0, $F17,
    BB17 * (1 - IFERROR(INDEX('Inputs &amp; Assuptions'!$C$13:$C$72, COLUMN() - ($E17 + 5)), 0))
  )
)</f>
        <v>794.805255621247</v>
      </c>
      <c r="BD17" s="80" t="n">
        <f aca="false" t="array" ref="BD17:BD17">IF(COLUMN() - ($E17 + 5) &lt; 0, 0,
  IF(COLUMN() - ($E17 + 5) = 0, $F17,
    BC17 * (1 - IFERROR(INDEX('Inputs &amp; Assuptions'!$C$13:$C$72, COLUMN() - ($E17 + 5)), 0))
  )
)</f>
        <v>790.831229343141</v>
      </c>
      <c r="BE17" s="80" t="n">
        <f aca="false" t="array" ref="BE17:BE17">IF(COLUMN() - ($E17 + 5) &lt; 0, 0,
  IF(COLUMN() - ($E17 + 5) = 0, $F17,
    BD17 * (1 - IFERROR(INDEX('Inputs &amp; Assuptions'!$C$13:$C$72, COLUMN() - ($E17 + 5)), 0))
  )
)</f>
        <v>786.877073196425</v>
      </c>
      <c r="BF17" s="80" t="n">
        <f aca="false" t="array" ref="BF17:BF17">IF(COLUMN() - ($E17 + 5) &lt; 0, 0,
  IF(COLUMN() - ($E17 + 5) = 0, $F17,
    BE17 * (1 - IFERROR(INDEX('Inputs &amp; Assuptions'!$C$13:$C$72, COLUMN() - ($E17 + 5)), 0))
  )
)</f>
        <v>782.942687830443</v>
      </c>
      <c r="BG17" s="80" t="n">
        <f aca="false" t="array" ref="BG17:BG17">IF(COLUMN() - ($E17 + 5) &lt; 0, 0,
  IF(COLUMN() - ($E17 + 5) = 0, $F17,
    BF17 * (1 - IFERROR(INDEX('Inputs &amp; Assuptions'!$C$13:$C$72, COLUMN() - ($E17 + 5)), 0))
  )
)</f>
        <v>779.027974391291</v>
      </c>
      <c r="BH17" s="80" t="n">
        <f aca="false" t="array" ref="BH17:BH17">IF(COLUMN() - ($E17 + 5) &lt; 0, 0,
  IF(COLUMN() - ($E17 + 5) = 0, $F17,
    BG17 * (1 - IFERROR(INDEX('Inputs &amp; Assuptions'!$C$13:$C$72, COLUMN() - ($E17 + 5)), 0))
  )
)</f>
        <v>775.132834519334</v>
      </c>
      <c r="BI17" s="80" t="n">
        <f aca="false" t="array" ref="BI17:BI17">IF(COLUMN() - ($E17 + 5) &lt; 0, 0,
  IF(COLUMN() - ($E17 + 5) = 0, $F17,
    BH17 * (1 - IFERROR(INDEX('Inputs &amp; Assuptions'!$C$13:$C$72, COLUMN() - ($E17 + 5)), 0))
  )
)</f>
        <v>771.257170346737</v>
      </c>
      <c r="BJ17" s="80" t="n">
        <f aca="false" t="array" ref="BJ17:BJ17">IF(COLUMN() - ($E17 + 5) &lt; 0, 0,
  IF(COLUMN() - ($E17 + 5) = 0, $F17,
    BI17 * (1 - IFERROR(INDEX('Inputs &amp; Assuptions'!$C$13:$C$72, COLUMN() - ($E17 + 5)), 0))
  )
)</f>
        <v>767.400884495004</v>
      </c>
      <c r="BK17" s="80" t="n">
        <f aca="false" t="array" ref="BK17:BK17">IF(COLUMN() - ($E17 + 5) &lt; 0, 0,
  IF(COLUMN() - ($E17 + 5) = 0, $F17,
    BJ17 * (1 - IFERROR(INDEX('Inputs &amp; Assuptions'!$C$13:$C$72, COLUMN() - ($E17 + 5)), 0))
  )
)</f>
        <v>763.563880072529</v>
      </c>
      <c r="BL17" s="80" t="n">
        <f aca="false" t="array" ref="BL17:BL17">IF(COLUMN() - ($E17 + 5) &lt; 0, 0,
  IF(COLUMN() - ($E17 + 5) = 0, $F17,
    BK17 * (1 - IFERROR(INDEX('Inputs &amp; Assuptions'!$C$13:$C$72, COLUMN() - ($E17 + 5)), 0))
  )
)</f>
        <v>759.746060672166</v>
      </c>
      <c r="BM17" s="81" t="n">
        <f aca="false" t="array" ref="BM17:BM17">IF(COLUMN() - ($E17 + 5) &lt; 0, 0,
  IF(COLUMN() - ($E17 + 5) = 0, $F17,
    BL17 * (1 - IFERROR(INDEX('Inputs &amp; Assuptions'!$C$13:$C$72, COLUMN() - ($E17 + 5)), 0))
  )
)</f>
        <v>755.947330368805</v>
      </c>
      <c r="BN17" s="76"/>
    </row>
    <row r="18" customFormat="false" ht="14.25" hidden="false" customHeight="false" outlineLevel="0" collapsed="false">
      <c r="A18" s="29" t="n">
        <f aca="false">A17+1</f>
        <v>13</v>
      </c>
      <c r="B18" s="77" t="n">
        <f aca="false">IF(MOD($A18-1, 12) = 0, $B17 * 1.05, $B17)</f>
        <v>1575</v>
      </c>
      <c r="C18" s="78" t="n">
        <f aca="false">$B18*(1-'Inputs &amp; Assuptions'!$C$12)</f>
        <v>1228.5</v>
      </c>
      <c r="E18" s="29" t="n">
        <f aca="false">E17+1</f>
        <v>13</v>
      </c>
      <c r="F18" s="79"/>
      <c r="G18" s="80"/>
      <c r="H18" s="80"/>
      <c r="I18" s="90"/>
      <c r="J18" s="80"/>
      <c r="K18" s="80"/>
      <c r="L18" s="80"/>
      <c r="M18" s="80"/>
      <c r="N18" s="80"/>
      <c r="O18" s="80"/>
      <c r="P18" s="80"/>
      <c r="Q18" s="80"/>
      <c r="R18" s="80" t="n">
        <f aca="false">$C18</f>
        <v>1228.5</v>
      </c>
      <c r="S18" s="80" t="n">
        <f aca="false" t="array" ref="S18:S18">IF(COLUMN() - ($E18 + 5) &lt; 0, 0,
  IF(COLUMN() - ($E18 + 5) = 0, $F18,
    R18 * (1 - IFERROR(INDEX('Inputs &amp; Assuptions'!$C$13:$C$72, COLUMN() - ($E18 + 5)), 0))
  )
)</f>
        <v>1164.00375</v>
      </c>
      <c r="T18" s="80" t="n">
        <f aca="false" t="array" ref="T18:T18">IF(COLUMN() - ($E18 + 5) &lt; 0, 0,
  IF(COLUMN() - ($E18 + 5) = 0, $F18,
    S18 * (1 - IFERROR(INDEX('Inputs &amp; Assuptions'!$C$13:$C$72, COLUMN() - ($E18 + 5)), 0))
  )
)</f>
        <v>1117.4436</v>
      </c>
      <c r="U18" s="80" t="n">
        <f aca="false" t="array" ref="U18:U18">IF(COLUMN() - ($E18 + 5) &lt; 0, 0,
  IF(COLUMN() - ($E18 + 5) = 0, $F18,
    T18 * (1 - IFERROR(INDEX('Inputs &amp; Assuptions'!$C$13:$C$72, COLUMN() - ($E18 + 5)), 0))
  )
)</f>
        <v>1086.713901</v>
      </c>
      <c r="V18" s="80" t="n">
        <f aca="false" t="array" ref="V18:V18">IF(COLUMN() - ($E18 + 5) &lt; 0, 0,
  IF(COLUMN() - ($E18 + 5) = 0, $F18,
    U18 * (1 - IFERROR(INDEX('Inputs &amp; Assuptions'!$C$13:$C$72, COLUMN() - ($E18 + 5)), 0))
  )
)</f>
        <v>1059.546053475</v>
      </c>
      <c r="W18" s="80" t="n">
        <f aca="false" t="array" ref="W18:W18">IF(COLUMN() - ($E18 + 5) &lt; 0, 0,
  IF(COLUMN() - ($E18 + 5) = 0, $F18,
    V18 * (1 - IFERROR(INDEX('Inputs &amp; Assuptions'!$C$13:$C$72, COLUMN() - ($E18 + 5)), 0))
  )
)</f>
        <v>1035.70626727181</v>
      </c>
      <c r="X18" s="80" t="n">
        <f aca="false" t="array" ref="X18:X18">IF(COLUMN() - ($E18 + 5) &lt; 0, 0,
  IF(COLUMN() - ($E18 + 5) = 0, $F18,
    W18 * (1 - IFERROR(INDEX('Inputs &amp; Assuptions'!$C$13:$C$72, COLUMN() - ($E18 + 5)), 0))
  )
)</f>
        <v>1014.99214192638</v>
      </c>
      <c r="Y18" s="80" t="n">
        <f aca="false" t="array" ref="Y18:Y18">IF(COLUMN() - ($E18 + 5) &lt; 0, 0,
  IF(COLUMN() - ($E18 + 5) = 0, $F18,
    X18 * (1 - IFERROR(INDEX('Inputs &amp; Assuptions'!$C$13:$C$72, COLUMN() - ($E18 + 5)), 0))
  )
)</f>
        <v>997.229779442665</v>
      </c>
      <c r="Z18" s="80" t="n">
        <f aca="false" t="array" ref="Z18:Z18">IF(COLUMN() - ($E18 + 5) &lt; 0, 0,
  IF(COLUMN() - ($E18 + 5) = 0, $F18,
    Y18 * (1 - IFERROR(INDEX('Inputs &amp; Assuptions'!$C$13:$C$72, COLUMN() - ($E18 + 5)), 0))
  )
)</f>
        <v>982.271332751025</v>
      </c>
      <c r="AA18" s="80" t="n">
        <f aca="false" t="array" ref="AA18:AA18">IF(COLUMN() - ($E18 + 5) &lt; 0, 0,
  IF(COLUMN() - ($E18 + 5) = 0, $F18,
    Z18 * (1 - IFERROR(INDEX('Inputs &amp; Assuptions'!$C$13:$C$72, COLUMN() - ($E18 + 5)), 0))
  )
)</f>
        <v>969.992941091637</v>
      </c>
      <c r="AB18" s="80" t="n">
        <f aca="false" t="array" ref="AB18:AB18">IF(COLUMN() - ($E18 + 5) &lt; 0, 0,
  IF(COLUMN() - ($E18 + 5) = 0, $F18,
    AA18 * (1 - IFERROR(INDEX('Inputs &amp; Assuptions'!$C$13:$C$72, COLUMN() - ($E18 + 5)), 0))
  )
)</f>
        <v>960.293011680721</v>
      </c>
      <c r="AC18" s="80" t="n">
        <f aca="false" t="array" ref="AC18:AC18">IF(COLUMN() - ($E18 + 5) &lt; 0, 0,
  IF(COLUMN() - ($E18 + 5) = 0, $F18,
    AB18 * (1 - IFERROR(INDEX('Inputs &amp; Assuptions'!$C$13:$C$72, COLUMN() - ($E18 + 5)), 0))
  )
)</f>
        <v>955.491546622317</v>
      </c>
      <c r="AD18" s="80" t="n">
        <f aca="false" t="array" ref="AD18:AD18">IF(COLUMN() - ($E18 + 5) &lt; 0, 0,
  IF(COLUMN() - ($E18 + 5) = 0, $F18,
    AC18 * (1 - IFERROR(INDEX('Inputs &amp; Assuptions'!$C$13:$C$72, COLUMN() - ($E18 + 5)), 0))
  )
)</f>
        <v>950.714088889205</v>
      </c>
      <c r="AE18" s="80" t="n">
        <f aca="false" t="array" ref="AE18:AE18">IF(COLUMN() - ($E18 + 5) &lt; 0, 0,
  IF(COLUMN() - ($E18 + 5) = 0, $F18,
    AD18 * (1 - IFERROR(INDEX('Inputs &amp; Assuptions'!$C$13:$C$72, COLUMN() - ($E18 + 5)), 0))
  )
)</f>
        <v>945.960518444759</v>
      </c>
      <c r="AF18" s="80" t="n">
        <f aca="false" t="array" ref="AF18:AF18">IF(COLUMN() - ($E18 + 5) &lt; 0, 0,
  IF(COLUMN() - ($E18 + 5) = 0, $F18,
    AE18 * (1 - IFERROR(INDEX('Inputs &amp; Assuptions'!$C$13:$C$72, COLUMN() - ($E18 + 5)), 0))
  )
)</f>
        <v>941.230715852536</v>
      </c>
      <c r="AG18" s="80" t="n">
        <f aca="false" t="array" ref="AG18:AG18">IF(COLUMN() - ($E18 + 5) &lt; 0, 0,
  IF(COLUMN() - ($E18 + 5) = 0, $F18,
    AF18 * (1 - IFERROR(INDEX('Inputs &amp; Assuptions'!$C$13:$C$72, COLUMN() - ($E18 + 5)), 0))
  )
)</f>
        <v>936.524562273273</v>
      </c>
      <c r="AH18" s="80" t="n">
        <f aca="false" t="array" ref="AH18:AH18">IF(COLUMN() - ($E18 + 5) &lt; 0, 0,
  IF(COLUMN() - ($E18 + 5) = 0, $F18,
    AG18 * (1 - IFERROR(INDEX('Inputs &amp; Assuptions'!$C$13:$C$72, COLUMN() - ($E18 + 5)), 0))
  )
)</f>
        <v>931.841939461907</v>
      </c>
      <c r="AI18" s="80" t="n">
        <f aca="false" t="array" ref="AI18:AI18">IF(COLUMN() - ($E18 + 5) &lt; 0, 0,
  IF(COLUMN() - ($E18 + 5) = 0, $F18,
    AH18 * (1 - IFERROR(INDEX('Inputs &amp; Assuptions'!$C$13:$C$72, COLUMN() - ($E18 + 5)), 0))
  )
)</f>
        <v>927.182729764597</v>
      </c>
      <c r="AJ18" s="80" t="n">
        <f aca="false" t="array" ref="AJ18:AJ18">IF(COLUMN() - ($E18 + 5) &lt; 0, 0,
  IF(COLUMN() - ($E18 + 5) = 0, $F18,
    AI18 * (1 - IFERROR(INDEX('Inputs &amp; Assuptions'!$C$13:$C$72, COLUMN() - ($E18 + 5)), 0))
  )
)</f>
        <v>922.546816115774</v>
      </c>
      <c r="AK18" s="80" t="n">
        <f aca="false" t="array" ref="AK18:AK18">IF(COLUMN() - ($E18 + 5) &lt; 0, 0,
  IF(COLUMN() - ($E18 + 5) = 0, $F18,
    AJ18 * (1 - IFERROR(INDEX('Inputs &amp; Assuptions'!$C$13:$C$72, COLUMN() - ($E18 + 5)), 0))
  )
)</f>
        <v>917.934082035195</v>
      </c>
      <c r="AL18" s="80" t="n">
        <f aca="false" t="array" ref="AL18:AL18">IF(COLUMN() - ($E18 + 5) &lt; 0, 0,
  IF(COLUMN() - ($E18 + 5) = 0, $F18,
    AK18 * (1 - IFERROR(INDEX('Inputs &amp; Assuptions'!$C$13:$C$72, COLUMN() - ($E18 + 5)), 0))
  )
)</f>
        <v>913.344411625019</v>
      </c>
      <c r="AM18" s="80" t="n">
        <f aca="false" t="array" ref="AM18:AM18">IF(COLUMN() - ($E18 + 5) &lt; 0, 0,
  IF(COLUMN() - ($E18 + 5) = 0, $F18,
    AL18 * (1 - IFERROR(INDEX('Inputs &amp; Assuptions'!$C$13:$C$72, COLUMN() - ($E18 + 5)), 0))
  )
)</f>
        <v>908.777689566894</v>
      </c>
      <c r="AN18" s="80" t="n">
        <f aca="false" t="array" ref="AN18:AN18">IF(COLUMN() - ($E18 + 5) &lt; 0, 0,
  IF(COLUMN() - ($E18 + 5) = 0, $F18,
    AM18 * (1 - IFERROR(INDEX('Inputs &amp; Assuptions'!$C$13:$C$72, COLUMN() - ($E18 + 5)), 0))
  )
)</f>
        <v>904.23380111906</v>
      </c>
      <c r="AO18" s="80" t="n">
        <f aca="false" t="array" ref="AO18:AO18">IF(COLUMN() - ($E18 + 5) &lt; 0, 0,
  IF(COLUMN() - ($E18 + 5) = 0, $F18,
    AN18 * (1 - IFERROR(INDEX('Inputs &amp; Assuptions'!$C$13:$C$72, COLUMN() - ($E18 + 5)), 0))
  )
)</f>
        <v>899.712632113464</v>
      </c>
      <c r="AP18" s="80" t="n">
        <f aca="false" t="array" ref="AP18:AP18">IF(COLUMN() - ($E18 + 5) &lt; 0, 0,
  IF(COLUMN() - ($E18 + 5) = 0, $F18,
    AO18 * (1 - IFERROR(INDEX('Inputs &amp; Assuptions'!$C$13:$C$72, COLUMN() - ($E18 + 5)), 0))
  )
)</f>
        <v>895.214068952897</v>
      </c>
      <c r="AQ18" s="80" t="n">
        <f aca="false" t="array" ref="AQ18:AQ18">IF(COLUMN() - ($E18 + 5) &lt; 0, 0,
  IF(COLUMN() - ($E18 + 5) = 0, $F18,
    AP18 * (1 - IFERROR(INDEX('Inputs &amp; Assuptions'!$C$13:$C$72, COLUMN() - ($E18 + 5)), 0))
  )
)</f>
        <v>890.737998608132</v>
      </c>
      <c r="AR18" s="80" t="n">
        <f aca="false" t="array" ref="AR18:AR18">IF(COLUMN() - ($E18 + 5) &lt; 0, 0,
  IF(COLUMN() - ($E18 + 5) = 0, $F18,
    AQ18 * (1 - IFERROR(INDEX('Inputs &amp; Assuptions'!$C$13:$C$72, COLUMN() - ($E18 + 5)), 0))
  )
)</f>
        <v>886.284308615092</v>
      </c>
      <c r="AS18" s="80" t="n">
        <f aca="false" t="array" ref="AS18:AS18">IF(COLUMN() - ($E18 + 5) &lt; 0, 0,
  IF(COLUMN() - ($E18 + 5) = 0, $F18,
    AR18 * (1 - IFERROR(INDEX('Inputs &amp; Assuptions'!$C$13:$C$72, COLUMN() - ($E18 + 5)), 0))
  )
)</f>
        <v>881.852887072016</v>
      </c>
      <c r="AT18" s="80" t="n">
        <f aca="false" t="array" ref="AT18:AT18">IF(COLUMN() - ($E18 + 5) &lt; 0, 0,
  IF(COLUMN() - ($E18 + 5) = 0, $F18,
    AS18 * (1 - IFERROR(INDEX('Inputs &amp; Assuptions'!$C$13:$C$72, COLUMN() - ($E18 + 5)), 0))
  )
)</f>
        <v>877.443622636656</v>
      </c>
      <c r="AU18" s="80" t="n">
        <f aca="false" t="array" ref="AU18:AU18">IF(COLUMN() - ($E18 + 5) &lt; 0, 0,
  IF(COLUMN() - ($E18 + 5) = 0, $F18,
    AT18 * (1 - IFERROR(INDEX('Inputs &amp; Assuptions'!$C$13:$C$72, COLUMN() - ($E18 + 5)), 0))
  )
)</f>
        <v>873.056404523473</v>
      </c>
      <c r="AV18" s="80" t="n">
        <f aca="false" t="array" ref="AV18:AV18">IF(COLUMN() - ($E18 + 5) &lt; 0, 0,
  IF(COLUMN() - ($E18 + 5) = 0, $F18,
    AU18 * (1 - IFERROR(INDEX('Inputs &amp; Assuptions'!$C$13:$C$72, COLUMN() - ($E18 + 5)), 0))
  )
)</f>
        <v>868.691122500856</v>
      </c>
      <c r="AW18" s="80" t="n">
        <f aca="false" t="array" ref="AW18:AW18">IF(COLUMN() - ($E18 + 5) &lt; 0, 0,
  IF(COLUMN() - ($E18 + 5) = 0, $F18,
    AV18 * (1 - IFERROR(INDEX('Inputs &amp; Assuptions'!$C$13:$C$72, COLUMN() - ($E18 + 5)), 0))
  )
)</f>
        <v>864.347666888351</v>
      </c>
      <c r="AX18" s="80" t="n">
        <f aca="false" t="array" ref="AX18:AX18">IF(COLUMN() - ($E18 + 5) &lt; 0, 0,
  IF(COLUMN() - ($E18 + 5) = 0, $F18,
    AW18 * (1 - IFERROR(INDEX('Inputs &amp; Assuptions'!$C$13:$C$72, COLUMN() - ($E18 + 5)), 0))
  )
)</f>
        <v>860.02592855391</v>
      </c>
      <c r="AY18" s="80" t="n">
        <f aca="false" t="array" ref="AY18:AY18">IF(COLUMN() - ($E18 + 5) &lt; 0, 0,
  IF(COLUMN() - ($E18 + 5) = 0, $F18,
    AX18 * (1 - IFERROR(INDEX('Inputs &amp; Assuptions'!$C$13:$C$72, COLUMN() - ($E18 + 5)), 0))
  )
)</f>
        <v>855.72579891114</v>
      </c>
      <c r="AZ18" s="80" t="n">
        <f aca="false" t="array" ref="AZ18:AZ18">IF(COLUMN() - ($E18 + 5) &lt; 0, 0,
  IF(COLUMN() - ($E18 + 5) = 0, $F18,
    AY18 * (1 - IFERROR(INDEX('Inputs &amp; Assuptions'!$C$13:$C$72, COLUMN() - ($E18 + 5)), 0))
  )
)</f>
        <v>851.447169916584</v>
      </c>
      <c r="BA18" s="80" t="n">
        <f aca="false" t="array" ref="BA18:BA18">IF(COLUMN() - ($E18 + 5) &lt; 0, 0,
  IF(COLUMN() - ($E18 + 5) = 0, $F18,
    AZ18 * (1 - IFERROR(INDEX('Inputs &amp; Assuptions'!$C$13:$C$72, COLUMN() - ($E18 + 5)), 0))
  )
)</f>
        <v>847.189934067001</v>
      </c>
      <c r="BB18" s="80" t="n">
        <f aca="false" t="array" ref="BB18:BB18">IF(COLUMN() - ($E18 + 5) &lt; 0, 0,
  IF(COLUMN() - ($E18 + 5) = 0, $F18,
    BA18 * (1 - IFERROR(INDEX('Inputs &amp; Assuptions'!$C$13:$C$72, COLUMN() - ($E18 + 5)), 0))
  )
)</f>
        <v>842.953984396666</v>
      </c>
      <c r="BC18" s="80" t="n">
        <f aca="false" t="array" ref="BC18:BC18">IF(COLUMN() - ($E18 + 5) &lt; 0, 0,
  IF(COLUMN() - ($E18 + 5) = 0, $F18,
    BB18 * (1 - IFERROR(INDEX('Inputs &amp; Assuptions'!$C$13:$C$72, COLUMN() - ($E18 + 5)), 0))
  )
)</f>
        <v>838.739214474683</v>
      </c>
      <c r="BD18" s="80" t="n">
        <f aca="false" t="array" ref="BD18:BD18">IF(COLUMN() - ($E18 + 5) &lt; 0, 0,
  IF(COLUMN() - ($E18 + 5) = 0, $F18,
    BC18 * (1 - IFERROR(INDEX('Inputs &amp; Assuptions'!$C$13:$C$72, COLUMN() - ($E18 + 5)), 0))
  )
)</f>
        <v>834.54551840231</v>
      </c>
      <c r="BE18" s="80" t="n">
        <f aca="false" t="array" ref="BE18:BE18">IF(COLUMN() - ($E18 + 5) &lt; 0, 0,
  IF(COLUMN() - ($E18 + 5) = 0, $F18,
    BD18 * (1 - IFERROR(INDEX('Inputs &amp; Assuptions'!$C$13:$C$72, COLUMN() - ($E18 + 5)), 0))
  )
)</f>
        <v>830.372790810298</v>
      </c>
      <c r="BF18" s="80" t="n">
        <f aca="false" t="array" ref="BF18:BF18">IF(COLUMN() - ($E18 + 5) &lt; 0, 0,
  IF(COLUMN() - ($E18 + 5) = 0, $F18,
    BE18 * (1 - IFERROR(INDEX('Inputs &amp; Assuptions'!$C$13:$C$72, COLUMN() - ($E18 + 5)), 0))
  )
)</f>
        <v>826.220926856247</v>
      </c>
      <c r="BG18" s="80" t="n">
        <f aca="false" t="array" ref="BG18:BG18">IF(COLUMN() - ($E18 + 5) &lt; 0, 0,
  IF(COLUMN() - ($E18 + 5) = 0, $F18,
    BF18 * (1 - IFERROR(INDEX('Inputs &amp; Assuptions'!$C$13:$C$72, COLUMN() - ($E18 + 5)), 0))
  )
)</f>
        <v>822.089822221965</v>
      </c>
      <c r="BH18" s="80" t="n">
        <f aca="false" t="array" ref="BH18:BH18">IF(COLUMN() - ($E18 + 5) &lt; 0, 0,
  IF(COLUMN() - ($E18 + 5) = 0, $F18,
    BG18 * (1 - IFERROR(INDEX('Inputs &amp; Assuptions'!$C$13:$C$72, COLUMN() - ($E18 + 5)), 0))
  )
)</f>
        <v>817.979373110856</v>
      </c>
      <c r="BI18" s="80" t="n">
        <f aca="false" t="array" ref="BI18:BI18">IF(COLUMN() - ($E18 + 5) &lt; 0, 0,
  IF(COLUMN() - ($E18 + 5) = 0, $F18,
    BH18 * (1 - IFERROR(INDEX('Inputs &amp; Assuptions'!$C$13:$C$72, COLUMN() - ($E18 + 5)), 0))
  )
)</f>
        <v>813.889476245301</v>
      </c>
      <c r="BJ18" s="80" t="n">
        <f aca="false" t="array" ref="BJ18:BJ18">IF(COLUMN() - ($E18 + 5) &lt; 0, 0,
  IF(COLUMN() - ($E18 + 5) = 0, $F18,
    BI18 * (1 - IFERROR(INDEX('Inputs &amp; Assuptions'!$C$13:$C$72, COLUMN() - ($E18 + 5)), 0))
  )
)</f>
        <v>809.820028864075</v>
      </c>
      <c r="BK18" s="80" t="n">
        <f aca="false" t="array" ref="BK18:BK18">IF(COLUMN() - ($E18 + 5) &lt; 0, 0,
  IF(COLUMN() - ($E18 + 5) = 0, $F18,
    BJ18 * (1 - IFERROR(INDEX('Inputs &amp; Assuptions'!$C$13:$C$72, COLUMN() - ($E18 + 5)), 0))
  )
)</f>
        <v>805.770928719754</v>
      </c>
      <c r="BL18" s="80" t="n">
        <f aca="false" t="array" ref="BL18:BL18">IF(COLUMN() - ($E18 + 5) &lt; 0, 0,
  IF(COLUMN() - ($E18 + 5) = 0, $F18,
    BK18 * (1 - IFERROR(INDEX('Inputs &amp; Assuptions'!$C$13:$C$72, COLUMN() - ($E18 + 5)), 0))
  )
)</f>
        <v>801.742074076156</v>
      </c>
      <c r="BM18" s="81" t="n">
        <f aca="false" t="array" ref="BM18:BM18">IF(COLUMN() - ($E18 + 5) &lt; 0, 0,
  IF(COLUMN() - ($E18 + 5) = 0, $F18,
    BL18 * (1 - IFERROR(INDEX('Inputs &amp; Assuptions'!$C$13:$C$72, COLUMN() - ($E18 + 5)), 0))
  )
)</f>
        <v>797.733363705775</v>
      </c>
      <c r="BN18" s="76"/>
    </row>
    <row r="19" customFormat="false" ht="14.25" hidden="false" customHeight="false" outlineLevel="0" collapsed="false">
      <c r="A19" s="29" t="n">
        <f aca="false">A18+1</f>
        <v>14</v>
      </c>
      <c r="B19" s="77" t="n">
        <f aca="false">IF(MOD($A19-1, 12) = 0, $B18 * 1.05, $B18)</f>
        <v>1575</v>
      </c>
      <c r="C19" s="78" t="n">
        <f aca="false">$B19*(1-'Inputs &amp; Assuptions'!$C$12)</f>
        <v>1228.5</v>
      </c>
      <c r="E19" s="29" t="n">
        <f aca="false">E18+1</f>
        <v>14</v>
      </c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 t="n">
        <f aca="false">$C19</f>
        <v>1228.5</v>
      </c>
      <c r="T19" s="80" t="n">
        <f aca="false" t="array" ref="T19:T19">IF(COLUMN() - ($E19 + 5) &lt; 0, 0,
  IF(COLUMN() - ($E19 + 5) = 0, $F19,
    S19 * (1 - IFERROR(INDEX('Inputs &amp; Assuptions'!$C$13:$C$72, COLUMN() - ($E19 + 5)), 0))
  )
)</f>
        <v>1164.00375</v>
      </c>
      <c r="U19" s="80" t="n">
        <f aca="false" t="array" ref="U19:U19">IF(COLUMN() - ($E19 + 5) &lt; 0, 0,
  IF(COLUMN() - ($E19 + 5) = 0, $F19,
    T19 * (1 - IFERROR(INDEX('Inputs &amp; Assuptions'!$C$13:$C$72, COLUMN() - ($E19 + 5)), 0))
  )
)</f>
        <v>1117.4436</v>
      </c>
      <c r="V19" s="80" t="n">
        <f aca="false" t="array" ref="V19:V19">IF(COLUMN() - ($E19 + 5) &lt; 0, 0,
  IF(COLUMN() - ($E19 + 5) = 0, $F19,
    U19 * (1 - IFERROR(INDEX('Inputs &amp; Assuptions'!$C$13:$C$72, COLUMN() - ($E19 + 5)), 0))
  )
)</f>
        <v>1086.713901</v>
      </c>
      <c r="W19" s="80" t="n">
        <f aca="false" t="array" ref="W19:W19">IF(COLUMN() - ($E19 + 5) &lt; 0, 0,
  IF(COLUMN() - ($E19 + 5) = 0, $F19,
    V19 * (1 - IFERROR(INDEX('Inputs &amp; Assuptions'!$C$13:$C$72, COLUMN() - ($E19 + 5)), 0))
  )
)</f>
        <v>1059.546053475</v>
      </c>
      <c r="X19" s="80" t="n">
        <f aca="false" t="array" ref="X19:X19">IF(COLUMN() - ($E19 + 5) &lt; 0, 0,
  IF(COLUMN() - ($E19 + 5) = 0, $F19,
    W19 * (1 - IFERROR(INDEX('Inputs &amp; Assuptions'!$C$13:$C$72, COLUMN() - ($E19 + 5)), 0))
  )
)</f>
        <v>1035.70626727181</v>
      </c>
      <c r="Y19" s="80" t="n">
        <f aca="false" t="array" ref="Y19:Y19">IF(COLUMN() - ($E19 + 5) &lt; 0, 0,
  IF(COLUMN() - ($E19 + 5) = 0, $F19,
    X19 * (1 - IFERROR(INDEX('Inputs &amp; Assuptions'!$C$13:$C$72, COLUMN() - ($E19 + 5)), 0))
  )
)</f>
        <v>1014.99214192638</v>
      </c>
      <c r="Z19" s="80" t="n">
        <f aca="false" t="array" ref="Z19:Z19">IF(COLUMN() - ($E19 + 5) &lt; 0, 0,
  IF(COLUMN() - ($E19 + 5) = 0, $F19,
    Y19 * (1 - IFERROR(INDEX('Inputs &amp; Assuptions'!$C$13:$C$72, COLUMN() - ($E19 + 5)), 0))
  )
)</f>
        <v>997.229779442665</v>
      </c>
      <c r="AA19" s="80" t="n">
        <f aca="false" t="array" ref="AA19:AA19">IF(COLUMN() - ($E19 + 5) &lt; 0, 0,
  IF(COLUMN() - ($E19 + 5) = 0, $F19,
    Z19 * (1 - IFERROR(INDEX('Inputs &amp; Assuptions'!$C$13:$C$72, COLUMN() - ($E19 + 5)), 0))
  )
)</f>
        <v>982.271332751025</v>
      </c>
      <c r="AB19" s="80" t="n">
        <f aca="false" t="array" ref="AB19:AB19">IF(COLUMN() - ($E19 + 5) &lt; 0, 0,
  IF(COLUMN() - ($E19 + 5) = 0, $F19,
    AA19 * (1 - IFERROR(INDEX('Inputs &amp; Assuptions'!$C$13:$C$72, COLUMN() - ($E19 + 5)), 0))
  )
)</f>
        <v>969.992941091637</v>
      </c>
      <c r="AC19" s="80" t="n">
        <f aca="false" t="array" ref="AC19:AC19">IF(COLUMN() - ($E19 + 5) &lt; 0, 0,
  IF(COLUMN() - ($E19 + 5) = 0, $F19,
    AB19 * (1 - IFERROR(INDEX('Inputs &amp; Assuptions'!$C$13:$C$72, COLUMN() - ($E19 + 5)), 0))
  )
)</f>
        <v>960.293011680721</v>
      </c>
      <c r="AD19" s="80" t="n">
        <f aca="false" t="array" ref="AD19:AD19">IF(COLUMN() - ($E19 + 5) &lt; 0, 0,
  IF(COLUMN() - ($E19 + 5) = 0, $F19,
    AC19 * (1 - IFERROR(INDEX('Inputs &amp; Assuptions'!$C$13:$C$72, COLUMN() - ($E19 + 5)), 0))
  )
)</f>
        <v>955.491546622317</v>
      </c>
      <c r="AE19" s="80" t="n">
        <f aca="false" t="array" ref="AE19:AE19">IF(COLUMN() - ($E19 + 5) &lt; 0, 0,
  IF(COLUMN() - ($E19 + 5) = 0, $F19,
    AD19 * (1 - IFERROR(INDEX('Inputs &amp; Assuptions'!$C$13:$C$72, COLUMN() - ($E19 + 5)), 0))
  )
)</f>
        <v>950.714088889205</v>
      </c>
      <c r="AF19" s="80" t="n">
        <f aca="false" t="array" ref="AF19:AF19">IF(COLUMN() - ($E19 + 5) &lt; 0, 0,
  IF(COLUMN() - ($E19 + 5) = 0, $F19,
    AE19 * (1 - IFERROR(INDEX('Inputs &amp; Assuptions'!$C$13:$C$72, COLUMN() - ($E19 + 5)), 0))
  )
)</f>
        <v>945.960518444759</v>
      </c>
      <c r="AG19" s="80" t="n">
        <f aca="false" t="array" ref="AG19:AG19">IF(COLUMN() - ($E19 + 5) &lt; 0, 0,
  IF(COLUMN() - ($E19 + 5) = 0, $F19,
    AF19 * (1 - IFERROR(INDEX('Inputs &amp; Assuptions'!$C$13:$C$72, COLUMN() - ($E19 + 5)), 0))
  )
)</f>
        <v>941.230715852536</v>
      </c>
      <c r="AH19" s="80" t="n">
        <f aca="false" t="array" ref="AH19:AH19">IF(COLUMN() - ($E19 + 5) &lt; 0, 0,
  IF(COLUMN() - ($E19 + 5) = 0, $F19,
    AG19 * (1 - IFERROR(INDEX('Inputs &amp; Assuptions'!$C$13:$C$72, COLUMN() - ($E19 + 5)), 0))
  )
)</f>
        <v>936.524562273273</v>
      </c>
      <c r="AI19" s="80" t="n">
        <f aca="false" t="array" ref="AI19:AI19">IF(COLUMN() - ($E19 + 5) &lt; 0, 0,
  IF(COLUMN() - ($E19 + 5) = 0, $F19,
    AH19 * (1 - IFERROR(INDEX('Inputs &amp; Assuptions'!$C$13:$C$72, COLUMN() - ($E19 + 5)), 0))
  )
)</f>
        <v>931.841939461907</v>
      </c>
      <c r="AJ19" s="80" t="n">
        <f aca="false" t="array" ref="AJ19:AJ19">IF(COLUMN() - ($E19 + 5) &lt; 0, 0,
  IF(COLUMN() - ($E19 + 5) = 0, $F19,
    AI19 * (1 - IFERROR(INDEX('Inputs &amp; Assuptions'!$C$13:$C$72, COLUMN() - ($E19 + 5)), 0))
  )
)</f>
        <v>927.182729764597</v>
      </c>
      <c r="AK19" s="80" t="n">
        <f aca="false" t="array" ref="AK19:AK19">IF(COLUMN() - ($E19 + 5) &lt; 0, 0,
  IF(COLUMN() - ($E19 + 5) = 0, $F19,
    AJ19 * (1 - IFERROR(INDEX('Inputs &amp; Assuptions'!$C$13:$C$72, COLUMN() - ($E19 + 5)), 0))
  )
)</f>
        <v>922.546816115774</v>
      </c>
      <c r="AL19" s="80" t="n">
        <f aca="false" t="array" ref="AL19:AL19">IF(COLUMN() - ($E19 + 5) &lt; 0, 0,
  IF(COLUMN() - ($E19 + 5) = 0, $F19,
    AK19 * (1 - IFERROR(INDEX('Inputs &amp; Assuptions'!$C$13:$C$72, COLUMN() - ($E19 + 5)), 0))
  )
)</f>
        <v>917.934082035195</v>
      </c>
      <c r="AM19" s="80" t="n">
        <f aca="false" t="array" ref="AM19:AM19">IF(COLUMN() - ($E19 + 5) &lt; 0, 0,
  IF(COLUMN() - ($E19 + 5) = 0, $F19,
    AL19 * (1 - IFERROR(INDEX('Inputs &amp; Assuptions'!$C$13:$C$72, COLUMN() - ($E19 + 5)), 0))
  )
)</f>
        <v>913.344411625019</v>
      </c>
      <c r="AN19" s="80" t="n">
        <f aca="false" t="array" ref="AN19:AN19">IF(COLUMN() - ($E19 + 5) &lt; 0, 0,
  IF(COLUMN() - ($E19 + 5) = 0, $F19,
    AM19 * (1 - IFERROR(INDEX('Inputs &amp; Assuptions'!$C$13:$C$72, COLUMN() - ($E19 + 5)), 0))
  )
)</f>
        <v>908.777689566894</v>
      </c>
      <c r="AO19" s="80" t="n">
        <f aca="false" t="array" ref="AO19:AO19">IF(COLUMN() - ($E19 + 5) &lt; 0, 0,
  IF(COLUMN() - ($E19 + 5) = 0, $F19,
    AN19 * (1 - IFERROR(INDEX('Inputs &amp; Assuptions'!$C$13:$C$72, COLUMN() - ($E19 + 5)), 0))
  )
)</f>
        <v>904.23380111906</v>
      </c>
      <c r="AP19" s="80" t="n">
        <f aca="false" t="array" ref="AP19:AP19">IF(COLUMN() - ($E19 + 5) &lt; 0, 0,
  IF(COLUMN() - ($E19 + 5) = 0, $F19,
    AO19 * (1 - IFERROR(INDEX('Inputs &amp; Assuptions'!$C$13:$C$72, COLUMN() - ($E19 + 5)), 0))
  )
)</f>
        <v>899.712632113464</v>
      </c>
      <c r="AQ19" s="80" t="n">
        <f aca="false" t="array" ref="AQ19:AQ19">IF(COLUMN() - ($E19 + 5) &lt; 0, 0,
  IF(COLUMN() - ($E19 + 5) = 0, $F19,
    AP19 * (1 - IFERROR(INDEX('Inputs &amp; Assuptions'!$C$13:$C$72, COLUMN() - ($E19 + 5)), 0))
  )
)</f>
        <v>895.214068952897</v>
      </c>
      <c r="AR19" s="80" t="n">
        <f aca="false" t="array" ref="AR19:AR19">IF(COLUMN() - ($E19 + 5) &lt; 0, 0,
  IF(COLUMN() - ($E19 + 5) = 0, $F19,
    AQ19 * (1 - IFERROR(INDEX('Inputs &amp; Assuptions'!$C$13:$C$72, COLUMN() - ($E19 + 5)), 0))
  )
)</f>
        <v>890.737998608132</v>
      </c>
      <c r="AS19" s="80" t="n">
        <f aca="false" t="array" ref="AS19:AS19">IF(COLUMN() - ($E19 + 5) &lt; 0, 0,
  IF(COLUMN() - ($E19 + 5) = 0, $F19,
    AR19 * (1 - IFERROR(INDEX('Inputs &amp; Assuptions'!$C$13:$C$72, COLUMN() - ($E19 + 5)), 0))
  )
)</f>
        <v>886.284308615092</v>
      </c>
      <c r="AT19" s="80" t="n">
        <f aca="false" t="array" ref="AT19:AT19">IF(COLUMN() - ($E19 + 5) &lt; 0, 0,
  IF(COLUMN() - ($E19 + 5) = 0, $F19,
    AS19 * (1 - IFERROR(INDEX('Inputs &amp; Assuptions'!$C$13:$C$72, COLUMN() - ($E19 + 5)), 0))
  )
)</f>
        <v>881.852887072016</v>
      </c>
      <c r="AU19" s="80" t="n">
        <f aca="false" t="array" ref="AU19:AU19">IF(COLUMN() - ($E19 + 5) &lt; 0, 0,
  IF(COLUMN() - ($E19 + 5) = 0, $F19,
    AT19 * (1 - IFERROR(INDEX('Inputs &amp; Assuptions'!$C$13:$C$72, COLUMN() - ($E19 + 5)), 0))
  )
)</f>
        <v>877.443622636656</v>
      </c>
      <c r="AV19" s="80" t="n">
        <f aca="false" t="array" ref="AV19:AV19">IF(COLUMN() - ($E19 + 5) &lt; 0, 0,
  IF(COLUMN() - ($E19 + 5) = 0, $F19,
    AU19 * (1 - IFERROR(INDEX('Inputs &amp; Assuptions'!$C$13:$C$72, COLUMN() - ($E19 + 5)), 0))
  )
)</f>
        <v>873.056404523473</v>
      </c>
      <c r="AW19" s="80" t="n">
        <f aca="false" t="array" ref="AW19:AW19">IF(COLUMN() - ($E19 + 5) &lt; 0, 0,
  IF(COLUMN() - ($E19 + 5) = 0, $F19,
    AV19 * (1 - IFERROR(INDEX('Inputs &amp; Assuptions'!$C$13:$C$72, COLUMN() - ($E19 + 5)), 0))
  )
)</f>
        <v>868.691122500856</v>
      </c>
      <c r="AX19" s="80" t="n">
        <f aca="false" t="array" ref="AX19:AX19">IF(COLUMN() - ($E19 + 5) &lt; 0, 0,
  IF(COLUMN() - ($E19 + 5) = 0, $F19,
    AW19 * (1 - IFERROR(INDEX('Inputs &amp; Assuptions'!$C$13:$C$72, COLUMN() - ($E19 + 5)), 0))
  )
)</f>
        <v>864.347666888351</v>
      </c>
      <c r="AY19" s="80" t="n">
        <f aca="false" t="array" ref="AY19:AY19">IF(COLUMN() - ($E19 + 5) &lt; 0, 0,
  IF(COLUMN() - ($E19 + 5) = 0, $F19,
    AX19 * (1 - IFERROR(INDEX('Inputs &amp; Assuptions'!$C$13:$C$72, COLUMN() - ($E19 + 5)), 0))
  )
)</f>
        <v>860.02592855391</v>
      </c>
      <c r="AZ19" s="80" t="n">
        <f aca="false" t="array" ref="AZ19:AZ19">IF(COLUMN() - ($E19 + 5) &lt; 0, 0,
  IF(COLUMN() - ($E19 + 5) = 0, $F19,
    AY19 * (1 - IFERROR(INDEX('Inputs &amp; Assuptions'!$C$13:$C$72, COLUMN() - ($E19 + 5)), 0))
  )
)</f>
        <v>855.72579891114</v>
      </c>
      <c r="BA19" s="80" t="n">
        <f aca="false" t="array" ref="BA19:BA19">IF(COLUMN() - ($E19 + 5) &lt; 0, 0,
  IF(COLUMN() - ($E19 + 5) = 0, $F19,
    AZ19 * (1 - IFERROR(INDEX('Inputs &amp; Assuptions'!$C$13:$C$72, COLUMN() - ($E19 + 5)), 0))
  )
)</f>
        <v>851.447169916584</v>
      </c>
      <c r="BB19" s="80" t="n">
        <f aca="false" t="array" ref="BB19:BB19">IF(COLUMN() - ($E19 + 5) &lt; 0, 0,
  IF(COLUMN() - ($E19 + 5) = 0, $F19,
    BA19 * (1 - IFERROR(INDEX('Inputs &amp; Assuptions'!$C$13:$C$72, COLUMN() - ($E19 + 5)), 0))
  )
)</f>
        <v>847.189934067001</v>
      </c>
      <c r="BC19" s="80" t="n">
        <f aca="false" t="array" ref="BC19:BC19">IF(COLUMN() - ($E19 + 5) &lt; 0, 0,
  IF(COLUMN() - ($E19 + 5) = 0, $F19,
    BB19 * (1 - IFERROR(INDEX('Inputs &amp; Assuptions'!$C$13:$C$72, COLUMN() - ($E19 + 5)), 0))
  )
)</f>
        <v>842.953984396666</v>
      </c>
      <c r="BD19" s="80" t="n">
        <f aca="false" t="array" ref="BD19:BD19">IF(COLUMN() - ($E19 + 5) &lt; 0, 0,
  IF(COLUMN() - ($E19 + 5) = 0, $F19,
    BC19 * (1 - IFERROR(INDEX('Inputs &amp; Assuptions'!$C$13:$C$72, COLUMN() - ($E19 + 5)), 0))
  )
)</f>
        <v>838.739214474683</v>
      </c>
      <c r="BE19" s="80" t="n">
        <f aca="false" t="array" ref="BE19:BE19">IF(COLUMN() - ($E19 + 5) &lt; 0, 0,
  IF(COLUMN() - ($E19 + 5) = 0, $F19,
    BD19 * (1 - IFERROR(INDEX('Inputs &amp; Assuptions'!$C$13:$C$72, COLUMN() - ($E19 + 5)), 0))
  )
)</f>
        <v>834.54551840231</v>
      </c>
      <c r="BF19" s="80" t="n">
        <f aca="false" t="array" ref="BF19:BF19">IF(COLUMN() - ($E19 + 5) &lt; 0, 0,
  IF(COLUMN() - ($E19 + 5) = 0, $F19,
    BE19 * (1 - IFERROR(INDEX('Inputs &amp; Assuptions'!$C$13:$C$72, COLUMN() - ($E19 + 5)), 0))
  )
)</f>
        <v>830.372790810298</v>
      </c>
      <c r="BG19" s="80" t="n">
        <f aca="false" t="array" ref="BG19:BG19">IF(COLUMN() - ($E19 + 5) &lt; 0, 0,
  IF(COLUMN() - ($E19 + 5) = 0, $F19,
    BF19 * (1 - IFERROR(INDEX('Inputs &amp; Assuptions'!$C$13:$C$72, COLUMN() - ($E19 + 5)), 0))
  )
)</f>
        <v>826.220926856247</v>
      </c>
      <c r="BH19" s="80" t="n">
        <f aca="false" t="array" ref="BH19:BH19">IF(COLUMN() - ($E19 + 5) &lt; 0, 0,
  IF(COLUMN() - ($E19 + 5) = 0, $F19,
    BG19 * (1 - IFERROR(INDEX('Inputs &amp; Assuptions'!$C$13:$C$72, COLUMN() - ($E19 + 5)), 0))
  )
)</f>
        <v>822.089822221965</v>
      </c>
      <c r="BI19" s="80" t="n">
        <f aca="false" t="array" ref="BI19:BI19">IF(COLUMN() - ($E19 + 5) &lt; 0, 0,
  IF(COLUMN() - ($E19 + 5) = 0, $F19,
    BH19 * (1 - IFERROR(INDEX('Inputs &amp; Assuptions'!$C$13:$C$72, COLUMN() - ($E19 + 5)), 0))
  )
)</f>
        <v>817.979373110856</v>
      </c>
      <c r="BJ19" s="80" t="n">
        <f aca="false" t="array" ref="BJ19:BJ19">IF(COLUMN() - ($E19 + 5) &lt; 0, 0,
  IF(COLUMN() - ($E19 + 5) = 0, $F19,
    BI19 * (1 - IFERROR(INDEX('Inputs &amp; Assuptions'!$C$13:$C$72, COLUMN() - ($E19 + 5)), 0))
  )
)</f>
        <v>813.889476245301</v>
      </c>
      <c r="BK19" s="80" t="n">
        <f aca="false" t="array" ref="BK19:BK19">IF(COLUMN() - ($E19 + 5) &lt; 0, 0,
  IF(COLUMN() - ($E19 + 5) = 0, $F19,
    BJ19 * (1 - IFERROR(INDEX('Inputs &amp; Assuptions'!$C$13:$C$72, COLUMN() - ($E19 + 5)), 0))
  )
)</f>
        <v>809.820028864075</v>
      </c>
      <c r="BL19" s="80" t="n">
        <f aca="false" t="array" ref="BL19:BL19">IF(COLUMN() - ($E19 + 5) &lt; 0, 0,
  IF(COLUMN() - ($E19 + 5) = 0, $F19,
    BK19 * (1 - IFERROR(INDEX('Inputs &amp; Assuptions'!$C$13:$C$72, COLUMN() - ($E19 + 5)), 0))
  )
)</f>
        <v>805.770928719754</v>
      </c>
      <c r="BM19" s="81" t="n">
        <f aca="false" t="array" ref="BM19:BM19">IF(COLUMN() - ($E19 + 5) &lt; 0, 0,
  IF(COLUMN() - ($E19 + 5) = 0, $F19,
    BL19 * (1 - IFERROR(INDEX('Inputs &amp; Assuptions'!$C$13:$C$72, COLUMN() - ($E19 + 5)), 0))
  )
)</f>
        <v>801.742074076156</v>
      </c>
      <c r="BN19" s="76"/>
    </row>
    <row r="20" customFormat="false" ht="14.25" hidden="false" customHeight="false" outlineLevel="0" collapsed="false">
      <c r="A20" s="29" t="n">
        <f aca="false">A19+1</f>
        <v>15</v>
      </c>
      <c r="B20" s="77" t="n">
        <f aca="false">IF(MOD($A20-1, 12) = 0, $B19 * 1.05, $B19)</f>
        <v>1575</v>
      </c>
      <c r="C20" s="78" t="n">
        <f aca="false">$B20*(1-'Inputs &amp; Assuptions'!$C$12)</f>
        <v>1228.5</v>
      </c>
      <c r="E20" s="29" t="n">
        <f aca="false">E19+1</f>
        <v>15</v>
      </c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 t="n">
        <f aca="false">$C20</f>
        <v>1228.5</v>
      </c>
      <c r="U20" s="80" t="n">
        <f aca="false" t="array" ref="U20:U20">IF(COLUMN() - ($E20 + 5) &lt; 0, 0,
  IF(COLUMN() - ($E20 + 5) = 0, $F20,
    T20 * (1 - IFERROR(INDEX('Inputs &amp; Assuptions'!$C$13:$C$72, COLUMN() - ($E20 + 5)), 0))
  )
)</f>
        <v>1164.00375</v>
      </c>
      <c r="V20" s="80" t="n">
        <f aca="false" t="array" ref="V20:V20">IF(COLUMN() - ($E20 + 5) &lt; 0, 0,
  IF(COLUMN() - ($E20 + 5) = 0, $F20,
    U20 * (1 - IFERROR(INDEX('Inputs &amp; Assuptions'!$C$13:$C$72, COLUMN() - ($E20 + 5)), 0))
  )
)</f>
        <v>1117.4436</v>
      </c>
      <c r="W20" s="80" t="n">
        <f aca="false" t="array" ref="W20:W20">IF(COLUMN() - ($E20 + 5) &lt; 0, 0,
  IF(COLUMN() - ($E20 + 5) = 0, $F20,
    V20 * (1 - IFERROR(INDEX('Inputs &amp; Assuptions'!$C$13:$C$72, COLUMN() - ($E20 + 5)), 0))
  )
)</f>
        <v>1086.713901</v>
      </c>
      <c r="X20" s="80" t="n">
        <f aca="false" t="array" ref="X20:X20">IF(COLUMN() - ($E20 + 5) &lt; 0, 0,
  IF(COLUMN() - ($E20 + 5) = 0, $F20,
    W20 * (1 - IFERROR(INDEX('Inputs &amp; Assuptions'!$C$13:$C$72, COLUMN() - ($E20 + 5)), 0))
  )
)</f>
        <v>1059.546053475</v>
      </c>
      <c r="Y20" s="80" t="n">
        <f aca="false" t="array" ref="Y20:Y20">IF(COLUMN() - ($E20 + 5) &lt; 0, 0,
  IF(COLUMN() - ($E20 + 5) = 0, $F20,
    X20 * (1 - IFERROR(INDEX('Inputs &amp; Assuptions'!$C$13:$C$72, COLUMN() - ($E20 + 5)), 0))
  )
)</f>
        <v>1035.70626727181</v>
      </c>
      <c r="Z20" s="80" t="n">
        <f aca="false" t="array" ref="Z20:Z20">IF(COLUMN() - ($E20 + 5) &lt; 0, 0,
  IF(COLUMN() - ($E20 + 5) = 0, $F20,
    Y20 * (1 - IFERROR(INDEX('Inputs &amp; Assuptions'!$C$13:$C$72, COLUMN() - ($E20 + 5)), 0))
  )
)</f>
        <v>1014.99214192638</v>
      </c>
      <c r="AA20" s="80" t="n">
        <f aca="false" t="array" ref="AA20:AA20">IF(COLUMN() - ($E20 + 5) &lt; 0, 0,
  IF(COLUMN() - ($E20 + 5) = 0, $F20,
    Z20 * (1 - IFERROR(INDEX('Inputs &amp; Assuptions'!$C$13:$C$72, COLUMN() - ($E20 + 5)), 0))
  )
)</f>
        <v>997.229779442665</v>
      </c>
      <c r="AB20" s="80" t="n">
        <f aca="false" t="array" ref="AB20:AB20">IF(COLUMN() - ($E20 + 5) &lt; 0, 0,
  IF(COLUMN() - ($E20 + 5) = 0, $F20,
    AA20 * (1 - IFERROR(INDEX('Inputs &amp; Assuptions'!$C$13:$C$72, COLUMN() - ($E20 + 5)), 0))
  )
)</f>
        <v>982.271332751025</v>
      </c>
      <c r="AC20" s="80" t="n">
        <f aca="false" t="array" ref="AC20:AC20">IF(COLUMN() - ($E20 + 5) &lt; 0, 0,
  IF(COLUMN() - ($E20 + 5) = 0, $F20,
    AB20 * (1 - IFERROR(INDEX('Inputs &amp; Assuptions'!$C$13:$C$72, COLUMN() - ($E20 + 5)), 0))
  )
)</f>
        <v>969.992941091637</v>
      </c>
      <c r="AD20" s="80" t="n">
        <f aca="false" t="array" ref="AD20:AD20">IF(COLUMN() - ($E20 + 5) &lt; 0, 0,
  IF(COLUMN() - ($E20 + 5) = 0, $F20,
    AC20 * (1 - IFERROR(INDEX('Inputs &amp; Assuptions'!$C$13:$C$72, COLUMN() - ($E20 + 5)), 0))
  )
)</f>
        <v>960.293011680721</v>
      </c>
      <c r="AE20" s="80" t="n">
        <f aca="false" t="array" ref="AE20:AE20">IF(COLUMN() - ($E20 + 5) &lt; 0, 0,
  IF(COLUMN() - ($E20 + 5) = 0, $F20,
    AD20 * (1 - IFERROR(INDEX('Inputs &amp; Assuptions'!$C$13:$C$72, COLUMN() - ($E20 + 5)), 0))
  )
)</f>
        <v>955.491546622317</v>
      </c>
      <c r="AF20" s="80" t="n">
        <f aca="false" t="array" ref="AF20:AF20">IF(COLUMN() - ($E20 + 5) &lt; 0, 0,
  IF(COLUMN() - ($E20 + 5) = 0, $F20,
    AE20 * (1 - IFERROR(INDEX('Inputs &amp; Assuptions'!$C$13:$C$72, COLUMN() - ($E20 + 5)), 0))
  )
)</f>
        <v>950.714088889205</v>
      </c>
      <c r="AG20" s="80" t="n">
        <f aca="false" t="array" ref="AG20:AG20">IF(COLUMN() - ($E20 + 5) &lt; 0, 0,
  IF(COLUMN() - ($E20 + 5) = 0, $F20,
    AF20 * (1 - IFERROR(INDEX('Inputs &amp; Assuptions'!$C$13:$C$72, COLUMN() - ($E20 + 5)), 0))
  )
)</f>
        <v>945.960518444759</v>
      </c>
      <c r="AH20" s="80" t="n">
        <f aca="false" t="array" ref="AH20:AH20">IF(COLUMN() - ($E20 + 5) &lt; 0, 0,
  IF(COLUMN() - ($E20 + 5) = 0, $F20,
    AG20 * (1 - IFERROR(INDEX('Inputs &amp; Assuptions'!$C$13:$C$72, COLUMN() - ($E20 + 5)), 0))
  )
)</f>
        <v>941.230715852536</v>
      </c>
      <c r="AI20" s="80" t="n">
        <f aca="false" t="array" ref="AI20:AI20">IF(COLUMN() - ($E20 + 5) &lt; 0, 0,
  IF(COLUMN() - ($E20 + 5) = 0, $F20,
    AH20 * (1 - IFERROR(INDEX('Inputs &amp; Assuptions'!$C$13:$C$72, COLUMN() - ($E20 + 5)), 0))
  )
)</f>
        <v>936.524562273273</v>
      </c>
      <c r="AJ20" s="80" t="n">
        <f aca="false" t="array" ref="AJ20:AJ20">IF(COLUMN() - ($E20 + 5) &lt; 0, 0,
  IF(COLUMN() - ($E20 + 5) = 0, $F20,
    AI20 * (1 - IFERROR(INDEX('Inputs &amp; Assuptions'!$C$13:$C$72, COLUMN() - ($E20 + 5)), 0))
  )
)</f>
        <v>931.841939461907</v>
      </c>
      <c r="AK20" s="80" t="n">
        <f aca="false" t="array" ref="AK20:AK20">IF(COLUMN() - ($E20 + 5) &lt; 0, 0,
  IF(COLUMN() - ($E20 + 5) = 0, $F20,
    AJ20 * (1 - IFERROR(INDEX('Inputs &amp; Assuptions'!$C$13:$C$72, COLUMN() - ($E20 + 5)), 0))
  )
)</f>
        <v>927.182729764597</v>
      </c>
      <c r="AL20" s="80" t="n">
        <f aca="false" t="array" ref="AL20:AL20">IF(COLUMN() - ($E20 + 5) &lt; 0, 0,
  IF(COLUMN() - ($E20 + 5) = 0, $F20,
    AK20 * (1 - IFERROR(INDEX('Inputs &amp; Assuptions'!$C$13:$C$72, COLUMN() - ($E20 + 5)), 0))
  )
)</f>
        <v>922.546816115774</v>
      </c>
      <c r="AM20" s="80" t="n">
        <f aca="false" t="array" ref="AM20:AM20">IF(COLUMN() - ($E20 + 5) &lt; 0, 0,
  IF(COLUMN() - ($E20 + 5) = 0, $F20,
    AL20 * (1 - IFERROR(INDEX('Inputs &amp; Assuptions'!$C$13:$C$72, COLUMN() - ($E20 + 5)), 0))
  )
)</f>
        <v>917.934082035195</v>
      </c>
      <c r="AN20" s="80" t="n">
        <f aca="false" t="array" ref="AN20:AN20">IF(COLUMN() - ($E20 + 5) &lt; 0, 0,
  IF(COLUMN() - ($E20 + 5) = 0, $F20,
    AM20 * (1 - IFERROR(INDEX('Inputs &amp; Assuptions'!$C$13:$C$72, COLUMN() - ($E20 + 5)), 0))
  )
)</f>
        <v>913.344411625019</v>
      </c>
      <c r="AO20" s="80" t="n">
        <f aca="false" t="array" ref="AO20:AO20">IF(COLUMN() - ($E20 + 5) &lt; 0, 0,
  IF(COLUMN() - ($E20 + 5) = 0, $F20,
    AN20 * (1 - IFERROR(INDEX('Inputs &amp; Assuptions'!$C$13:$C$72, COLUMN() - ($E20 + 5)), 0))
  )
)</f>
        <v>908.777689566894</v>
      </c>
      <c r="AP20" s="80" t="n">
        <f aca="false" t="array" ref="AP20:AP20">IF(COLUMN() - ($E20 + 5) &lt; 0, 0,
  IF(COLUMN() - ($E20 + 5) = 0, $F20,
    AO20 * (1 - IFERROR(INDEX('Inputs &amp; Assuptions'!$C$13:$C$72, COLUMN() - ($E20 + 5)), 0))
  )
)</f>
        <v>904.23380111906</v>
      </c>
      <c r="AQ20" s="80" t="n">
        <f aca="false" t="array" ref="AQ20:AQ20">IF(COLUMN() - ($E20 + 5) &lt; 0, 0,
  IF(COLUMN() - ($E20 + 5) = 0, $F20,
    AP20 * (1 - IFERROR(INDEX('Inputs &amp; Assuptions'!$C$13:$C$72, COLUMN() - ($E20 + 5)), 0))
  )
)</f>
        <v>899.712632113464</v>
      </c>
      <c r="AR20" s="80" t="n">
        <f aca="false" t="array" ref="AR20:AR20">IF(COLUMN() - ($E20 + 5) &lt; 0, 0,
  IF(COLUMN() - ($E20 + 5) = 0, $F20,
    AQ20 * (1 - IFERROR(INDEX('Inputs &amp; Assuptions'!$C$13:$C$72, COLUMN() - ($E20 + 5)), 0))
  )
)</f>
        <v>895.214068952897</v>
      </c>
      <c r="AS20" s="80" t="n">
        <f aca="false" t="array" ref="AS20:AS20">IF(COLUMN() - ($E20 + 5) &lt; 0, 0,
  IF(COLUMN() - ($E20 + 5) = 0, $F20,
    AR20 * (1 - IFERROR(INDEX('Inputs &amp; Assuptions'!$C$13:$C$72, COLUMN() - ($E20 + 5)), 0))
  )
)</f>
        <v>890.737998608132</v>
      </c>
      <c r="AT20" s="80" t="n">
        <f aca="false" t="array" ref="AT20:AT20">IF(COLUMN() - ($E20 + 5) &lt; 0, 0,
  IF(COLUMN() - ($E20 + 5) = 0, $F20,
    AS20 * (1 - IFERROR(INDEX('Inputs &amp; Assuptions'!$C$13:$C$72, COLUMN() - ($E20 + 5)), 0))
  )
)</f>
        <v>886.284308615092</v>
      </c>
      <c r="AU20" s="80" t="n">
        <f aca="false" t="array" ref="AU20:AU20">IF(COLUMN() - ($E20 + 5) &lt; 0, 0,
  IF(COLUMN() - ($E20 + 5) = 0, $F20,
    AT20 * (1 - IFERROR(INDEX('Inputs &amp; Assuptions'!$C$13:$C$72, COLUMN() - ($E20 + 5)), 0))
  )
)</f>
        <v>881.852887072016</v>
      </c>
      <c r="AV20" s="80" t="n">
        <f aca="false" t="array" ref="AV20:AV20">IF(COLUMN() - ($E20 + 5) &lt; 0, 0,
  IF(COLUMN() - ($E20 + 5) = 0, $F20,
    AU20 * (1 - IFERROR(INDEX('Inputs &amp; Assuptions'!$C$13:$C$72, COLUMN() - ($E20 + 5)), 0))
  )
)</f>
        <v>877.443622636656</v>
      </c>
      <c r="AW20" s="80" t="n">
        <f aca="false" t="array" ref="AW20:AW20">IF(COLUMN() - ($E20 + 5) &lt; 0, 0,
  IF(COLUMN() - ($E20 + 5) = 0, $F20,
    AV20 * (1 - IFERROR(INDEX('Inputs &amp; Assuptions'!$C$13:$C$72, COLUMN() - ($E20 + 5)), 0))
  )
)</f>
        <v>873.056404523473</v>
      </c>
      <c r="AX20" s="80" t="n">
        <f aca="false" t="array" ref="AX20:AX20">IF(COLUMN() - ($E20 + 5) &lt; 0, 0,
  IF(COLUMN() - ($E20 + 5) = 0, $F20,
    AW20 * (1 - IFERROR(INDEX('Inputs &amp; Assuptions'!$C$13:$C$72, COLUMN() - ($E20 + 5)), 0))
  )
)</f>
        <v>868.691122500856</v>
      </c>
      <c r="AY20" s="80" t="n">
        <f aca="false" t="array" ref="AY20:AY20">IF(COLUMN() - ($E20 + 5) &lt; 0, 0,
  IF(COLUMN() - ($E20 + 5) = 0, $F20,
    AX20 * (1 - IFERROR(INDEX('Inputs &amp; Assuptions'!$C$13:$C$72, COLUMN() - ($E20 + 5)), 0))
  )
)</f>
        <v>864.347666888351</v>
      </c>
      <c r="AZ20" s="80" t="n">
        <f aca="false" t="array" ref="AZ20:AZ20">IF(COLUMN() - ($E20 + 5) &lt; 0, 0,
  IF(COLUMN() - ($E20 + 5) = 0, $F20,
    AY20 * (1 - IFERROR(INDEX('Inputs &amp; Assuptions'!$C$13:$C$72, COLUMN() - ($E20 + 5)), 0))
  )
)</f>
        <v>860.02592855391</v>
      </c>
      <c r="BA20" s="80" t="n">
        <f aca="false" t="array" ref="BA20:BA20">IF(COLUMN() - ($E20 + 5) &lt; 0, 0,
  IF(COLUMN() - ($E20 + 5) = 0, $F20,
    AZ20 * (1 - IFERROR(INDEX('Inputs &amp; Assuptions'!$C$13:$C$72, COLUMN() - ($E20 + 5)), 0))
  )
)</f>
        <v>855.72579891114</v>
      </c>
      <c r="BB20" s="80" t="n">
        <f aca="false" t="array" ref="BB20:BB20">IF(COLUMN() - ($E20 + 5) &lt; 0, 0,
  IF(COLUMN() - ($E20 + 5) = 0, $F20,
    BA20 * (1 - IFERROR(INDEX('Inputs &amp; Assuptions'!$C$13:$C$72, COLUMN() - ($E20 + 5)), 0))
  )
)</f>
        <v>851.447169916584</v>
      </c>
      <c r="BC20" s="80" t="n">
        <f aca="false" t="array" ref="BC20:BC20">IF(COLUMN() - ($E20 + 5) &lt; 0, 0,
  IF(COLUMN() - ($E20 + 5) = 0, $F20,
    BB20 * (1 - IFERROR(INDEX('Inputs &amp; Assuptions'!$C$13:$C$72, COLUMN() - ($E20 + 5)), 0))
  )
)</f>
        <v>847.189934067001</v>
      </c>
      <c r="BD20" s="80" t="n">
        <f aca="false" t="array" ref="BD20:BD20">IF(COLUMN() - ($E20 + 5) &lt; 0, 0,
  IF(COLUMN() - ($E20 + 5) = 0, $F20,
    BC20 * (1 - IFERROR(INDEX('Inputs &amp; Assuptions'!$C$13:$C$72, COLUMN() - ($E20 + 5)), 0))
  )
)</f>
        <v>842.953984396666</v>
      </c>
      <c r="BE20" s="80" t="n">
        <f aca="false" t="array" ref="BE20:BE20">IF(COLUMN() - ($E20 + 5) &lt; 0, 0,
  IF(COLUMN() - ($E20 + 5) = 0, $F20,
    BD20 * (1 - IFERROR(INDEX('Inputs &amp; Assuptions'!$C$13:$C$72, COLUMN() - ($E20 + 5)), 0))
  )
)</f>
        <v>838.739214474683</v>
      </c>
      <c r="BF20" s="80" t="n">
        <f aca="false" t="array" ref="BF20:BF20">IF(COLUMN() - ($E20 + 5) &lt; 0, 0,
  IF(COLUMN() - ($E20 + 5) = 0, $F20,
    BE20 * (1 - IFERROR(INDEX('Inputs &amp; Assuptions'!$C$13:$C$72, COLUMN() - ($E20 + 5)), 0))
  )
)</f>
        <v>834.54551840231</v>
      </c>
      <c r="BG20" s="80" t="n">
        <f aca="false" t="array" ref="BG20:BG20">IF(COLUMN() - ($E20 + 5) &lt; 0, 0,
  IF(COLUMN() - ($E20 + 5) = 0, $F20,
    BF20 * (1 - IFERROR(INDEX('Inputs &amp; Assuptions'!$C$13:$C$72, COLUMN() - ($E20 + 5)), 0))
  )
)</f>
        <v>830.372790810298</v>
      </c>
      <c r="BH20" s="80" t="n">
        <f aca="false" t="array" ref="BH20:BH20">IF(COLUMN() - ($E20 + 5) &lt; 0, 0,
  IF(COLUMN() - ($E20 + 5) = 0, $F20,
    BG20 * (1 - IFERROR(INDEX('Inputs &amp; Assuptions'!$C$13:$C$72, COLUMN() - ($E20 + 5)), 0))
  )
)</f>
        <v>826.220926856247</v>
      </c>
      <c r="BI20" s="80" t="n">
        <f aca="false" t="array" ref="BI20:BI20">IF(COLUMN() - ($E20 + 5) &lt; 0, 0,
  IF(COLUMN() - ($E20 + 5) = 0, $F20,
    BH20 * (1 - IFERROR(INDEX('Inputs &amp; Assuptions'!$C$13:$C$72, COLUMN() - ($E20 + 5)), 0))
  )
)</f>
        <v>822.089822221965</v>
      </c>
      <c r="BJ20" s="80" t="n">
        <f aca="false" t="array" ref="BJ20:BJ20">IF(COLUMN() - ($E20 + 5) &lt; 0, 0,
  IF(COLUMN() - ($E20 + 5) = 0, $F20,
    BI20 * (1 - IFERROR(INDEX('Inputs &amp; Assuptions'!$C$13:$C$72, COLUMN() - ($E20 + 5)), 0))
  )
)</f>
        <v>817.979373110856</v>
      </c>
      <c r="BK20" s="80" t="n">
        <f aca="false" t="array" ref="BK20:BK20">IF(COLUMN() - ($E20 + 5) &lt; 0, 0,
  IF(COLUMN() - ($E20 + 5) = 0, $F20,
    BJ20 * (1 - IFERROR(INDEX('Inputs &amp; Assuptions'!$C$13:$C$72, COLUMN() - ($E20 + 5)), 0))
  )
)</f>
        <v>813.889476245301</v>
      </c>
      <c r="BL20" s="80" t="n">
        <f aca="false" t="array" ref="BL20:BL20">IF(COLUMN() - ($E20 + 5) &lt; 0, 0,
  IF(COLUMN() - ($E20 + 5) = 0, $F20,
    BK20 * (1 - IFERROR(INDEX('Inputs &amp; Assuptions'!$C$13:$C$72, COLUMN() - ($E20 + 5)), 0))
  )
)</f>
        <v>809.820028864075</v>
      </c>
      <c r="BM20" s="81" t="n">
        <f aca="false" t="array" ref="BM20:BM20">IF(COLUMN() - ($E20 + 5) &lt; 0, 0,
  IF(COLUMN() - ($E20 + 5) = 0, $F20,
    BL20 * (1 - IFERROR(INDEX('Inputs &amp; Assuptions'!$C$13:$C$72, COLUMN() - ($E20 + 5)), 0))
  )
)</f>
        <v>805.770928719754</v>
      </c>
      <c r="BN20" s="76"/>
    </row>
    <row r="21" customFormat="false" ht="14.25" hidden="false" customHeight="false" outlineLevel="0" collapsed="false">
      <c r="A21" s="29" t="n">
        <f aca="false">A20+1</f>
        <v>16</v>
      </c>
      <c r="B21" s="77" t="n">
        <f aca="false">IF(MOD($A21-1, 12) = 0, $B20 * 1.05, $B20)</f>
        <v>1575</v>
      </c>
      <c r="C21" s="78" t="n">
        <f aca="false">$B21*(1-'Inputs &amp; Assuptions'!$C$12)</f>
        <v>1228.5</v>
      </c>
      <c r="E21" s="29" t="n">
        <f aca="false">E20+1</f>
        <v>16</v>
      </c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 t="n">
        <f aca="false">$C21</f>
        <v>1228.5</v>
      </c>
      <c r="V21" s="80" t="n">
        <f aca="false" t="array" ref="V21:V21">IF(COLUMN() - ($E21 + 5) &lt; 0, 0,
  IF(COLUMN() - ($E21 + 5) = 0, $F21,
    U21 * (1 - IFERROR(INDEX('Inputs &amp; Assuptions'!$C$13:$C$72, COLUMN() - ($E21 + 5)), 0))
  )
)</f>
        <v>1164.00375</v>
      </c>
      <c r="W21" s="80" t="n">
        <f aca="false" t="array" ref="W21:W21">IF(COLUMN() - ($E21 + 5) &lt; 0, 0,
  IF(COLUMN() - ($E21 + 5) = 0, $F21,
    V21 * (1 - IFERROR(INDEX('Inputs &amp; Assuptions'!$C$13:$C$72, COLUMN() - ($E21 + 5)), 0))
  )
)</f>
        <v>1117.4436</v>
      </c>
      <c r="X21" s="80" t="n">
        <f aca="false" t="array" ref="X21:X21">IF(COLUMN() - ($E21 + 5) &lt; 0, 0,
  IF(COLUMN() - ($E21 + 5) = 0, $F21,
    W21 * (1 - IFERROR(INDEX('Inputs &amp; Assuptions'!$C$13:$C$72, COLUMN() - ($E21 + 5)), 0))
  )
)</f>
        <v>1086.713901</v>
      </c>
      <c r="Y21" s="80" t="n">
        <f aca="false" t="array" ref="Y21:Y21">IF(COLUMN() - ($E21 + 5) &lt; 0, 0,
  IF(COLUMN() - ($E21 + 5) = 0, $F21,
    X21 * (1 - IFERROR(INDEX('Inputs &amp; Assuptions'!$C$13:$C$72, COLUMN() - ($E21 + 5)), 0))
  )
)</f>
        <v>1059.546053475</v>
      </c>
      <c r="Z21" s="80" t="n">
        <f aca="false" t="array" ref="Z21:Z21">IF(COLUMN() - ($E21 + 5) &lt; 0, 0,
  IF(COLUMN() - ($E21 + 5) = 0, $F21,
    Y21 * (1 - IFERROR(INDEX('Inputs &amp; Assuptions'!$C$13:$C$72, COLUMN() - ($E21 + 5)), 0))
  )
)</f>
        <v>1035.70626727181</v>
      </c>
      <c r="AA21" s="80" t="n">
        <f aca="false" t="array" ref="AA21:AA21">IF(COLUMN() - ($E21 + 5) &lt; 0, 0,
  IF(COLUMN() - ($E21 + 5) = 0, $F21,
    Z21 * (1 - IFERROR(INDEX('Inputs &amp; Assuptions'!$C$13:$C$72, COLUMN() - ($E21 + 5)), 0))
  )
)</f>
        <v>1014.99214192638</v>
      </c>
      <c r="AB21" s="80" t="n">
        <f aca="false" t="array" ref="AB21:AB21">IF(COLUMN() - ($E21 + 5) &lt; 0, 0,
  IF(COLUMN() - ($E21 + 5) = 0, $F21,
    AA21 * (1 - IFERROR(INDEX('Inputs &amp; Assuptions'!$C$13:$C$72, COLUMN() - ($E21 + 5)), 0))
  )
)</f>
        <v>997.229779442665</v>
      </c>
      <c r="AC21" s="80" t="n">
        <f aca="false" t="array" ref="AC21:AC21">IF(COLUMN() - ($E21 + 5) &lt; 0, 0,
  IF(COLUMN() - ($E21 + 5) = 0, $F21,
    AB21 * (1 - IFERROR(INDEX('Inputs &amp; Assuptions'!$C$13:$C$72, COLUMN() - ($E21 + 5)), 0))
  )
)</f>
        <v>982.271332751025</v>
      </c>
      <c r="AD21" s="80" t="n">
        <f aca="false" t="array" ref="AD21:AD21">IF(COLUMN() - ($E21 + 5) &lt; 0, 0,
  IF(COLUMN() - ($E21 + 5) = 0, $F21,
    AC21 * (1 - IFERROR(INDEX('Inputs &amp; Assuptions'!$C$13:$C$72, COLUMN() - ($E21 + 5)), 0))
  )
)</f>
        <v>969.992941091637</v>
      </c>
      <c r="AE21" s="80" t="n">
        <f aca="false" t="array" ref="AE21:AE21">IF(COLUMN() - ($E21 + 5) &lt; 0, 0,
  IF(COLUMN() - ($E21 + 5) = 0, $F21,
    AD21 * (1 - IFERROR(INDEX('Inputs &amp; Assuptions'!$C$13:$C$72, COLUMN() - ($E21 + 5)), 0))
  )
)</f>
        <v>960.293011680721</v>
      </c>
      <c r="AF21" s="80" t="n">
        <f aca="false" t="array" ref="AF21:AF21">IF(COLUMN() - ($E21 + 5) &lt; 0, 0,
  IF(COLUMN() - ($E21 + 5) = 0, $F21,
    AE21 * (1 - IFERROR(INDEX('Inputs &amp; Assuptions'!$C$13:$C$72, COLUMN() - ($E21 + 5)), 0))
  )
)</f>
        <v>955.491546622317</v>
      </c>
      <c r="AG21" s="80" t="n">
        <f aca="false" t="array" ref="AG21:AG21">IF(COLUMN() - ($E21 + 5) &lt; 0, 0,
  IF(COLUMN() - ($E21 + 5) = 0, $F21,
    AF21 * (1 - IFERROR(INDEX('Inputs &amp; Assuptions'!$C$13:$C$72, COLUMN() - ($E21 + 5)), 0))
  )
)</f>
        <v>950.714088889205</v>
      </c>
      <c r="AH21" s="80" t="n">
        <f aca="false" t="array" ref="AH21:AH21">IF(COLUMN() - ($E21 + 5) &lt; 0, 0,
  IF(COLUMN() - ($E21 + 5) = 0, $F21,
    AG21 * (1 - IFERROR(INDEX('Inputs &amp; Assuptions'!$C$13:$C$72, COLUMN() - ($E21 + 5)), 0))
  )
)</f>
        <v>945.960518444759</v>
      </c>
      <c r="AI21" s="80" t="n">
        <f aca="false" t="array" ref="AI21:AI21">IF(COLUMN() - ($E21 + 5) &lt; 0, 0,
  IF(COLUMN() - ($E21 + 5) = 0, $F21,
    AH21 * (1 - IFERROR(INDEX('Inputs &amp; Assuptions'!$C$13:$C$72, COLUMN() - ($E21 + 5)), 0))
  )
)</f>
        <v>941.230715852536</v>
      </c>
      <c r="AJ21" s="80" t="n">
        <f aca="false" t="array" ref="AJ21:AJ21">IF(COLUMN() - ($E21 + 5) &lt; 0, 0,
  IF(COLUMN() - ($E21 + 5) = 0, $F21,
    AI21 * (1 - IFERROR(INDEX('Inputs &amp; Assuptions'!$C$13:$C$72, COLUMN() - ($E21 + 5)), 0))
  )
)</f>
        <v>936.524562273273</v>
      </c>
      <c r="AK21" s="80" t="n">
        <f aca="false" t="array" ref="AK21:AK21">IF(COLUMN() - ($E21 + 5) &lt; 0, 0,
  IF(COLUMN() - ($E21 + 5) = 0, $F21,
    AJ21 * (1 - IFERROR(INDEX('Inputs &amp; Assuptions'!$C$13:$C$72, COLUMN() - ($E21 + 5)), 0))
  )
)</f>
        <v>931.841939461907</v>
      </c>
      <c r="AL21" s="80" t="n">
        <f aca="false" t="array" ref="AL21:AL21">IF(COLUMN() - ($E21 + 5) &lt; 0, 0,
  IF(COLUMN() - ($E21 + 5) = 0, $F21,
    AK21 * (1 - IFERROR(INDEX('Inputs &amp; Assuptions'!$C$13:$C$72, COLUMN() - ($E21 + 5)), 0))
  )
)</f>
        <v>927.182729764597</v>
      </c>
      <c r="AM21" s="80" t="n">
        <f aca="false" t="array" ref="AM21:AM21">IF(COLUMN() - ($E21 + 5) &lt; 0, 0,
  IF(COLUMN() - ($E21 + 5) = 0, $F21,
    AL21 * (1 - IFERROR(INDEX('Inputs &amp; Assuptions'!$C$13:$C$72, COLUMN() - ($E21 + 5)), 0))
  )
)</f>
        <v>922.546816115774</v>
      </c>
      <c r="AN21" s="80" t="n">
        <f aca="false" t="array" ref="AN21:AN21">IF(COLUMN() - ($E21 + 5) &lt; 0, 0,
  IF(COLUMN() - ($E21 + 5) = 0, $F21,
    AM21 * (1 - IFERROR(INDEX('Inputs &amp; Assuptions'!$C$13:$C$72, COLUMN() - ($E21 + 5)), 0))
  )
)</f>
        <v>917.934082035195</v>
      </c>
      <c r="AO21" s="80" t="n">
        <f aca="false" t="array" ref="AO21:AO21">IF(COLUMN() - ($E21 + 5) &lt; 0, 0,
  IF(COLUMN() - ($E21 + 5) = 0, $F21,
    AN21 * (1 - IFERROR(INDEX('Inputs &amp; Assuptions'!$C$13:$C$72, COLUMN() - ($E21 + 5)), 0))
  )
)</f>
        <v>913.344411625019</v>
      </c>
      <c r="AP21" s="80" t="n">
        <f aca="false" t="array" ref="AP21:AP21">IF(COLUMN() - ($E21 + 5) &lt; 0, 0,
  IF(COLUMN() - ($E21 + 5) = 0, $F21,
    AO21 * (1 - IFERROR(INDEX('Inputs &amp; Assuptions'!$C$13:$C$72, COLUMN() - ($E21 + 5)), 0))
  )
)</f>
        <v>908.777689566894</v>
      </c>
      <c r="AQ21" s="80" t="n">
        <f aca="false" t="array" ref="AQ21:AQ21">IF(COLUMN() - ($E21 + 5) &lt; 0, 0,
  IF(COLUMN() - ($E21 + 5) = 0, $F21,
    AP21 * (1 - IFERROR(INDEX('Inputs &amp; Assuptions'!$C$13:$C$72, COLUMN() - ($E21 + 5)), 0))
  )
)</f>
        <v>904.23380111906</v>
      </c>
      <c r="AR21" s="80" t="n">
        <f aca="false" t="array" ref="AR21:AR21">IF(COLUMN() - ($E21 + 5) &lt; 0, 0,
  IF(COLUMN() - ($E21 + 5) = 0, $F21,
    AQ21 * (1 - IFERROR(INDEX('Inputs &amp; Assuptions'!$C$13:$C$72, COLUMN() - ($E21 + 5)), 0))
  )
)</f>
        <v>899.712632113464</v>
      </c>
      <c r="AS21" s="80" t="n">
        <f aca="false" t="array" ref="AS21:AS21">IF(COLUMN() - ($E21 + 5) &lt; 0, 0,
  IF(COLUMN() - ($E21 + 5) = 0, $F21,
    AR21 * (1 - IFERROR(INDEX('Inputs &amp; Assuptions'!$C$13:$C$72, COLUMN() - ($E21 + 5)), 0))
  )
)</f>
        <v>895.214068952897</v>
      </c>
      <c r="AT21" s="80" t="n">
        <f aca="false" t="array" ref="AT21:AT21">IF(COLUMN() - ($E21 + 5) &lt; 0, 0,
  IF(COLUMN() - ($E21 + 5) = 0, $F21,
    AS21 * (1 - IFERROR(INDEX('Inputs &amp; Assuptions'!$C$13:$C$72, COLUMN() - ($E21 + 5)), 0))
  )
)</f>
        <v>890.737998608132</v>
      </c>
      <c r="AU21" s="80" t="n">
        <f aca="false" t="array" ref="AU21:AU21">IF(COLUMN() - ($E21 + 5) &lt; 0, 0,
  IF(COLUMN() - ($E21 + 5) = 0, $F21,
    AT21 * (1 - IFERROR(INDEX('Inputs &amp; Assuptions'!$C$13:$C$72, COLUMN() - ($E21 + 5)), 0))
  )
)</f>
        <v>886.284308615092</v>
      </c>
      <c r="AV21" s="80" t="n">
        <f aca="false" t="array" ref="AV21:AV21">IF(COLUMN() - ($E21 + 5) &lt; 0, 0,
  IF(COLUMN() - ($E21 + 5) = 0, $F21,
    AU21 * (1 - IFERROR(INDEX('Inputs &amp; Assuptions'!$C$13:$C$72, COLUMN() - ($E21 + 5)), 0))
  )
)</f>
        <v>881.852887072016</v>
      </c>
      <c r="AW21" s="80" t="n">
        <f aca="false" t="array" ref="AW21:AW21">IF(COLUMN() - ($E21 + 5) &lt; 0, 0,
  IF(COLUMN() - ($E21 + 5) = 0, $F21,
    AV21 * (1 - IFERROR(INDEX('Inputs &amp; Assuptions'!$C$13:$C$72, COLUMN() - ($E21 + 5)), 0))
  )
)</f>
        <v>877.443622636656</v>
      </c>
      <c r="AX21" s="80" t="n">
        <f aca="false" t="array" ref="AX21:AX21">IF(COLUMN() - ($E21 + 5) &lt; 0, 0,
  IF(COLUMN() - ($E21 + 5) = 0, $F21,
    AW21 * (1 - IFERROR(INDEX('Inputs &amp; Assuptions'!$C$13:$C$72, COLUMN() - ($E21 + 5)), 0))
  )
)</f>
        <v>873.056404523473</v>
      </c>
      <c r="AY21" s="80" t="n">
        <f aca="false" t="array" ref="AY21:AY21">IF(COLUMN() - ($E21 + 5) &lt; 0, 0,
  IF(COLUMN() - ($E21 + 5) = 0, $F21,
    AX21 * (1 - IFERROR(INDEX('Inputs &amp; Assuptions'!$C$13:$C$72, COLUMN() - ($E21 + 5)), 0))
  )
)</f>
        <v>868.691122500856</v>
      </c>
      <c r="AZ21" s="80" t="n">
        <f aca="false" t="array" ref="AZ21:AZ21">IF(COLUMN() - ($E21 + 5) &lt; 0, 0,
  IF(COLUMN() - ($E21 + 5) = 0, $F21,
    AY21 * (1 - IFERROR(INDEX('Inputs &amp; Assuptions'!$C$13:$C$72, COLUMN() - ($E21 + 5)), 0))
  )
)</f>
        <v>864.347666888351</v>
      </c>
      <c r="BA21" s="80" t="n">
        <f aca="false" t="array" ref="BA21:BA21">IF(COLUMN() - ($E21 + 5) &lt; 0, 0,
  IF(COLUMN() - ($E21 + 5) = 0, $F21,
    AZ21 * (1 - IFERROR(INDEX('Inputs &amp; Assuptions'!$C$13:$C$72, COLUMN() - ($E21 + 5)), 0))
  )
)</f>
        <v>860.02592855391</v>
      </c>
      <c r="BB21" s="80" t="n">
        <f aca="false" t="array" ref="BB21:BB21">IF(COLUMN() - ($E21 + 5) &lt; 0, 0,
  IF(COLUMN() - ($E21 + 5) = 0, $F21,
    BA21 * (1 - IFERROR(INDEX('Inputs &amp; Assuptions'!$C$13:$C$72, COLUMN() - ($E21 + 5)), 0))
  )
)</f>
        <v>855.72579891114</v>
      </c>
      <c r="BC21" s="80" t="n">
        <f aca="false" t="array" ref="BC21:BC21">IF(COLUMN() - ($E21 + 5) &lt; 0, 0,
  IF(COLUMN() - ($E21 + 5) = 0, $F21,
    BB21 * (1 - IFERROR(INDEX('Inputs &amp; Assuptions'!$C$13:$C$72, COLUMN() - ($E21 + 5)), 0))
  )
)</f>
        <v>851.447169916584</v>
      </c>
      <c r="BD21" s="80" t="n">
        <f aca="false" t="array" ref="BD21:BD21">IF(COLUMN() - ($E21 + 5) &lt; 0, 0,
  IF(COLUMN() - ($E21 + 5) = 0, $F21,
    BC21 * (1 - IFERROR(INDEX('Inputs &amp; Assuptions'!$C$13:$C$72, COLUMN() - ($E21 + 5)), 0))
  )
)</f>
        <v>847.189934067001</v>
      </c>
      <c r="BE21" s="80" t="n">
        <f aca="false" t="array" ref="BE21:BE21">IF(COLUMN() - ($E21 + 5) &lt; 0, 0,
  IF(COLUMN() - ($E21 + 5) = 0, $F21,
    BD21 * (1 - IFERROR(INDEX('Inputs &amp; Assuptions'!$C$13:$C$72, COLUMN() - ($E21 + 5)), 0))
  )
)</f>
        <v>842.953984396666</v>
      </c>
      <c r="BF21" s="80" t="n">
        <f aca="false" t="array" ref="BF21:BF21">IF(COLUMN() - ($E21 + 5) &lt; 0, 0,
  IF(COLUMN() - ($E21 + 5) = 0, $F21,
    BE21 * (1 - IFERROR(INDEX('Inputs &amp; Assuptions'!$C$13:$C$72, COLUMN() - ($E21 + 5)), 0))
  )
)</f>
        <v>838.739214474683</v>
      </c>
      <c r="BG21" s="80" t="n">
        <f aca="false" t="array" ref="BG21:BG21">IF(COLUMN() - ($E21 + 5) &lt; 0, 0,
  IF(COLUMN() - ($E21 + 5) = 0, $F21,
    BF21 * (1 - IFERROR(INDEX('Inputs &amp; Assuptions'!$C$13:$C$72, COLUMN() - ($E21 + 5)), 0))
  )
)</f>
        <v>834.54551840231</v>
      </c>
      <c r="BH21" s="80" t="n">
        <f aca="false" t="array" ref="BH21:BH21">IF(COLUMN() - ($E21 + 5) &lt; 0, 0,
  IF(COLUMN() - ($E21 + 5) = 0, $F21,
    BG21 * (1 - IFERROR(INDEX('Inputs &amp; Assuptions'!$C$13:$C$72, COLUMN() - ($E21 + 5)), 0))
  )
)</f>
        <v>830.372790810298</v>
      </c>
      <c r="BI21" s="80" t="n">
        <f aca="false" t="array" ref="BI21:BI21">IF(COLUMN() - ($E21 + 5) &lt; 0, 0,
  IF(COLUMN() - ($E21 + 5) = 0, $F21,
    BH21 * (1 - IFERROR(INDEX('Inputs &amp; Assuptions'!$C$13:$C$72, COLUMN() - ($E21 + 5)), 0))
  )
)</f>
        <v>826.220926856247</v>
      </c>
      <c r="BJ21" s="80" t="n">
        <f aca="false" t="array" ref="BJ21:BJ21">IF(COLUMN() - ($E21 + 5) &lt; 0, 0,
  IF(COLUMN() - ($E21 + 5) = 0, $F21,
    BI21 * (1 - IFERROR(INDEX('Inputs &amp; Assuptions'!$C$13:$C$72, COLUMN() - ($E21 + 5)), 0))
  )
)</f>
        <v>822.089822221965</v>
      </c>
      <c r="BK21" s="80" t="n">
        <f aca="false" t="array" ref="BK21:BK21">IF(COLUMN() - ($E21 + 5) &lt; 0, 0,
  IF(COLUMN() - ($E21 + 5) = 0, $F21,
    BJ21 * (1 - IFERROR(INDEX('Inputs &amp; Assuptions'!$C$13:$C$72, COLUMN() - ($E21 + 5)), 0))
  )
)</f>
        <v>817.979373110856</v>
      </c>
      <c r="BL21" s="80" t="n">
        <f aca="false" t="array" ref="BL21:BL21">IF(COLUMN() - ($E21 + 5) &lt; 0, 0,
  IF(COLUMN() - ($E21 + 5) = 0, $F21,
    BK21 * (1 - IFERROR(INDEX('Inputs &amp; Assuptions'!$C$13:$C$72, COLUMN() - ($E21 + 5)), 0))
  )
)</f>
        <v>813.889476245301</v>
      </c>
      <c r="BM21" s="81" t="n">
        <f aca="false" t="array" ref="BM21:BM21">IF(COLUMN() - ($E21 + 5) &lt; 0, 0,
  IF(COLUMN() - ($E21 + 5) = 0, $F21,
    BL21 * (1 - IFERROR(INDEX('Inputs &amp; Assuptions'!$C$13:$C$72, COLUMN() - ($E21 + 5)), 0))
  )
)</f>
        <v>809.820028864075</v>
      </c>
      <c r="BN21" s="76"/>
    </row>
    <row r="22" customFormat="false" ht="14.25" hidden="false" customHeight="false" outlineLevel="0" collapsed="false">
      <c r="A22" s="29" t="n">
        <f aca="false">A21+1</f>
        <v>17</v>
      </c>
      <c r="B22" s="77" t="n">
        <f aca="false">IF(MOD($A22-1, 12) = 0, $B21 * 1.05, $B21)</f>
        <v>1575</v>
      </c>
      <c r="C22" s="78" t="n">
        <f aca="false">$B22*(1-'Inputs &amp; Assuptions'!$C$12)</f>
        <v>1228.5</v>
      </c>
      <c r="E22" s="29" t="n">
        <f aca="false">E21+1</f>
        <v>17</v>
      </c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 t="n">
        <f aca="false">$C22</f>
        <v>1228.5</v>
      </c>
      <c r="W22" s="80" t="n">
        <f aca="false" t="array" ref="W22:W22">IF(COLUMN() - ($E22 + 5) &lt; 0, 0,
  IF(COLUMN() - ($E22 + 5) = 0, $F22,
    V22 * (1 - IFERROR(INDEX('Inputs &amp; Assuptions'!$C$13:$C$72, COLUMN() - ($E22 + 5)), 0))
  )
)</f>
        <v>1164.00375</v>
      </c>
      <c r="X22" s="80" t="n">
        <f aca="false" t="array" ref="X22:X22">IF(COLUMN() - ($E22 + 5) &lt; 0, 0,
  IF(COLUMN() - ($E22 + 5) = 0, $F22,
    W22 * (1 - IFERROR(INDEX('Inputs &amp; Assuptions'!$C$13:$C$72, COLUMN() - ($E22 + 5)), 0))
  )
)</f>
        <v>1117.4436</v>
      </c>
      <c r="Y22" s="80" t="n">
        <f aca="false" t="array" ref="Y22:Y22">IF(COLUMN() - ($E22 + 5) &lt; 0, 0,
  IF(COLUMN() - ($E22 + 5) = 0, $F22,
    X22 * (1 - IFERROR(INDEX('Inputs &amp; Assuptions'!$C$13:$C$72, COLUMN() - ($E22 + 5)), 0))
  )
)</f>
        <v>1086.713901</v>
      </c>
      <c r="Z22" s="80" t="n">
        <f aca="false" t="array" ref="Z22:Z22">IF(COLUMN() - ($E22 + 5) &lt; 0, 0,
  IF(COLUMN() - ($E22 + 5) = 0, $F22,
    Y22 * (1 - IFERROR(INDEX('Inputs &amp; Assuptions'!$C$13:$C$72, COLUMN() - ($E22 + 5)), 0))
  )
)</f>
        <v>1059.546053475</v>
      </c>
      <c r="AA22" s="80" t="n">
        <f aca="false" t="array" ref="AA22:AA22">IF(COLUMN() - ($E22 + 5) &lt; 0, 0,
  IF(COLUMN() - ($E22 + 5) = 0, $F22,
    Z22 * (1 - IFERROR(INDEX('Inputs &amp; Assuptions'!$C$13:$C$72, COLUMN() - ($E22 + 5)), 0))
  )
)</f>
        <v>1035.70626727181</v>
      </c>
      <c r="AB22" s="80" t="n">
        <f aca="false" t="array" ref="AB22:AB22">IF(COLUMN() - ($E22 + 5) &lt; 0, 0,
  IF(COLUMN() - ($E22 + 5) = 0, $F22,
    AA22 * (1 - IFERROR(INDEX('Inputs &amp; Assuptions'!$C$13:$C$72, COLUMN() - ($E22 + 5)), 0))
  )
)</f>
        <v>1014.99214192638</v>
      </c>
      <c r="AC22" s="80" t="n">
        <f aca="false" t="array" ref="AC22:AC22">IF(COLUMN() - ($E22 + 5) &lt; 0, 0,
  IF(COLUMN() - ($E22 + 5) = 0, $F22,
    AB22 * (1 - IFERROR(INDEX('Inputs &amp; Assuptions'!$C$13:$C$72, COLUMN() - ($E22 + 5)), 0))
  )
)</f>
        <v>997.229779442665</v>
      </c>
      <c r="AD22" s="80" t="n">
        <f aca="false" t="array" ref="AD22:AD22">IF(COLUMN() - ($E22 + 5) &lt; 0, 0,
  IF(COLUMN() - ($E22 + 5) = 0, $F22,
    AC22 * (1 - IFERROR(INDEX('Inputs &amp; Assuptions'!$C$13:$C$72, COLUMN() - ($E22 + 5)), 0))
  )
)</f>
        <v>982.271332751025</v>
      </c>
      <c r="AE22" s="80" t="n">
        <f aca="false" t="array" ref="AE22:AE22">IF(COLUMN() - ($E22 + 5) &lt; 0, 0,
  IF(COLUMN() - ($E22 + 5) = 0, $F22,
    AD22 * (1 - IFERROR(INDEX('Inputs &amp; Assuptions'!$C$13:$C$72, COLUMN() - ($E22 + 5)), 0))
  )
)</f>
        <v>969.992941091637</v>
      </c>
      <c r="AF22" s="80" t="n">
        <f aca="false" t="array" ref="AF22:AF22">IF(COLUMN() - ($E22 + 5) &lt; 0, 0,
  IF(COLUMN() - ($E22 + 5) = 0, $F22,
    AE22 * (1 - IFERROR(INDEX('Inputs &amp; Assuptions'!$C$13:$C$72, COLUMN() - ($E22 + 5)), 0))
  )
)</f>
        <v>960.293011680721</v>
      </c>
      <c r="AG22" s="80" t="n">
        <f aca="false" t="array" ref="AG22:AG22">IF(COLUMN() - ($E22 + 5) &lt; 0, 0,
  IF(COLUMN() - ($E22 + 5) = 0, $F22,
    AF22 * (1 - IFERROR(INDEX('Inputs &amp; Assuptions'!$C$13:$C$72, COLUMN() - ($E22 + 5)), 0))
  )
)</f>
        <v>955.491546622317</v>
      </c>
      <c r="AH22" s="80" t="n">
        <f aca="false" t="array" ref="AH22:AH22">IF(COLUMN() - ($E22 + 5) &lt; 0, 0,
  IF(COLUMN() - ($E22 + 5) = 0, $F22,
    AG22 * (1 - IFERROR(INDEX('Inputs &amp; Assuptions'!$C$13:$C$72, COLUMN() - ($E22 + 5)), 0))
  )
)</f>
        <v>950.714088889205</v>
      </c>
      <c r="AI22" s="80" t="n">
        <f aca="false" t="array" ref="AI22:AI22">IF(COLUMN() - ($E22 + 5) &lt; 0, 0,
  IF(COLUMN() - ($E22 + 5) = 0, $F22,
    AH22 * (1 - IFERROR(INDEX('Inputs &amp; Assuptions'!$C$13:$C$72, COLUMN() - ($E22 + 5)), 0))
  )
)</f>
        <v>945.960518444759</v>
      </c>
      <c r="AJ22" s="80" t="n">
        <f aca="false" t="array" ref="AJ22:AJ22">IF(COLUMN() - ($E22 + 5) &lt; 0, 0,
  IF(COLUMN() - ($E22 + 5) = 0, $F22,
    AI22 * (1 - IFERROR(INDEX('Inputs &amp; Assuptions'!$C$13:$C$72, COLUMN() - ($E22 + 5)), 0))
  )
)</f>
        <v>941.230715852536</v>
      </c>
      <c r="AK22" s="80" t="n">
        <f aca="false" t="array" ref="AK22:AK22">IF(COLUMN() - ($E22 + 5) &lt; 0, 0,
  IF(COLUMN() - ($E22 + 5) = 0, $F22,
    AJ22 * (1 - IFERROR(INDEX('Inputs &amp; Assuptions'!$C$13:$C$72, COLUMN() - ($E22 + 5)), 0))
  )
)</f>
        <v>936.524562273273</v>
      </c>
      <c r="AL22" s="80" t="n">
        <f aca="false" t="array" ref="AL22:AL22">IF(COLUMN() - ($E22 + 5) &lt; 0, 0,
  IF(COLUMN() - ($E22 + 5) = 0, $F22,
    AK22 * (1 - IFERROR(INDEX('Inputs &amp; Assuptions'!$C$13:$C$72, COLUMN() - ($E22 + 5)), 0))
  )
)</f>
        <v>931.841939461907</v>
      </c>
      <c r="AM22" s="80" t="n">
        <f aca="false" t="array" ref="AM22:AM22">IF(COLUMN() - ($E22 + 5) &lt; 0, 0,
  IF(COLUMN() - ($E22 + 5) = 0, $F22,
    AL22 * (1 - IFERROR(INDEX('Inputs &amp; Assuptions'!$C$13:$C$72, COLUMN() - ($E22 + 5)), 0))
  )
)</f>
        <v>927.182729764597</v>
      </c>
      <c r="AN22" s="80" t="n">
        <f aca="false" t="array" ref="AN22:AN22">IF(COLUMN() - ($E22 + 5) &lt; 0, 0,
  IF(COLUMN() - ($E22 + 5) = 0, $F22,
    AM22 * (1 - IFERROR(INDEX('Inputs &amp; Assuptions'!$C$13:$C$72, COLUMN() - ($E22 + 5)), 0))
  )
)</f>
        <v>922.546816115774</v>
      </c>
      <c r="AO22" s="80" t="n">
        <f aca="false" t="array" ref="AO22:AO22">IF(COLUMN() - ($E22 + 5) &lt; 0, 0,
  IF(COLUMN() - ($E22 + 5) = 0, $F22,
    AN22 * (1 - IFERROR(INDEX('Inputs &amp; Assuptions'!$C$13:$C$72, COLUMN() - ($E22 + 5)), 0))
  )
)</f>
        <v>917.934082035195</v>
      </c>
      <c r="AP22" s="80" t="n">
        <f aca="false" t="array" ref="AP22:AP22">IF(COLUMN() - ($E22 + 5) &lt; 0, 0,
  IF(COLUMN() - ($E22 + 5) = 0, $F22,
    AO22 * (1 - IFERROR(INDEX('Inputs &amp; Assuptions'!$C$13:$C$72, COLUMN() - ($E22 + 5)), 0))
  )
)</f>
        <v>913.344411625019</v>
      </c>
      <c r="AQ22" s="80" t="n">
        <f aca="false" t="array" ref="AQ22:AQ22">IF(COLUMN() - ($E22 + 5) &lt; 0, 0,
  IF(COLUMN() - ($E22 + 5) = 0, $F22,
    AP22 * (1 - IFERROR(INDEX('Inputs &amp; Assuptions'!$C$13:$C$72, COLUMN() - ($E22 + 5)), 0))
  )
)</f>
        <v>908.777689566894</v>
      </c>
      <c r="AR22" s="80" t="n">
        <f aca="false" t="array" ref="AR22:AR22">IF(COLUMN() - ($E22 + 5) &lt; 0, 0,
  IF(COLUMN() - ($E22 + 5) = 0, $F22,
    AQ22 * (1 - IFERROR(INDEX('Inputs &amp; Assuptions'!$C$13:$C$72, COLUMN() - ($E22 + 5)), 0))
  )
)</f>
        <v>904.23380111906</v>
      </c>
      <c r="AS22" s="80" t="n">
        <f aca="false" t="array" ref="AS22:AS22">IF(COLUMN() - ($E22 + 5) &lt; 0, 0,
  IF(COLUMN() - ($E22 + 5) = 0, $F22,
    AR22 * (1 - IFERROR(INDEX('Inputs &amp; Assuptions'!$C$13:$C$72, COLUMN() - ($E22 + 5)), 0))
  )
)</f>
        <v>899.712632113464</v>
      </c>
      <c r="AT22" s="80" t="n">
        <f aca="false" t="array" ref="AT22:AT22">IF(COLUMN() - ($E22 + 5) &lt; 0, 0,
  IF(COLUMN() - ($E22 + 5) = 0, $F22,
    AS22 * (1 - IFERROR(INDEX('Inputs &amp; Assuptions'!$C$13:$C$72, COLUMN() - ($E22 + 5)), 0))
  )
)</f>
        <v>895.214068952897</v>
      </c>
      <c r="AU22" s="80" t="n">
        <f aca="false" t="array" ref="AU22:AU22">IF(COLUMN() - ($E22 + 5) &lt; 0, 0,
  IF(COLUMN() - ($E22 + 5) = 0, $F22,
    AT22 * (1 - IFERROR(INDEX('Inputs &amp; Assuptions'!$C$13:$C$72, COLUMN() - ($E22 + 5)), 0))
  )
)</f>
        <v>890.737998608132</v>
      </c>
      <c r="AV22" s="80" t="n">
        <f aca="false" t="array" ref="AV22:AV22">IF(COLUMN() - ($E22 + 5) &lt; 0, 0,
  IF(COLUMN() - ($E22 + 5) = 0, $F22,
    AU22 * (1 - IFERROR(INDEX('Inputs &amp; Assuptions'!$C$13:$C$72, COLUMN() - ($E22 + 5)), 0))
  )
)</f>
        <v>886.284308615092</v>
      </c>
      <c r="AW22" s="80" t="n">
        <f aca="false" t="array" ref="AW22:AW22">IF(COLUMN() - ($E22 + 5) &lt; 0, 0,
  IF(COLUMN() - ($E22 + 5) = 0, $F22,
    AV22 * (1 - IFERROR(INDEX('Inputs &amp; Assuptions'!$C$13:$C$72, COLUMN() - ($E22 + 5)), 0))
  )
)</f>
        <v>881.852887072016</v>
      </c>
      <c r="AX22" s="80" t="n">
        <f aca="false" t="array" ref="AX22:AX22">IF(COLUMN() - ($E22 + 5) &lt; 0, 0,
  IF(COLUMN() - ($E22 + 5) = 0, $F22,
    AW22 * (1 - IFERROR(INDEX('Inputs &amp; Assuptions'!$C$13:$C$72, COLUMN() - ($E22 + 5)), 0))
  )
)</f>
        <v>877.443622636656</v>
      </c>
      <c r="AY22" s="80" t="n">
        <f aca="false" t="array" ref="AY22:AY22">IF(COLUMN() - ($E22 + 5) &lt; 0, 0,
  IF(COLUMN() - ($E22 + 5) = 0, $F22,
    AX22 * (1 - IFERROR(INDEX('Inputs &amp; Assuptions'!$C$13:$C$72, COLUMN() - ($E22 + 5)), 0))
  )
)</f>
        <v>873.056404523473</v>
      </c>
      <c r="AZ22" s="80" t="n">
        <f aca="false" t="array" ref="AZ22:AZ22">IF(COLUMN() - ($E22 + 5) &lt; 0, 0,
  IF(COLUMN() - ($E22 + 5) = 0, $F22,
    AY22 * (1 - IFERROR(INDEX('Inputs &amp; Assuptions'!$C$13:$C$72, COLUMN() - ($E22 + 5)), 0))
  )
)</f>
        <v>868.691122500856</v>
      </c>
      <c r="BA22" s="80" t="n">
        <f aca="false" t="array" ref="BA22:BA22">IF(COLUMN() - ($E22 + 5) &lt; 0, 0,
  IF(COLUMN() - ($E22 + 5) = 0, $F22,
    AZ22 * (1 - IFERROR(INDEX('Inputs &amp; Assuptions'!$C$13:$C$72, COLUMN() - ($E22 + 5)), 0))
  )
)</f>
        <v>864.347666888351</v>
      </c>
      <c r="BB22" s="80" t="n">
        <f aca="false" t="array" ref="BB22:BB22">IF(COLUMN() - ($E22 + 5) &lt; 0, 0,
  IF(COLUMN() - ($E22 + 5) = 0, $F22,
    BA22 * (1 - IFERROR(INDEX('Inputs &amp; Assuptions'!$C$13:$C$72, COLUMN() - ($E22 + 5)), 0))
  )
)</f>
        <v>860.02592855391</v>
      </c>
      <c r="BC22" s="80" t="n">
        <f aca="false" t="array" ref="BC22:BC22">IF(COLUMN() - ($E22 + 5) &lt; 0, 0,
  IF(COLUMN() - ($E22 + 5) = 0, $F22,
    BB22 * (1 - IFERROR(INDEX('Inputs &amp; Assuptions'!$C$13:$C$72, COLUMN() - ($E22 + 5)), 0))
  )
)</f>
        <v>855.72579891114</v>
      </c>
      <c r="BD22" s="80" t="n">
        <f aca="false" t="array" ref="BD22:BD22">IF(COLUMN() - ($E22 + 5) &lt; 0, 0,
  IF(COLUMN() - ($E22 + 5) = 0, $F22,
    BC22 * (1 - IFERROR(INDEX('Inputs &amp; Assuptions'!$C$13:$C$72, COLUMN() - ($E22 + 5)), 0))
  )
)</f>
        <v>851.447169916584</v>
      </c>
      <c r="BE22" s="80" t="n">
        <f aca="false" t="array" ref="BE22:BE22">IF(COLUMN() - ($E22 + 5) &lt; 0, 0,
  IF(COLUMN() - ($E22 + 5) = 0, $F22,
    BD22 * (1 - IFERROR(INDEX('Inputs &amp; Assuptions'!$C$13:$C$72, COLUMN() - ($E22 + 5)), 0))
  )
)</f>
        <v>847.189934067001</v>
      </c>
      <c r="BF22" s="80" t="n">
        <f aca="false" t="array" ref="BF22:BF22">IF(COLUMN() - ($E22 + 5) &lt; 0, 0,
  IF(COLUMN() - ($E22 + 5) = 0, $F22,
    BE22 * (1 - IFERROR(INDEX('Inputs &amp; Assuptions'!$C$13:$C$72, COLUMN() - ($E22 + 5)), 0))
  )
)</f>
        <v>842.953984396666</v>
      </c>
      <c r="BG22" s="80" t="n">
        <f aca="false" t="array" ref="BG22:BG22">IF(COLUMN() - ($E22 + 5) &lt; 0, 0,
  IF(COLUMN() - ($E22 + 5) = 0, $F22,
    BF22 * (1 - IFERROR(INDEX('Inputs &amp; Assuptions'!$C$13:$C$72, COLUMN() - ($E22 + 5)), 0))
  )
)</f>
        <v>838.739214474683</v>
      </c>
      <c r="BH22" s="80" t="n">
        <f aca="false" t="array" ref="BH22:BH22">IF(COLUMN() - ($E22 + 5) &lt; 0, 0,
  IF(COLUMN() - ($E22 + 5) = 0, $F22,
    BG22 * (1 - IFERROR(INDEX('Inputs &amp; Assuptions'!$C$13:$C$72, COLUMN() - ($E22 + 5)), 0))
  )
)</f>
        <v>834.54551840231</v>
      </c>
      <c r="BI22" s="80" t="n">
        <f aca="false" t="array" ref="BI22:BI22">IF(COLUMN() - ($E22 + 5) &lt; 0, 0,
  IF(COLUMN() - ($E22 + 5) = 0, $F22,
    BH22 * (1 - IFERROR(INDEX('Inputs &amp; Assuptions'!$C$13:$C$72, COLUMN() - ($E22 + 5)), 0))
  )
)</f>
        <v>830.372790810298</v>
      </c>
      <c r="BJ22" s="80" t="n">
        <f aca="false" t="array" ref="BJ22:BJ22">IF(COLUMN() - ($E22 + 5) &lt; 0, 0,
  IF(COLUMN() - ($E22 + 5) = 0, $F22,
    BI22 * (1 - IFERROR(INDEX('Inputs &amp; Assuptions'!$C$13:$C$72, COLUMN() - ($E22 + 5)), 0))
  )
)</f>
        <v>826.220926856247</v>
      </c>
      <c r="BK22" s="80" t="n">
        <f aca="false" t="array" ref="BK22:BK22">IF(COLUMN() - ($E22 + 5) &lt; 0, 0,
  IF(COLUMN() - ($E22 + 5) = 0, $F22,
    BJ22 * (1 - IFERROR(INDEX('Inputs &amp; Assuptions'!$C$13:$C$72, COLUMN() - ($E22 + 5)), 0))
  )
)</f>
        <v>822.089822221965</v>
      </c>
      <c r="BL22" s="80" t="n">
        <f aca="false" t="array" ref="BL22:BL22">IF(COLUMN() - ($E22 + 5) &lt; 0, 0,
  IF(COLUMN() - ($E22 + 5) = 0, $F22,
    BK22 * (1 - IFERROR(INDEX('Inputs &amp; Assuptions'!$C$13:$C$72, COLUMN() - ($E22 + 5)), 0))
  )
)</f>
        <v>817.979373110856</v>
      </c>
      <c r="BM22" s="81" t="n">
        <f aca="false" t="array" ref="BM22:BM22">IF(COLUMN() - ($E22 + 5) &lt; 0, 0,
  IF(COLUMN() - ($E22 + 5) = 0, $F22,
    BL22 * (1 - IFERROR(INDEX('Inputs &amp; Assuptions'!$C$13:$C$72, COLUMN() - ($E22 + 5)), 0))
  )
)</f>
        <v>813.889476245301</v>
      </c>
      <c r="BN22" s="76"/>
    </row>
    <row r="23" customFormat="false" ht="14.25" hidden="false" customHeight="false" outlineLevel="0" collapsed="false">
      <c r="A23" s="29" t="n">
        <f aca="false">A22+1</f>
        <v>18</v>
      </c>
      <c r="B23" s="77" t="n">
        <f aca="false">IF(MOD($A23-1, 12) = 0, $B22 * 1.05, $B22)</f>
        <v>1575</v>
      </c>
      <c r="C23" s="78" t="n">
        <f aca="false">$B23*(1-'Inputs &amp; Assuptions'!$C$12)</f>
        <v>1228.5</v>
      </c>
      <c r="E23" s="29" t="n">
        <f aca="false">E22+1</f>
        <v>18</v>
      </c>
      <c r="F23" s="79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 t="n">
        <f aca="false">$C23</f>
        <v>1228.5</v>
      </c>
      <c r="X23" s="80" t="n">
        <f aca="false" t="array" ref="X23:X23">IF(COLUMN() - ($E23 + 5) &lt; 0, 0,
  IF(COLUMN() - ($E23 + 5) = 0, $F23,
    W23 * (1 - IFERROR(INDEX('Inputs &amp; Assuptions'!$C$13:$C$72, COLUMN() - ($E23 + 5)), 0))
  )
)</f>
        <v>1164.00375</v>
      </c>
      <c r="Y23" s="80" t="n">
        <f aca="false" t="array" ref="Y23:Y23">IF(COLUMN() - ($E23 + 5) &lt; 0, 0,
  IF(COLUMN() - ($E23 + 5) = 0, $F23,
    X23 * (1 - IFERROR(INDEX('Inputs &amp; Assuptions'!$C$13:$C$72, COLUMN() - ($E23 + 5)), 0))
  )
)</f>
        <v>1117.4436</v>
      </c>
      <c r="Z23" s="80" t="n">
        <f aca="false" t="array" ref="Z23:Z23">IF(COLUMN() - ($E23 + 5) &lt; 0, 0,
  IF(COLUMN() - ($E23 + 5) = 0, $F23,
    Y23 * (1 - IFERROR(INDEX('Inputs &amp; Assuptions'!$C$13:$C$72, COLUMN() - ($E23 + 5)), 0))
  )
)</f>
        <v>1086.713901</v>
      </c>
      <c r="AA23" s="80" t="n">
        <f aca="false" t="array" ref="AA23:AA23">IF(COLUMN() - ($E23 + 5) &lt; 0, 0,
  IF(COLUMN() - ($E23 + 5) = 0, $F23,
    Z23 * (1 - IFERROR(INDEX('Inputs &amp; Assuptions'!$C$13:$C$72, COLUMN() - ($E23 + 5)), 0))
  )
)</f>
        <v>1059.546053475</v>
      </c>
      <c r="AB23" s="80" t="n">
        <f aca="false" t="array" ref="AB23:AB23">IF(COLUMN() - ($E23 + 5) &lt; 0, 0,
  IF(COLUMN() - ($E23 + 5) = 0, $F23,
    AA23 * (1 - IFERROR(INDEX('Inputs &amp; Assuptions'!$C$13:$C$72, COLUMN() - ($E23 + 5)), 0))
  )
)</f>
        <v>1035.70626727181</v>
      </c>
      <c r="AC23" s="80" t="n">
        <f aca="false" t="array" ref="AC23:AC23">IF(COLUMN() - ($E23 + 5) &lt; 0, 0,
  IF(COLUMN() - ($E23 + 5) = 0, $F23,
    AB23 * (1 - IFERROR(INDEX('Inputs &amp; Assuptions'!$C$13:$C$72, COLUMN() - ($E23 + 5)), 0))
  )
)</f>
        <v>1014.99214192638</v>
      </c>
      <c r="AD23" s="80" t="n">
        <f aca="false" t="array" ref="AD23:AD23">IF(COLUMN() - ($E23 + 5) &lt; 0, 0,
  IF(COLUMN() - ($E23 + 5) = 0, $F23,
    AC23 * (1 - IFERROR(INDEX('Inputs &amp; Assuptions'!$C$13:$C$72, COLUMN() - ($E23 + 5)), 0))
  )
)</f>
        <v>997.229779442665</v>
      </c>
      <c r="AE23" s="80" t="n">
        <f aca="false" t="array" ref="AE23:AE23">IF(COLUMN() - ($E23 + 5) &lt; 0, 0,
  IF(COLUMN() - ($E23 + 5) = 0, $F23,
    AD23 * (1 - IFERROR(INDEX('Inputs &amp; Assuptions'!$C$13:$C$72, COLUMN() - ($E23 + 5)), 0))
  )
)</f>
        <v>982.271332751025</v>
      </c>
      <c r="AF23" s="80" t="n">
        <f aca="false" t="array" ref="AF23:AF23">IF(COLUMN() - ($E23 + 5) &lt; 0, 0,
  IF(COLUMN() - ($E23 + 5) = 0, $F23,
    AE23 * (1 - IFERROR(INDEX('Inputs &amp; Assuptions'!$C$13:$C$72, COLUMN() - ($E23 + 5)), 0))
  )
)</f>
        <v>969.992941091637</v>
      </c>
      <c r="AG23" s="80" t="n">
        <f aca="false" t="array" ref="AG23:AG23">IF(COLUMN() - ($E23 + 5) &lt; 0, 0,
  IF(COLUMN() - ($E23 + 5) = 0, $F23,
    AF23 * (1 - IFERROR(INDEX('Inputs &amp; Assuptions'!$C$13:$C$72, COLUMN() - ($E23 + 5)), 0))
  )
)</f>
        <v>960.293011680721</v>
      </c>
      <c r="AH23" s="80" t="n">
        <f aca="false" t="array" ref="AH23:AH23">IF(COLUMN() - ($E23 + 5) &lt; 0, 0,
  IF(COLUMN() - ($E23 + 5) = 0, $F23,
    AG23 * (1 - IFERROR(INDEX('Inputs &amp; Assuptions'!$C$13:$C$72, COLUMN() - ($E23 + 5)), 0))
  )
)</f>
        <v>955.491546622317</v>
      </c>
      <c r="AI23" s="80" t="n">
        <f aca="false" t="array" ref="AI23:AI23">IF(COLUMN() - ($E23 + 5) &lt; 0, 0,
  IF(COLUMN() - ($E23 + 5) = 0, $F23,
    AH23 * (1 - IFERROR(INDEX('Inputs &amp; Assuptions'!$C$13:$C$72, COLUMN() - ($E23 + 5)), 0))
  )
)</f>
        <v>950.714088889205</v>
      </c>
      <c r="AJ23" s="80" t="n">
        <f aca="false" t="array" ref="AJ23:AJ23">IF(COLUMN() - ($E23 + 5) &lt; 0, 0,
  IF(COLUMN() - ($E23 + 5) = 0, $F23,
    AI23 * (1 - IFERROR(INDEX('Inputs &amp; Assuptions'!$C$13:$C$72, COLUMN() - ($E23 + 5)), 0))
  )
)</f>
        <v>945.960518444759</v>
      </c>
      <c r="AK23" s="80" t="n">
        <f aca="false" t="array" ref="AK23:AK23">IF(COLUMN() - ($E23 + 5) &lt; 0, 0,
  IF(COLUMN() - ($E23 + 5) = 0, $F23,
    AJ23 * (1 - IFERROR(INDEX('Inputs &amp; Assuptions'!$C$13:$C$72, COLUMN() - ($E23 + 5)), 0))
  )
)</f>
        <v>941.230715852536</v>
      </c>
      <c r="AL23" s="80" t="n">
        <f aca="false" t="array" ref="AL23:AL23">IF(COLUMN() - ($E23 + 5) &lt; 0, 0,
  IF(COLUMN() - ($E23 + 5) = 0, $F23,
    AK23 * (1 - IFERROR(INDEX('Inputs &amp; Assuptions'!$C$13:$C$72, COLUMN() - ($E23 + 5)), 0))
  )
)</f>
        <v>936.524562273273</v>
      </c>
      <c r="AM23" s="80" t="n">
        <f aca="false" t="array" ref="AM23:AM23">IF(COLUMN() - ($E23 + 5) &lt; 0, 0,
  IF(COLUMN() - ($E23 + 5) = 0, $F23,
    AL23 * (1 - IFERROR(INDEX('Inputs &amp; Assuptions'!$C$13:$C$72, COLUMN() - ($E23 + 5)), 0))
  )
)</f>
        <v>931.841939461907</v>
      </c>
      <c r="AN23" s="80" t="n">
        <f aca="false" t="array" ref="AN23:AN23">IF(COLUMN() - ($E23 + 5) &lt; 0, 0,
  IF(COLUMN() - ($E23 + 5) = 0, $F23,
    AM23 * (1 - IFERROR(INDEX('Inputs &amp; Assuptions'!$C$13:$C$72, COLUMN() - ($E23 + 5)), 0))
  )
)</f>
        <v>927.182729764597</v>
      </c>
      <c r="AO23" s="80" t="n">
        <f aca="false" t="array" ref="AO23:AO23">IF(COLUMN() - ($E23 + 5) &lt; 0, 0,
  IF(COLUMN() - ($E23 + 5) = 0, $F23,
    AN23 * (1 - IFERROR(INDEX('Inputs &amp; Assuptions'!$C$13:$C$72, COLUMN() - ($E23 + 5)), 0))
  )
)</f>
        <v>922.546816115774</v>
      </c>
      <c r="AP23" s="80" t="n">
        <f aca="false" t="array" ref="AP23:AP23">IF(COLUMN() - ($E23 + 5) &lt; 0, 0,
  IF(COLUMN() - ($E23 + 5) = 0, $F23,
    AO23 * (1 - IFERROR(INDEX('Inputs &amp; Assuptions'!$C$13:$C$72, COLUMN() - ($E23 + 5)), 0))
  )
)</f>
        <v>917.934082035195</v>
      </c>
      <c r="AQ23" s="80" t="n">
        <f aca="false" t="array" ref="AQ23:AQ23">IF(COLUMN() - ($E23 + 5) &lt; 0, 0,
  IF(COLUMN() - ($E23 + 5) = 0, $F23,
    AP23 * (1 - IFERROR(INDEX('Inputs &amp; Assuptions'!$C$13:$C$72, COLUMN() - ($E23 + 5)), 0))
  )
)</f>
        <v>913.344411625019</v>
      </c>
      <c r="AR23" s="80" t="n">
        <f aca="false" t="array" ref="AR23:AR23">IF(COLUMN() - ($E23 + 5) &lt; 0, 0,
  IF(COLUMN() - ($E23 + 5) = 0, $F23,
    AQ23 * (1 - IFERROR(INDEX('Inputs &amp; Assuptions'!$C$13:$C$72, COLUMN() - ($E23 + 5)), 0))
  )
)</f>
        <v>908.777689566894</v>
      </c>
      <c r="AS23" s="80" t="n">
        <f aca="false" t="array" ref="AS23:AS23">IF(COLUMN() - ($E23 + 5) &lt; 0, 0,
  IF(COLUMN() - ($E23 + 5) = 0, $F23,
    AR23 * (1 - IFERROR(INDEX('Inputs &amp; Assuptions'!$C$13:$C$72, COLUMN() - ($E23 + 5)), 0))
  )
)</f>
        <v>904.23380111906</v>
      </c>
      <c r="AT23" s="80" t="n">
        <f aca="false" t="array" ref="AT23:AT23">IF(COLUMN() - ($E23 + 5) &lt; 0, 0,
  IF(COLUMN() - ($E23 + 5) = 0, $F23,
    AS23 * (1 - IFERROR(INDEX('Inputs &amp; Assuptions'!$C$13:$C$72, COLUMN() - ($E23 + 5)), 0))
  )
)</f>
        <v>899.712632113464</v>
      </c>
      <c r="AU23" s="80" t="n">
        <f aca="false" t="array" ref="AU23:AU23">IF(COLUMN() - ($E23 + 5) &lt; 0, 0,
  IF(COLUMN() - ($E23 + 5) = 0, $F23,
    AT23 * (1 - IFERROR(INDEX('Inputs &amp; Assuptions'!$C$13:$C$72, COLUMN() - ($E23 + 5)), 0))
  )
)</f>
        <v>895.214068952897</v>
      </c>
      <c r="AV23" s="80" t="n">
        <f aca="false" t="array" ref="AV23:AV23">IF(COLUMN() - ($E23 + 5) &lt; 0, 0,
  IF(COLUMN() - ($E23 + 5) = 0, $F23,
    AU23 * (1 - IFERROR(INDEX('Inputs &amp; Assuptions'!$C$13:$C$72, COLUMN() - ($E23 + 5)), 0))
  )
)</f>
        <v>890.737998608132</v>
      </c>
      <c r="AW23" s="80" t="n">
        <f aca="false" t="array" ref="AW23:AW23">IF(COLUMN() - ($E23 + 5) &lt; 0, 0,
  IF(COLUMN() - ($E23 + 5) = 0, $F23,
    AV23 * (1 - IFERROR(INDEX('Inputs &amp; Assuptions'!$C$13:$C$72, COLUMN() - ($E23 + 5)), 0))
  )
)</f>
        <v>886.284308615092</v>
      </c>
      <c r="AX23" s="80" t="n">
        <f aca="false" t="array" ref="AX23:AX23">IF(COLUMN() - ($E23 + 5) &lt; 0, 0,
  IF(COLUMN() - ($E23 + 5) = 0, $F23,
    AW23 * (1 - IFERROR(INDEX('Inputs &amp; Assuptions'!$C$13:$C$72, COLUMN() - ($E23 + 5)), 0))
  )
)</f>
        <v>881.852887072016</v>
      </c>
      <c r="AY23" s="80" t="n">
        <f aca="false" t="array" ref="AY23:AY23">IF(COLUMN() - ($E23 + 5) &lt; 0, 0,
  IF(COLUMN() - ($E23 + 5) = 0, $F23,
    AX23 * (1 - IFERROR(INDEX('Inputs &amp; Assuptions'!$C$13:$C$72, COLUMN() - ($E23 + 5)), 0))
  )
)</f>
        <v>877.443622636656</v>
      </c>
      <c r="AZ23" s="80" t="n">
        <f aca="false" t="array" ref="AZ23:AZ23">IF(COLUMN() - ($E23 + 5) &lt; 0, 0,
  IF(COLUMN() - ($E23 + 5) = 0, $F23,
    AY23 * (1 - IFERROR(INDEX('Inputs &amp; Assuptions'!$C$13:$C$72, COLUMN() - ($E23 + 5)), 0))
  )
)</f>
        <v>873.056404523473</v>
      </c>
      <c r="BA23" s="80" t="n">
        <f aca="false" t="array" ref="BA23:BA23">IF(COLUMN() - ($E23 + 5) &lt; 0, 0,
  IF(COLUMN() - ($E23 + 5) = 0, $F23,
    AZ23 * (1 - IFERROR(INDEX('Inputs &amp; Assuptions'!$C$13:$C$72, COLUMN() - ($E23 + 5)), 0))
  )
)</f>
        <v>868.691122500856</v>
      </c>
      <c r="BB23" s="80" t="n">
        <f aca="false" t="array" ref="BB23:BB23">IF(COLUMN() - ($E23 + 5) &lt; 0, 0,
  IF(COLUMN() - ($E23 + 5) = 0, $F23,
    BA23 * (1 - IFERROR(INDEX('Inputs &amp; Assuptions'!$C$13:$C$72, COLUMN() - ($E23 + 5)), 0))
  )
)</f>
        <v>864.347666888351</v>
      </c>
      <c r="BC23" s="80" t="n">
        <f aca="false" t="array" ref="BC23:BC23">IF(COLUMN() - ($E23 + 5) &lt; 0, 0,
  IF(COLUMN() - ($E23 + 5) = 0, $F23,
    BB23 * (1 - IFERROR(INDEX('Inputs &amp; Assuptions'!$C$13:$C$72, COLUMN() - ($E23 + 5)), 0))
  )
)</f>
        <v>860.02592855391</v>
      </c>
      <c r="BD23" s="80" t="n">
        <f aca="false" t="array" ref="BD23:BD23">IF(COLUMN() - ($E23 + 5) &lt; 0, 0,
  IF(COLUMN() - ($E23 + 5) = 0, $F23,
    BC23 * (1 - IFERROR(INDEX('Inputs &amp; Assuptions'!$C$13:$C$72, COLUMN() - ($E23 + 5)), 0))
  )
)</f>
        <v>855.72579891114</v>
      </c>
      <c r="BE23" s="80" t="n">
        <f aca="false" t="array" ref="BE23:BE23">IF(COLUMN() - ($E23 + 5) &lt; 0, 0,
  IF(COLUMN() - ($E23 + 5) = 0, $F23,
    BD23 * (1 - IFERROR(INDEX('Inputs &amp; Assuptions'!$C$13:$C$72, COLUMN() - ($E23 + 5)), 0))
  )
)</f>
        <v>851.447169916584</v>
      </c>
      <c r="BF23" s="80" t="n">
        <f aca="false" t="array" ref="BF23:BF23">IF(COLUMN() - ($E23 + 5) &lt; 0, 0,
  IF(COLUMN() - ($E23 + 5) = 0, $F23,
    BE23 * (1 - IFERROR(INDEX('Inputs &amp; Assuptions'!$C$13:$C$72, COLUMN() - ($E23 + 5)), 0))
  )
)</f>
        <v>847.189934067001</v>
      </c>
      <c r="BG23" s="80" t="n">
        <f aca="false" t="array" ref="BG23:BG23">IF(COLUMN() - ($E23 + 5) &lt; 0, 0,
  IF(COLUMN() - ($E23 + 5) = 0, $F23,
    BF23 * (1 - IFERROR(INDEX('Inputs &amp; Assuptions'!$C$13:$C$72, COLUMN() - ($E23 + 5)), 0))
  )
)</f>
        <v>842.953984396666</v>
      </c>
      <c r="BH23" s="80" t="n">
        <f aca="false" t="array" ref="BH23:BH23">IF(COLUMN() - ($E23 + 5) &lt; 0, 0,
  IF(COLUMN() - ($E23 + 5) = 0, $F23,
    BG23 * (1 - IFERROR(INDEX('Inputs &amp; Assuptions'!$C$13:$C$72, COLUMN() - ($E23 + 5)), 0))
  )
)</f>
        <v>838.739214474683</v>
      </c>
      <c r="BI23" s="80" t="n">
        <f aca="false" t="array" ref="BI23:BI23">IF(COLUMN() - ($E23 + 5) &lt; 0, 0,
  IF(COLUMN() - ($E23 + 5) = 0, $F23,
    BH23 * (1 - IFERROR(INDEX('Inputs &amp; Assuptions'!$C$13:$C$72, COLUMN() - ($E23 + 5)), 0))
  )
)</f>
        <v>834.54551840231</v>
      </c>
      <c r="BJ23" s="80" t="n">
        <f aca="false" t="array" ref="BJ23:BJ23">IF(COLUMN() - ($E23 + 5) &lt; 0, 0,
  IF(COLUMN() - ($E23 + 5) = 0, $F23,
    BI23 * (1 - IFERROR(INDEX('Inputs &amp; Assuptions'!$C$13:$C$72, COLUMN() - ($E23 + 5)), 0))
  )
)</f>
        <v>830.372790810298</v>
      </c>
      <c r="BK23" s="80" t="n">
        <f aca="false" t="array" ref="BK23:BK23">IF(COLUMN() - ($E23 + 5) &lt; 0, 0,
  IF(COLUMN() - ($E23 + 5) = 0, $F23,
    BJ23 * (1 - IFERROR(INDEX('Inputs &amp; Assuptions'!$C$13:$C$72, COLUMN() - ($E23 + 5)), 0))
  )
)</f>
        <v>826.220926856247</v>
      </c>
      <c r="BL23" s="80" t="n">
        <f aca="false" t="array" ref="BL23:BL23">IF(COLUMN() - ($E23 + 5) &lt; 0, 0,
  IF(COLUMN() - ($E23 + 5) = 0, $F23,
    BK23 * (1 - IFERROR(INDEX('Inputs &amp; Assuptions'!$C$13:$C$72, COLUMN() - ($E23 + 5)), 0))
  )
)</f>
        <v>822.089822221965</v>
      </c>
      <c r="BM23" s="81" t="n">
        <f aca="false" t="array" ref="BM23:BM23">IF(COLUMN() - ($E23 + 5) &lt; 0, 0,
  IF(COLUMN() - ($E23 + 5) = 0, $F23,
    BL23 * (1 - IFERROR(INDEX('Inputs &amp; Assuptions'!$C$13:$C$72, COLUMN() - ($E23 + 5)), 0))
  )
)</f>
        <v>817.979373110856</v>
      </c>
      <c r="BN23" s="76"/>
    </row>
    <row r="24" customFormat="false" ht="14.25" hidden="false" customHeight="false" outlineLevel="0" collapsed="false">
      <c r="A24" s="29" t="n">
        <f aca="false">A23+1</f>
        <v>19</v>
      </c>
      <c r="B24" s="77" t="n">
        <f aca="false">IF(MOD($A24-1, 12) = 0, $B23 * 1.05, $B23)</f>
        <v>1575</v>
      </c>
      <c r="C24" s="78" t="n">
        <f aca="false">$B24*(1-'Inputs &amp; Assuptions'!$C$12)</f>
        <v>1228.5</v>
      </c>
      <c r="E24" s="29" t="n">
        <f aca="false">E23+1</f>
        <v>19</v>
      </c>
      <c r="F24" s="79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 t="n">
        <f aca="false">$C24</f>
        <v>1228.5</v>
      </c>
      <c r="Y24" s="80" t="n">
        <f aca="false" t="array" ref="Y24:Y24">IF(COLUMN() - ($E24 + 5) &lt; 0, 0,
  IF(COLUMN() - ($E24 + 5) = 0, $F24,
    X24 * (1 - IFERROR(INDEX('Inputs &amp; Assuptions'!$C$13:$C$72, COLUMN() - ($E24 + 5)), 0))
  )
)</f>
        <v>1164.00375</v>
      </c>
      <c r="Z24" s="80" t="n">
        <f aca="false" t="array" ref="Z24:Z24">IF(COLUMN() - ($E24 + 5) &lt; 0, 0,
  IF(COLUMN() - ($E24 + 5) = 0, $F24,
    Y24 * (1 - IFERROR(INDEX('Inputs &amp; Assuptions'!$C$13:$C$72, COLUMN() - ($E24 + 5)), 0))
  )
)</f>
        <v>1117.4436</v>
      </c>
      <c r="AA24" s="80" t="n">
        <f aca="false" t="array" ref="AA24:AA24">IF(COLUMN() - ($E24 + 5) &lt; 0, 0,
  IF(COLUMN() - ($E24 + 5) = 0, $F24,
    Z24 * (1 - IFERROR(INDEX('Inputs &amp; Assuptions'!$C$13:$C$72, COLUMN() - ($E24 + 5)), 0))
  )
)</f>
        <v>1086.713901</v>
      </c>
      <c r="AB24" s="80" t="n">
        <f aca="false" t="array" ref="AB24:AB24">IF(COLUMN() - ($E24 + 5) &lt; 0, 0,
  IF(COLUMN() - ($E24 + 5) = 0, $F24,
    AA24 * (1 - IFERROR(INDEX('Inputs &amp; Assuptions'!$C$13:$C$72, COLUMN() - ($E24 + 5)), 0))
  )
)</f>
        <v>1059.546053475</v>
      </c>
      <c r="AC24" s="80" t="n">
        <f aca="false" t="array" ref="AC24:AC24">IF(COLUMN() - ($E24 + 5) &lt; 0, 0,
  IF(COLUMN() - ($E24 + 5) = 0, $F24,
    AB24 * (1 - IFERROR(INDEX('Inputs &amp; Assuptions'!$C$13:$C$72, COLUMN() - ($E24 + 5)), 0))
  )
)</f>
        <v>1035.70626727181</v>
      </c>
      <c r="AD24" s="80" t="n">
        <f aca="false" t="array" ref="AD24:AD24">IF(COLUMN() - ($E24 + 5) &lt; 0, 0,
  IF(COLUMN() - ($E24 + 5) = 0, $F24,
    AC24 * (1 - IFERROR(INDEX('Inputs &amp; Assuptions'!$C$13:$C$72, COLUMN() - ($E24 + 5)), 0))
  )
)</f>
        <v>1014.99214192638</v>
      </c>
      <c r="AE24" s="80" t="n">
        <f aca="false" t="array" ref="AE24:AE24">IF(COLUMN() - ($E24 + 5) &lt; 0, 0,
  IF(COLUMN() - ($E24 + 5) = 0, $F24,
    AD24 * (1 - IFERROR(INDEX('Inputs &amp; Assuptions'!$C$13:$C$72, COLUMN() - ($E24 + 5)), 0))
  )
)</f>
        <v>997.229779442665</v>
      </c>
      <c r="AF24" s="80" t="n">
        <f aca="false" t="array" ref="AF24:AF24">IF(COLUMN() - ($E24 + 5) &lt; 0, 0,
  IF(COLUMN() - ($E24 + 5) = 0, $F24,
    AE24 * (1 - IFERROR(INDEX('Inputs &amp; Assuptions'!$C$13:$C$72, COLUMN() - ($E24 + 5)), 0))
  )
)</f>
        <v>982.271332751025</v>
      </c>
      <c r="AG24" s="80" t="n">
        <f aca="false" t="array" ref="AG24:AG24">IF(COLUMN() - ($E24 + 5) &lt; 0, 0,
  IF(COLUMN() - ($E24 + 5) = 0, $F24,
    AF24 * (1 - IFERROR(INDEX('Inputs &amp; Assuptions'!$C$13:$C$72, COLUMN() - ($E24 + 5)), 0))
  )
)</f>
        <v>969.992941091637</v>
      </c>
      <c r="AH24" s="80" t="n">
        <f aca="false" t="array" ref="AH24:AH24">IF(COLUMN() - ($E24 + 5) &lt; 0, 0,
  IF(COLUMN() - ($E24 + 5) = 0, $F24,
    AG24 * (1 - IFERROR(INDEX('Inputs &amp; Assuptions'!$C$13:$C$72, COLUMN() - ($E24 + 5)), 0))
  )
)</f>
        <v>960.293011680721</v>
      </c>
      <c r="AI24" s="80" t="n">
        <f aca="false" t="array" ref="AI24:AI24">IF(COLUMN() - ($E24 + 5) &lt; 0, 0,
  IF(COLUMN() - ($E24 + 5) = 0, $F24,
    AH24 * (1 - IFERROR(INDEX('Inputs &amp; Assuptions'!$C$13:$C$72, COLUMN() - ($E24 + 5)), 0))
  )
)</f>
        <v>955.491546622317</v>
      </c>
      <c r="AJ24" s="80" t="n">
        <f aca="false" t="array" ref="AJ24:AJ24">IF(COLUMN() - ($E24 + 5) &lt; 0, 0,
  IF(COLUMN() - ($E24 + 5) = 0, $F24,
    AI24 * (1 - IFERROR(INDEX('Inputs &amp; Assuptions'!$C$13:$C$72, COLUMN() - ($E24 + 5)), 0))
  )
)</f>
        <v>950.714088889205</v>
      </c>
      <c r="AK24" s="80" t="n">
        <f aca="false" t="array" ref="AK24:AK24">IF(COLUMN() - ($E24 + 5) &lt; 0, 0,
  IF(COLUMN() - ($E24 + 5) = 0, $F24,
    AJ24 * (1 - IFERROR(INDEX('Inputs &amp; Assuptions'!$C$13:$C$72, COLUMN() - ($E24 + 5)), 0))
  )
)</f>
        <v>945.960518444759</v>
      </c>
      <c r="AL24" s="80" t="n">
        <f aca="false" t="array" ref="AL24:AL24">IF(COLUMN() - ($E24 + 5) &lt; 0, 0,
  IF(COLUMN() - ($E24 + 5) = 0, $F24,
    AK24 * (1 - IFERROR(INDEX('Inputs &amp; Assuptions'!$C$13:$C$72, COLUMN() - ($E24 + 5)), 0))
  )
)</f>
        <v>941.230715852536</v>
      </c>
      <c r="AM24" s="80" t="n">
        <f aca="false" t="array" ref="AM24:AM24">IF(COLUMN() - ($E24 + 5) &lt; 0, 0,
  IF(COLUMN() - ($E24 + 5) = 0, $F24,
    AL24 * (1 - IFERROR(INDEX('Inputs &amp; Assuptions'!$C$13:$C$72, COLUMN() - ($E24 + 5)), 0))
  )
)</f>
        <v>936.524562273273</v>
      </c>
      <c r="AN24" s="80" t="n">
        <f aca="false" t="array" ref="AN24:AN24">IF(COLUMN() - ($E24 + 5) &lt; 0, 0,
  IF(COLUMN() - ($E24 + 5) = 0, $F24,
    AM24 * (1 - IFERROR(INDEX('Inputs &amp; Assuptions'!$C$13:$C$72, COLUMN() - ($E24 + 5)), 0))
  )
)</f>
        <v>931.841939461907</v>
      </c>
      <c r="AO24" s="80" t="n">
        <f aca="false" t="array" ref="AO24:AO24">IF(COLUMN() - ($E24 + 5) &lt; 0, 0,
  IF(COLUMN() - ($E24 + 5) = 0, $F24,
    AN24 * (1 - IFERROR(INDEX('Inputs &amp; Assuptions'!$C$13:$C$72, COLUMN() - ($E24 + 5)), 0))
  )
)</f>
        <v>927.182729764597</v>
      </c>
      <c r="AP24" s="80" t="n">
        <f aca="false" t="array" ref="AP24:AP24">IF(COLUMN() - ($E24 + 5) &lt; 0, 0,
  IF(COLUMN() - ($E24 + 5) = 0, $F24,
    AO24 * (1 - IFERROR(INDEX('Inputs &amp; Assuptions'!$C$13:$C$72, COLUMN() - ($E24 + 5)), 0))
  )
)</f>
        <v>922.546816115774</v>
      </c>
      <c r="AQ24" s="80" t="n">
        <f aca="false" t="array" ref="AQ24:AQ24">IF(COLUMN() - ($E24 + 5) &lt; 0, 0,
  IF(COLUMN() - ($E24 + 5) = 0, $F24,
    AP24 * (1 - IFERROR(INDEX('Inputs &amp; Assuptions'!$C$13:$C$72, COLUMN() - ($E24 + 5)), 0))
  )
)</f>
        <v>917.934082035195</v>
      </c>
      <c r="AR24" s="80" t="n">
        <f aca="false" t="array" ref="AR24:AR24">IF(COLUMN() - ($E24 + 5) &lt; 0, 0,
  IF(COLUMN() - ($E24 + 5) = 0, $F24,
    AQ24 * (1 - IFERROR(INDEX('Inputs &amp; Assuptions'!$C$13:$C$72, COLUMN() - ($E24 + 5)), 0))
  )
)</f>
        <v>913.344411625019</v>
      </c>
      <c r="AS24" s="80" t="n">
        <f aca="false" t="array" ref="AS24:AS24">IF(COLUMN() - ($E24 + 5) &lt; 0, 0,
  IF(COLUMN() - ($E24 + 5) = 0, $F24,
    AR24 * (1 - IFERROR(INDEX('Inputs &amp; Assuptions'!$C$13:$C$72, COLUMN() - ($E24 + 5)), 0))
  )
)</f>
        <v>908.777689566894</v>
      </c>
      <c r="AT24" s="80" t="n">
        <f aca="false" t="array" ref="AT24:AT24">IF(COLUMN() - ($E24 + 5) &lt; 0, 0,
  IF(COLUMN() - ($E24 + 5) = 0, $F24,
    AS24 * (1 - IFERROR(INDEX('Inputs &amp; Assuptions'!$C$13:$C$72, COLUMN() - ($E24 + 5)), 0))
  )
)</f>
        <v>904.23380111906</v>
      </c>
      <c r="AU24" s="80" t="n">
        <f aca="false" t="array" ref="AU24:AU24">IF(COLUMN() - ($E24 + 5) &lt; 0, 0,
  IF(COLUMN() - ($E24 + 5) = 0, $F24,
    AT24 * (1 - IFERROR(INDEX('Inputs &amp; Assuptions'!$C$13:$C$72, COLUMN() - ($E24 + 5)), 0))
  )
)</f>
        <v>899.712632113464</v>
      </c>
      <c r="AV24" s="80" t="n">
        <f aca="false" t="array" ref="AV24:AV24">IF(COLUMN() - ($E24 + 5) &lt; 0, 0,
  IF(COLUMN() - ($E24 + 5) = 0, $F24,
    AU24 * (1 - IFERROR(INDEX('Inputs &amp; Assuptions'!$C$13:$C$72, COLUMN() - ($E24 + 5)), 0))
  )
)</f>
        <v>895.214068952897</v>
      </c>
      <c r="AW24" s="80" t="n">
        <f aca="false" t="array" ref="AW24:AW24">IF(COLUMN() - ($E24 + 5) &lt; 0, 0,
  IF(COLUMN() - ($E24 + 5) = 0, $F24,
    AV24 * (1 - IFERROR(INDEX('Inputs &amp; Assuptions'!$C$13:$C$72, COLUMN() - ($E24 + 5)), 0))
  )
)</f>
        <v>890.737998608132</v>
      </c>
      <c r="AX24" s="80" t="n">
        <f aca="false" t="array" ref="AX24:AX24">IF(COLUMN() - ($E24 + 5) &lt; 0, 0,
  IF(COLUMN() - ($E24 + 5) = 0, $F24,
    AW24 * (1 - IFERROR(INDEX('Inputs &amp; Assuptions'!$C$13:$C$72, COLUMN() - ($E24 + 5)), 0))
  )
)</f>
        <v>886.284308615092</v>
      </c>
      <c r="AY24" s="80" t="n">
        <f aca="false" t="array" ref="AY24:AY24">IF(COLUMN() - ($E24 + 5) &lt; 0, 0,
  IF(COLUMN() - ($E24 + 5) = 0, $F24,
    AX24 * (1 - IFERROR(INDEX('Inputs &amp; Assuptions'!$C$13:$C$72, COLUMN() - ($E24 + 5)), 0))
  )
)</f>
        <v>881.852887072016</v>
      </c>
      <c r="AZ24" s="80" t="n">
        <f aca="false" t="array" ref="AZ24:AZ24">IF(COLUMN() - ($E24 + 5) &lt; 0, 0,
  IF(COLUMN() - ($E24 + 5) = 0, $F24,
    AY24 * (1 - IFERROR(INDEX('Inputs &amp; Assuptions'!$C$13:$C$72, COLUMN() - ($E24 + 5)), 0))
  )
)</f>
        <v>877.443622636656</v>
      </c>
      <c r="BA24" s="80" t="n">
        <f aca="false" t="array" ref="BA24:BA24">IF(COLUMN() - ($E24 + 5) &lt; 0, 0,
  IF(COLUMN() - ($E24 + 5) = 0, $F24,
    AZ24 * (1 - IFERROR(INDEX('Inputs &amp; Assuptions'!$C$13:$C$72, COLUMN() - ($E24 + 5)), 0))
  )
)</f>
        <v>873.056404523473</v>
      </c>
      <c r="BB24" s="80" t="n">
        <f aca="false" t="array" ref="BB24:BB24">IF(COLUMN() - ($E24 + 5) &lt; 0, 0,
  IF(COLUMN() - ($E24 + 5) = 0, $F24,
    BA24 * (1 - IFERROR(INDEX('Inputs &amp; Assuptions'!$C$13:$C$72, COLUMN() - ($E24 + 5)), 0))
  )
)</f>
        <v>868.691122500856</v>
      </c>
      <c r="BC24" s="80" t="n">
        <f aca="false" t="array" ref="BC24:BC24">IF(COLUMN() - ($E24 + 5) &lt; 0, 0,
  IF(COLUMN() - ($E24 + 5) = 0, $F24,
    BB24 * (1 - IFERROR(INDEX('Inputs &amp; Assuptions'!$C$13:$C$72, COLUMN() - ($E24 + 5)), 0))
  )
)</f>
        <v>864.347666888351</v>
      </c>
      <c r="BD24" s="80" t="n">
        <f aca="false" t="array" ref="BD24:BD24">IF(COLUMN() - ($E24 + 5) &lt; 0, 0,
  IF(COLUMN() - ($E24 + 5) = 0, $F24,
    BC24 * (1 - IFERROR(INDEX('Inputs &amp; Assuptions'!$C$13:$C$72, COLUMN() - ($E24 + 5)), 0))
  )
)</f>
        <v>860.02592855391</v>
      </c>
      <c r="BE24" s="80" t="n">
        <f aca="false" t="array" ref="BE24:BE24">IF(COLUMN() - ($E24 + 5) &lt; 0, 0,
  IF(COLUMN() - ($E24 + 5) = 0, $F24,
    BD24 * (1 - IFERROR(INDEX('Inputs &amp; Assuptions'!$C$13:$C$72, COLUMN() - ($E24 + 5)), 0))
  )
)</f>
        <v>855.72579891114</v>
      </c>
      <c r="BF24" s="80" t="n">
        <f aca="false" t="array" ref="BF24:BF24">IF(COLUMN() - ($E24 + 5) &lt; 0, 0,
  IF(COLUMN() - ($E24 + 5) = 0, $F24,
    BE24 * (1 - IFERROR(INDEX('Inputs &amp; Assuptions'!$C$13:$C$72, COLUMN() - ($E24 + 5)), 0))
  )
)</f>
        <v>851.447169916584</v>
      </c>
      <c r="BG24" s="80" t="n">
        <f aca="false" t="array" ref="BG24:BG24">IF(COLUMN() - ($E24 + 5) &lt; 0, 0,
  IF(COLUMN() - ($E24 + 5) = 0, $F24,
    BF24 * (1 - IFERROR(INDEX('Inputs &amp; Assuptions'!$C$13:$C$72, COLUMN() - ($E24 + 5)), 0))
  )
)</f>
        <v>847.189934067001</v>
      </c>
      <c r="BH24" s="80" t="n">
        <f aca="false" t="array" ref="BH24:BH24">IF(COLUMN() - ($E24 + 5) &lt; 0, 0,
  IF(COLUMN() - ($E24 + 5) = 0, $F24,
    BG24 * (1 - IFERROR(INDEX('Inputs &amp; Assuptions'!$C$13:$C$72, COLUMN() - ($E24 + 5)), 0))
  )
)</f>
        <v>842.953984396666</v>
      </c>
      <c r="BI24" s="80" t="n">
        <f aca="false" t="array" ref="BI24:BI24">IF(COLUMN() - ($E24 + 5) &lt; 0, 0,
  IF(COLUMN() - ($E24 + 5) = 0, $F24,
    BH24 * (1 - IFERROR(INDEX('Inputs &amp; Assuptions'!$C$13:$C$72, COLUMN() - ($E24 + 5)), 0))
  )
)</f>
        <v>838.739214474683</v>
      </c>
      <c r="BJ24" s="80" t="n">
        <f aca="false" t="array" ref="BJ24:BJ24">IF(COLUMN() - ($E24 + 5) &lt; 0, 0,
  IF(COLUMN() - ($E24 + 5) = 0, $F24,
    BI24 * (1 - IFERROR(INDEX('Inputs &amp; Assuptions'!$C$13:$C$72, COLUMN() - ($E24 + 5)), 0))
  )
)</f>
        <v>834.54551840231</v>
      </c>
      <c r="BK24" s="80" t="n">
        <f aca="false" t="array" ref="BK24:BK24">IF(COLUMN() - ($E24 + 5) &lt; 0, 0,
  IF(COLUMN() - ($E24 + 5) = 0, $F24,
    BJ24 * (1 - IFERROR(INDEX('Inputs &amp; Assuptions'!$C$13:$C$72, COLUMN() - ($E24 + 5)), 0))
  )
)</f>
        <v>830.372790810298</v>
      </c>
      <c r="BL24" s="80" t="n">
        <f aca="false" t="array" ref="BL24:BL24">IF(COLUMN() - ($E24 + 5) &lt; 0, 0,
  IF(COLUMN() - ($E24 + 5) = 0, $F24,
    BK24 * (1 - IFERROR(INDEX('Inputs &amp; Assuptions'!$C$13:$C$72, COLUMN() - ($E24 + 5)), 0))
  )
)</f>
        <v>826.220926856247</v>
      </c>
      <c r="BM24" s="81" t="n">
        <f aca="false" t="array" ref="BM24:BM24">IF(COLUMN() - ($E24 + 5) &lt; 0, 0,
  IF(COLUMN() - ($E24 + 5) = 0, $F24,
    BL24 * (1 - IFERROR(INDEX('Inputs &amp; Assuptions'!$C$13:$C$72, COLUMN() - ($E24 + 5)), 0))
  )
)</f>
        <v>822.089822221965</v>
      </c>
      <c r="BN24" s="76"/>
    </row>
    <row r="25" customFormat="false" ht="14.25" hidden="false" customHeight="false" outlineLevel="0" collapsed="false">
      <c r="A25" s="29" t="n">
        <f aca="false">A24+1</f>
        <v>20</v>
      </c>
      <c r="B25" s="77" t="n">
        <f aca="false">IF(MOD($A25-1, 12) = 0, $B24 * 1.05, $B24)</f>
        <v>1575</v>
      </c>
      <c r="C25" s="78" t="n">
        <f aca="false">$B25*(1-'Inputs &amp; Assuptions'!$C$12)</f>
        <v>1228.5</v>
      </c>
      <c r="E25" s="29" t="n">
        <f aca="false">E24+1</f>
        <v>20</v>
      </c>
      <c r="F25" s="7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 t="n">
        <f aca="false">$C25</f>
        <v>1228.5</v>
      </c>
      <c r="Z25" s="80" t="n">
        <f aca="false" t="array" ref="Z25:Z25">IF(COLUMN() - ($E25 + 5) &lt; 0, 0,
  IF(COLUMN() - ($E25 + 5) = 0, $F25,
    Y25 * (1 - IFERROR(INDEX('Inputs &amp; Assuptions'!$C$13:$C$72, COLUMN() - ($E25 + 5)), 0))
  )
)</f>
        <v>1164.00375</v>
      </c>
      <c r="AA25" s="80" t="n">
        <f aca="false" t="array" ref="AA25:AA25">IF(COLUMN() - ($E25 + 5) &lt; 0, 0,
  IF(COLUMN() - ($E25 + 5) = 0, $F25,
    Z25 * (1 - IFERROR(INDEX('Inputs &amp; Assuptions'!$C$13:$C$72, COLUMN() - ($E25 + 5)), 0))
  )
)</f>
        <v>1117.4436</v>
      </c>
      <c r="AB25" s="80" t="n">
        <f aca="false" t="array" ref="AB25:AB25">IF(COLUMN() - ($E25 + 5) &lt; 0, 0,
  IF(COLUMN() - ($E25 + 5) = 0, $F25,
    AA25 * (1 - IFERROR(INDEX('Inputs &amp; Assuptions'!$C$13:$C$72, COLUMN() - ($E25 + 5)), 0))
  )
)</f>
        <v>1086.713901</v>
      </c>
      <c r="AC25" s="80" t="n">
        <f aca="false" t="array" ref="AC25:AC25">IF(COLUMN() - ($E25 + 5) &lt; 0, 0,
  IF(COLUMN() - ($E25 + 5) = 0, $F25,
    AB25 * (1 - IFERROR(INDEX('Inputs &amp; Assuptions'!$C$13:$C$72, COLUMN() - ($E25 + 5)), 0))
  )
)</f>
        <v>1059.546053475</v>
      </c>
      <c r="AD25" s="80" t="n">
        <f aca="false" t="array" ref="AD25:AD25">IF(COLUMN() - ($E25 + 5) &lt; 0, 0,
  IF(COLUMN() - ($E25 + 5) = 0, $F25,
    AC25 * (1 - IFERROR(INDEX('Inputs &amp; Assuptions'!$C$13:$C$72, COLUMN() - ($E25 + 5)), 0))
  )
)</f>
        <v>1035.70626727181</v>
      </c>
      <c r="AE25" s="80" t="n">
        <f aca="false" t="array" ref="AE25:AE25">IF(COLUMN() - ($E25 + 5) &lt; 0, 0,
  IF(COLUMN() - ($E25 + 5) = 0, $F25,
    AD25 * (1 - IFERROR(INDEX('Inputs &amp; Assuptions'!$C$13:$C$72, COLUMN() - ($E25 + 5)), 0))
  )
)</f>
        <v>1014.99214192638</v>
      </c>
      <c r="AF25" s="80" t="n">
        <f aca="false" t="array" ref="AF25:AF25">IF(COLUMN() - ($E25 + 5) &lt; 0, 0,
  IF(COLUMN() - ($E25 + 5) = 0, $F25,
    AE25 * (1 - IFERROR(INDEX('Inputs &amp; Assuptions'!$C$13:$C$72, COLUMN() - ($E25 + 5)), 0))
  )
)</f>
        <v>997.229779442665</v>
      </c>
      <c r="AG25" s="80" t="n">
        <f aca="false" t="array" ref="AG25:AG25">IF(COLUMN() - ($E25 + 5) &lt; 0, 0,
  IF(COLUMN() - ($E25 + 5) = 0, $F25,
    AF25 * (1 - IFERROR(INDEX('Inputs &amp; Assuptions'!$C$13:$C$72, COLUMN() - ($E25 + 5)), 0))
  )
)</f>
        <v>982.271332751025</v>
      </c>
      <c r="AH25" s="80" t="n">
        <f aca="false" t="array" ref="AH25:AH25">IF(COLUMN() - ($E25 + 5) &lt; 0, 0,
  IF(COLUMN() - ($E25 + 5) = 0, $F25,
    AG25 * (1 - IFERROR(INDEX('Inputs &amp; Assuptions'!$C$13:$C$72, COLUMN() - ($E25 + 5)), 0))
  )
)</f>
        <v>969.992941091637</v>
      </c>
      <c r="AI25" s="80" t="n">
        <f aca="false" t="array" ref="AI25:AI25">IF(COLUMN() - ($E25 + 5) &lt; 0, 0,
  IF(COLUMN() - ($E25 + 5) = 0, $F25,
    AH25 * (1 - IFERROR(INDEX('Inputs &amp; Assuptions'!$C$13:$C$72, COLUMN() - ($E25 + 5)), 0))
  )
)</f>
        <v>960.293011680721</v>
      </c>
      <c r="AJ25" s="80" t="n">
        <f aca="false" t="array" ref="AJ25:AJ25">IF(COLUMN() - ($E25 + 5) &lt; 0, 0,
  IF(COLUMN() - ($E25 + 5) = 0, $F25,
    AI25 * (1 - IFERROR(INDEX('Inputs &amp; Assuptions'!$C$13:$C$72, COLUMN() - ($E25 + 5)), 0))
  )
)</f>
        <v>955.491546622317</v>
      </c>
      <c r="AK25" s="80" t="n">
        <f aca="false" t="array" ref="AK25:AK25">IF(COLUMN() - ($E25 + 5) &lt; 0, 0,
  IF(COLUMN() - ($E25 + 5) = 0, $F25,
    AJ25 * (1 - IFERROR(INDEX('Inputs &amp; Assuptions'!$C$13:$C$72, COLUMN() - ($E25 + 5)), 0))
  )
)</f>
        <v>950.714088889205</v>
      </c>
      <c r="AL25" s="80" t="n">
        <f aca="false" t="array" ref="AL25:AL25">IF(COLUMN() - ($E25 + 5) &lt; 0, 0,
  IF(COLUMN() - ($E25 + 5) = 0, $F25,
    AK25 * (1 - IFERROR(INDEX('Inputs &amp; Assuptions'!$C$13:$C$72, COLUMN() - ($E25 + 5)), 0))
  )
)</f>
        <v>945.960518444759</v>
      </c>
      <c r="AM25" s="80" t="n">
        <f aca="false" t="array" ref="AM25:AM25">IF(COLUMN() - ($E25 + 5) &lt; 0, 0,
  IF(COLUMN() - ($E25 + 5) = 0, $F25,
    AL25 * (1 - IFERROR(INDEX('Inputs &amp; Assuptions'!$C$13:$C$72, COLUMN() - ($E25 + 5)), 0))
  )
)</f>
        <v>941.230715852536</v>
      </c>
      <c r="AN25" s="80" t="n">
        <f aca="false" t="array" ref="AN25:AN25">IF(COLUMN() - ($E25 + 5) &lt; 0, 0,
  IF(COLUMN() - ($E25 + 5) = 0, $F25,
    AM25 * (1 - IFERROR(INDEX('Inputs &amp; Assuptions'!$C$13:$C$72, COLUMN() - ($E25 + 5)), 0))
  )
)</f>
        <v>936.524562273273</v>
      </c>
      <c r="AO25" s="80" t="n">
        <f aca="false" t="array" ref="AO25:AO25">IF(COLUMN() - ($E25 + 5) &lt; 0, 0,
  IF(COLUMN() - ($E25 + 5) = 0, $F25,
    AN25 * (1 - IFERROR(INDEX('Inputs &amp; Assuptions'!$C$13:$C$72, COLUMN() - ($E25 + 5)), 0))
  )
)</f>
        <v>931.841939461907</v>
      </c>
      <c r="AP25" s="80" t="n">
        <f aca="false" t="array" ref="AP25:AP25">IF(COLUMN() - ($E25 + 5) &lt; 0, 0,
  IF(COLUMN() - ($E25 + 5) = 0, $F25,
    AO25 * (1 - IFERROR(INDEX('Inputs &amp; Assuptions'!$C$13:$C$72, COLUMN() - ($E25 + 5)), 0))
  )
)</f>
        <v>927.182729764597</v>
      </c>
      <c r="AQ25" s="80" t="n">
        <f aca="false" t="array" ref="AQ25:AQ25">IF(COLUMN() - ($E25 + 5) &lt; 0, 0,
  IF(COLUMN() - ($E25 + 5) = 0, $F25,
    AP25 * (1 - IFERROR(INDEX('Inputs &amp; Assuptions'!$C$13:$C$72, COLUMN() - ($E25 + 5)), 0))
  )
)</f>
        <v>922.546816115774</v>
      </c>
      <c r="AR25" s="80" t="n">
        <f aca="false" t="array" ref="AR25:AR25">IF(COLUMN() - ($E25 + 5) &lt; 0, 0,
  IF(COLUMN() - ($E25 + 5) = 0, $F25,
    AQ25 * (1 - IFERROR(INDEX('Inputs &amp; Assuptions'!$C$13:$C$72, COLUMN() - ($E25 + 5)), 0))
  )
)</f>
        <v>917.934082035195</v>
      </c>
      <c r="AS25" s="80" t="n">
        <f aca="false" t="array" ref="AS25:AS25">IF(COLUMN() - ($E25 + 5) &lt; 0, 0,
  IF(COLUMN() - ($E25 + 5) = 0, $F25,
    AR25 * (1 - IFERROR(INDEX('Inputs &amp; Assuptions'!$C$13:$C$72, COLUMN() - ($E25 + 5)), 0))
  )
)</f>
        <v>913.344411625019</v>
      </c>
      <c r="AT25" s="80" t="n">
        <f aca="false" t="array" ref="AT25:AT25">IF(COLUMN() - ($E25 + 5) &lt; 0, 0,
  IF(COLUMN() - ($E25 + 5) = 0, $F25,
    AS25 * (1 - IFERROR(INDEX('Inputs &amp; Assuptions'!$C$13:$C$72, COLUMN() - ($E25 + 5)), 0))
  )
)</f>
        <v>908.777689566894</v>
      </c>
      <c r="AU25" s="80" t="n">
        <f aca="false" t="array" ref="AU25:AU25">IF(COLUMN() - ($E25 + 5) &lt; 0, 0,
  IF(COLUMN() - ($E25 + 5) = 0, $F25,
    AT25 * (1 - IFERROR(INDEX('Inputs &amp; Assuptions'!$C$13:$C$72, COLUMN() - ($E25 + 5)), 0))
  )
)</f>
        <v>904.23380111906</v>
      </c>
      <c r="AV25" s="80" t="n">
        <f aca="false" t="array" ref="AV25:AV25">IF(COLUMN() - ($E25 + 5) &lt; 0, 0,
  IF(COLUMN() - ($E25 + 5) = 0, $F25,
    AU25 * (1 - IFERROR(INDEX('Inputs &amp; Assuptions'!$C$13:$C$72, COLUMN() - ($E25 + 5)), 0))
  )
)</f>
        <v>899.712632113464</v>
      </c>
      <c r="AW25" s="80" t="n">
        <f aca="false" t="array" ref="AW25:AW25">IF(COLUMN() - ($E25 + 5) &lt; 0, 0,
  IF(COLUMN() - ($E25 + 5) = 0, $F25,
    AV25 * (1 - IFERROR(INDEX('Inputs &amp; Assuptions'!$C$13:$C$72, COLUMN() - ($E25 + 5)), 0))
  )
)</f>
        <v>895.214068952897</v>
      </c>
      <c r="AX25" s="80" t="n">
        <f aca="false" t="array" ref="AX25:AX25">IF(COLUMN() - ($E25 + 5) &lt; 0, 0,
  IF(COLUMN() - ($E25 + 5) = 0, $F25,
    AW25 * (1 - IFERROR(INDEX('Inputs &amp; Assuptions'!$C$13:$C$72, COLUMN() - ($E25 + 5)), 0))
  )
)</f>
        <v>890.737998608132</v>
      </c>
      <c r="AY25" s="80" t="n">
        <f aca="false" t="array" ref="AY25:AY25">IF(COLUMN() - ($E25 + 5) &lt; 0, 0,
  IF(COLUMN() - ($E25 + 5) = 0, $F25,
    AX25 * (1 - IFERROR(INDEX('Inputs &amp; Assuptions'!$C$13:$C$72, COLUMN() - ($E25 + 5)), 0))
  )
)</f>
        <v>886.284308615092</v>
      </c>
      <c r="AZ25" s="80" t="n">
        <f aca="false" t="array" ref="AZ25:AZ25">IF(COLUMN() - ($E25 + 5) &lt; 0, 0,
  IF(COLUMN() - ($E25 + 5) = 0, $F25,
    AY25 * (1 - IFERROR(INDEX('Inputs &amp; Assuptions'!$C$13:$C$72, COLUMN() - ($E25 + 5)), 0))
  )
)</f>
        <v>881.852887072016</v>
      </c>
      <c r="BA25" s="80" t="n">
        <f aca="false" t="array" ref="BA25:BA25">IF(COLUMN() - ($E25 + 5) &lt; 0, 0,
  IF(COLUMN() - ($E25 + 5) = 0, $F25,
    AZ25 * (1 - IFERROR(INDEX('Inputs &amp; Assuptions'!$C$13:$C$72, COLUMN() - ($E25 + 5)), 0))
  )
)</f>
        <v>877.443622636656</v>
      </c>
      <c r="BB25" s="80" t="n">
        <f aca="false" t="array" ref="BB25:BB25">IF(COLUMN() - ($E25 + 5) &lt; 0, 0,
  IF(COLUMN() - ($E25 + 5) = 0, $F25,
    BA25 * (1 - IFERROR(INDEX('Inputs &amp; Assuptions'!$C$13:$C$72, COLUMN() - ($E25 + 5)), 0))
  )
)</f>
        <v>873.056404523473</v>
      </c>
      <c r="BC25" s="80" t="n">
        <f aca="false" t="array" ref="BC25:BC25">IF(COLUMN() - ($E25 + 5) &lt; 0, 0,
  IF(COLUMN() - ($E25 + 5) = 0, $F25,
    BB25 * (1 - IFERROR(INDEX('Inputs &amp; Assuptions'!$C$13:$C$72, COLUMN() - ($E25 + 5)), 0))
  )
)</f>
        <v>868.691122500856</v>
      </c>
      <c r="BD25" s="80" t="n">
        <f aca="false" t="array" ref="BD25:BD25">IF(COLUMN() - ($E25 + 5) &lt; 0, 0,
  IF(COLUMN() - ($E25 + 5) = 0, $F25,
    BC25 * (1 - IFERROR(INDEX('Inputs &amp; Assuptions'!$C$13:$C$72, COLUMN() - ($E25 + 5)), 0))
  )
)</f>
        <v>864.347666888351</v>
      </c>
      <c r="BE25" s="80" t="n">
        <f aca="false" t="array" ref="BE25:BE25">IF(COLUMN() - ($E25 + 5) &lt; 0, 0,
  IF(COLUMN() - ($E25 + 5) = 0, $F25,
    BD25 * (1 - IFERROR(INDEX('Inputs &amp; Assuptions'!$C$13:$C$72, COLUMN() - ($E25 + 5)), 0))
  )
)</f>
        <v>860.02592855391</v>
      </c>
      <c r="BF25" s="80" t="n">
        <f aca="false" t="array" ref="BF25:BF25">IF(COLUMN() - ($E25 + 5) &lt; 0, 0,
  IF(COLUMN() - ($E25 + 5) = 0, $F25,
    BE25 * (1 - IFERROR(INDEX('Inputs &amp; Assuptions'!$C$13:$C$72, COLUMN() - ($E25 + 5)), 0))
  )
)</f>
        <v>855.72579891114</v>
      </c>
      <c r="BG25" s="80" t="n">
        <f aca="false" t="array" ref="BG25:BG25">IF(COLUMN() - ($E25 + 5) &lt; 0, 0,
  IF(COLUMN() - ($E25 + 5) = 0, $F25,
    BF25 * (1 - IFERROR(INDEX('Inputs &amp; Assuptions'!$C$13:$C$72, COLUMN() - ($E25 + 5)), 0))
  )
)</f>
        <v>851.447169916584</v>
      </c>
      <c r="BH25" s="80" t="n">
        <f aca="false" t="array" ref="BH25:BH25">IF(COLUMN() - ($E25 + 5) &lt; 0, 0,
  IF(COLUMN() - ($E25 + 5) = 0, $F25,
    BG25 * (1 - IFERROR(INDEX('Inputs &amp; Assuptions'!$C$13:$C$72, COLUMN() - ($E25 + 5)), 0))
  )
)</f>
        <v>847.189934067001</v>
      </c>
      <c r="BI25" s="80" t="n">
        <f aca="false" t="array" ref="BI25:BI25">IF(COLUMN() - ($E25 + 5) &lt; 0, 0,
  IF(COLUMN() - ($E25 + 5) = 0, $F25,
    BH25 * (1 - IFERROR(INDEX('Inputs &amp; Assuptions'!$C$13:$C$72, COLUMN() - ($E25 + 5)), 0))
  )
)</f>
        <v>842.953984396666</v>
      </c>
      <c r="BJ25" s="80" t="n">
        <f aca="false" t="array" ref="BJ25:BJ25">IF(COLUMN() - ($E25 + 5) &lt; 0, 0,
  IF(COLUMN() - ($E25 + 5) = 0, $F25,
    BI25 * (1 - IFERROR(INDEX('Inputs &amp; Assuptions'!$C$13:$C$72, COLUMN() - ($E25 + 5)), 0))
  )
)</f>
        <v>838.739214474683</v>
      </c>
      <c r="BK25" s="80" t="n">
        <f aca="false" t="array" ref="BK25:BK25">IF(COLUMN() - ($E25 + 5) &lt; 0, 0,
  IF(COLUMN() - ($E25 + 5) = 0, $F25,
    BJ25 * (1 - IFERROR(INDEX('Inputs &amp; Assuptions'!$C$13:$C$72, COLUMN() - ($E25 + 5)), 0))
  )
)</f>
        <v>834.54551840231</v>
      </c>
      <c r="BL25" s="80" t="n">
        <f aca="false" t="array" ref="BL25:BL25">IF(COLUMN() - ($E25 + 5) &lt; 0, 0,
  IF(COLUMN() - ($E25 + 5) = 0, $F25,
    BK25 * (1 - IFERROR(INDEX('Inputs &amp; Assuptions'!$C$13:$C$72, COLUMN() - ($E25 + 5)), 0))
  )
)</f>
        <v>830.372790810298</v>
      </c>
      <c r="BM25" s="81" t="n">
        <f aca="false" t="array" ref="BM25:BM25">IF(COLUMN() - ($E25 + 5) &lt; 0, 0,
  IF(COLUMN() - ($E25 + 5) = 0, $F25,
    BL25 * (1 - IFERROR(INDEX('Inputs &amp; Assuptions'!$C$13:$C$72, COLUMN() - ($E25 + 5)), 0))
  )
)</f>
        <v>826.220926856247</v>
      </c>
      <c r="BN25" s="76"/>
    </row>
    <row r="26" customFormat="false" ht="14.25" hidden="false" customHeight="false" outlineLevel="0" collapsed="false">
      <c r="A26" s="29" t="n">
        <f aca="false">A25+1</f>
        <v>21</v>
      </c>
      <c r="B26" s="77" t="n">
        <f aca="false">IF(MOD($A26-1, 12) = 0, $B25 * 1.05, $B25)</f>
        <v>1575</v>
      </c>
      <c r="C26" s="78" t="n">
        <f aca="false">$B26*(1-'Inputs &amp; Assuptions'!$C$12)</f>
        <v>1228.5</v>
      </c>
      <c r="E26" s="29" t="n">
        <f aca="false">E25+1</f>
        <v>21</v>
      </c>
      <c r="F26" s="79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 t="n">
        <f aca="false">$C26</f>
        <v>1228.5</v>
      </c>
      <c r="AA26" s="80" t="n">
        <f aca="false" t="array" ref="AA26:AA26">IF(COLUMN() - ($E26 + 5) &lt; 0, 0,
  IF(COLUMN() - ($E26 + 5) = 0, $F26,
    Z26 * (1 - IFERROR(INDEX('Inputs &amp; Assuptions'!$C$13:$C$72, COLUMN() - ($E26 + 5)), 0))
  )
)</f>
        <v>1164.00375</v>
      </c>
      <c r="AB26" s="80" t="n">
        <f aca="false" t="array" ref="AB26:AB26">IF(COLUMN() - ($E26 + 5) &lt; 0, 0,
  IF(COLUMN() - ($E26 + 5) = 0, $F26,
    AA26 * (1 - IFERROR(INDEX('Inputs &amp; Assuptions'!$C$13:$C$72, COLUMN() - ($E26 + 5)), 0))
  )
)</f>
        <v>1117.4436</v>
      </c>
      <c r="AC26" s="80" t="n">
        <f aca="false" t="array" ref="AC26:AC26">IF(COLUMN() - ($E26 + 5) &lt; 0, 0,
  IF(COLUMN() - ($E26 + 5) = 0, $F26,
    AB26 * (1 - IFERROR(INDEX('Inputs &amp; Assuptions'!$C$13:$C$72, COLUMN() - ($E26 + 5)), 0))
  )
)</f>
        <v>1086.713901</v>
      </c>
      <c r="AD26" s="80" t="n">
        <f aca="false" t="array" ref="AD26:AD26">IF(COLUMN() - ($E26 + 5) &lt; 0, 0,
  IF(COLUMN() - ($E26 + 5) = 0, $F26,
    AC26 * (1 - IFERROR(INDEX('Inputs &amp; Assuptions'!$C$13:$C$72, COLUMN() - ($E26 + 5)), 0))
  )
)</f>
        <v>1059.546053475</v>
      </c>
      <c r="AE26" s="80" t="n">
        <f aca="false" t="array" ref="AE26:AE26">IF(COLUMN() - ($E26 + 5) &lt; 0, 0,
  IF(COLUMN() - ($E26 + 5) = 0, $F26,
    AD26 * (1 - IFERROR(INDEX('Inputs &amp; Assuptions'!$C$13:$C$72, COLUMN() - ($E26 + 5)), 0))
  )
)</f>
        <v>1035.70626727181</v>
      </c>
      <c r="AF26" s="80" t="n">
        <f aca="false" t="array" ref="AF26:AF26">IF(COLUMN() - ($E26 + 5) &lt; 0, 0,
  IF(COLUMN() - ($E26 + 5) = 0, $F26,
    AE26 * (1 - IFERROR(INDEX('Inputs &amp; Assuptions'!$C$13:$C$72, COLUMN() - ($E26 + 5)), 0))
  )
)</f>
        <v>1014.99214192638</v>
      </c>
      <c r="AG26" s="80" t="n">
        <f aca="false" t="array" ref="AG26:AG26">IF(COLUMN() - ($E26 + 5) &lt; 0, 0,
  IF(COLUMN() - ($E26 + 5) = 0, $F26,
    AF26 * (1 - IFERROR(INDEX('Inputs &amp; Assuptions'!$C$13:$C$72, COLUMN() - ($E26 + 5)), 0))
  )
)</f>
        <v>997.229779442665</v>
      </c>
      <c r="AH26" s="80" t="n">
        <f aca="false" t="array" ref="AH26:AH26">IF(COLUMN() - ($E26 + 5) &lt; 0, 0,
  IF(COLUMN() - ($E26 + 5) = 0, $F26,
    AG26 * (1 - IFERROR(INDEX('Inputs &amp; Assuptions'!$C$13:$C$72, COLUMN() - ($E26 + 5)), 0))
  )
)</f>
        <v>982.271332751025</v>
      </c>
      <c r="AI26" s="80" t="n">
        <f aca="false" t="array" ref="AI26:AI26">IF(COLUMN() - ($E26 + 5) &lt; 0, 0,
  IF(COLUMN() - ($E26 + 5) = 0, $F26,
    AH26 * (1 - IFERROR(INDEX('Inputs &amp; Assuptions'!$C$13:$C$72, COLUMN() - ($E26 + 5)), 0))
  )
)</f>
        <v>969.992941091637</v>
      </c>
      <c r="AJ26" s="80" t="n">
        <f aca="false" t="array" ref="AJ26:AJ26">IF(COLUMN() - ($E26 + 5) &lt; 0, 0,
  IF(COLUMN() - ($E26 + 5) = 0, $F26,
    AI26 * (1 - IFERROR(INDEX('Inputs &amp; Assuptions'!$C$13:$C$72, COLUMN() - ($E26 + 5)), 0))
  )
)</f>
        <v>960.293011680721</v>
      </c>
      <c r="AK26" s="80" t="n">
        <f aca="false" t="array" ref="AK26:AK26">IF(COLUMN() - ($E26 + 5) &lt; 0, 0,
  IF(COLUMN() - ($E26 + 5) = 0, $F26,
    AJ26 * (1 - IFERROR(INDEX('Inputs &amp; Assuptions'!$C$13:$C$72, COLUMN() - ($E26 + 5)), 0))
  )
)</f>
        <v>955.491546622317</v>
      </c>
      <c r="AL26" s="80" t="n">
        <f aca="false" t="array" ref="AL26:AL26">IF(COLUMN() - ($E26 + 5) &lt; 0, 0,
  IF(COLUMN() - ($E26 + 5) = 0, $F26,
    AK26 * (1 - IFERROR(INDEX('Inputs &amp; Assuptions'!$C$13:$C$72, COLUMN() - ($E26 + 5)), 0))
  )
)</f>
        <v>950.714088889205</v>
      </c>
      <c r="AM26" s="80" t="n">
        <f aca="false" t="array" ref="AM26:AM26">IF(COLUMN() - ($E26 + 5) &lt; 0, 0,
  IF(COLUMN() - ($E26 + 5) = 0, $F26,
    AL26 * (1 - IFERROR(INDEX('Inputs &amp; Assuptions'!$C$13:$C$72, COLUMN() - ($E26 + 5)), 0))
  )
)</f>
        <v>945.960518444759</v>
      </c>
      <c r="AN26" s="80" t="n">
        <f aca="false" t="array" ref="AN26:AN26">IF(COLUMN() - ($E26 + 5) &lt; 0, 0,
  IF(COLUMN() - ($E26 + 5) = 0, $F26,
    AM26 * (1 - IFERROR(INDEX('Inputs &amp; Assuptions'!$C$13:$C$72, COLUMN() - ($E26 + 5)), 0))
  )
)</f>
        <v>941.230715852536</v>
      </c>
      <c r="AO26" s="80" t="n">
        <f aca="false" t="array" ref="AO26:AO26">IF(COLUMN() - ($E26 + 5) &lt; 0, 0,
  IF(COLUMN() - ($E26 + 5) = 0, $F26,
    AN26 * (1 - IFERROR(INDEX('Inputs &amp; Assuptions'!$C$13:$C$72, COLUMN() - ($E26 + 5)), 0))
  )
)</f>
        <v>936.524562273273</v>
      </c>
      <c r="AP26" s="80" t="n">
        <f aca="false" t="array" ref="AP26:AP26">IF(COLUMN() - ($E26 + 5) &lt; 0, 0,
  IF(COLUMN() - ($E26 + 5) = 0, $F26,
    AO26 * (1 - IFERROR(INDEX('Inputs &amp; Assuptions'!$C$13:$C$72, COLUMN() - ($E26 + 5)), 0))
  )
)</f>
        <v>931.841939461907</v>
      </c>
      <c r="AQ26" s="80" t="n">
        <f aca="false" t="array" ref="AQ26:AQ26">IF(COLUMN() - ($E26 + 5) &lt; 0, 0,
  IF(COLUMN() - ($E26 + 5) = 0, $F26,
    AP26 * (1 - IFERROR(INDEX('Inputs &amp; Assuptions'!$C$13:$C$72, COLUMN() - ($E26 + 5)), 0))
  )
)</f>
        <v>927.182729764597</v>
      </c>
      <c r="AR26" s="80" t="n">
        <f aca="false" t="array" ref="AR26:AR26">IF(COLUMN() - ($E26 + 5) &lt; 0, 0,
  IF(COLUMN() - ($E26 + 5) = 0, $F26,
    AQ26 * (1 - IFERROR(INDEX('Inputs &amp; Assuptions'!$C$13:$C$72, COLUMN() - ($E26 + 5)), 0))
  )
)</f>
        <v>922.546816115774</v>
      </c>
      <c r="AS26" s="80" t="n">
        <f aca="false" t="array" ref="AS26:AS26">IF(COLUMN() - ($E26 + 5) &lt; 0, 0,
  IF(COLUMN() - ($E26 + 5) = 0, $F26,
    AR26 * (1 - IFERROR(INDEX('Inputs &amp; Assuptions'!$C$13:$C$72, COLUMN() - ($E26 + 5)), 0))
  )
)</f>
        <v>917.934082035195</v>
      </c>
      <c r="AT26" s="80" t="n">
        <f aca="false" t="array" ref="AT26:AT26">IF(COLUMN() - ($E26 + 5) &lt; 0, 0,
  IF(COLUMN() - ($E26 + 5) = 0, $F26,
    AS26 * (1 - IFERROR(INDEX('Inputs &amp; Assuptions'!$C$13:$C$72, COLUMN() - ($E26 + 5)), 0))
  )
)</f>
        <v>913.344411625019</v>
      </c>
      <c r="AU26" s="80" t="n">
        <f aca="false" t="array" ref="AU26:AU26">IF(COLUMN() - ($E26 + 5) &lt; 0, 0,
  IF(COLUMN() - ($E26 + 5) = 0, $F26,
    AT26 * (1 - IFERROR(INDEX('Inputs &amp; Assuptions'!$C$13:$C$72, COLUMN() - ($E26 + 5)), 0))
  )
)</f>
        <v>908.777689566894</v>
      </c>
      <c r="AV26" s="80" t="n">
        <f aca="false" t="array" ref="AV26:AV26">IF(COLUMN() - ($E26 + 5) &lt; 0, 0,
  IF(COLUMN() - ($E26 + 5) = 0, $F26,
    AU26 * (1 - IFERROR(INDEX('Inputs &amp; Assuptions'!$C$13:$C$72, COLUMN() - ($E26 + 5)), 0))
  )
)</f>
        <v>904.23380111906</v>
      </c>
      <c r="AW26" s="80" t="n">
        <f aca="false" t="array" ref="AW26:AW26">IF(COLUMN() - ($E26 + 5) &lt; 0, 0,
  IF(COLUMN() - ($E26 + 5) = 0, $F26,
    AV26 * (1 - IFERROR(INDEX('Inputs &amp; Assuptions'!$C$13:$C$72, COLUMN() - ($E26 + 5)), 0))
  )
)</f>
        <v>899.712632113464</v>
      </c>
      <c r="AX26" s="80" t="n">
        <f aca="false" t="array" ref="AX26:AX26">IF(COLUMN() - ($E26 + 5) &lt; 0, 0,
  IF(COLUMN() - ($E26 + 5) = 0, $F26,
    AW26 * (1 - IFERROR(INDEX('Inputs &amp; Assuptions'!$C$13:$C$72, COLUMN() - ($E26 + 5)), 0))
  )
)</f>
        <v>895.214068952897</v>
      </c>
      <c r="AY26" s="80" t="n">
        <f aca="false" t="array" ref="AY26:AY26">IF(COLUMN() - ($E26 + 5) &lt; 0, 0,
  IF(COLUMN() - ($E26 + 5) = 0, $F26,
    AX26 * (1 - IFERROR(INDEX('Inputs &amp; Assuptions'!$C$13:$C$72, COLUMN() - ($E26 + 5)), 0))
  )
)</f>
        <v>890.737998608132</v>
      </c>
      <c r="AZ26" s="80" t="n">
        <f aca="false" t="array" ref="AZ26:AZ26">IF(COLUMN() - ($E26 + 5) &lt; 0, 0,
  IF(COLUMN() - ($E26 + 5) = 0, $F26,
    AY26 * (1 - IFERROR(INDEX('Inputs &amp; Assuptions'!$C$13:$C$72, COLUMN() - ($E26 + 5)), 0))
  )
)</f>
        <v>886.284308615092</v>
      </c>
      <c r="BA26" s="80" t="n">
        <f aca="false" t="array" ref="BA26:BA26">IF(COLUMN() - ($E26 + 5) &lt; 0, 0,
  IF(COLUMN() - ($E26 + 5) = 0, $F26,
    AZ26 * (1 - IFERROR(INDEX('Inputs &amp; Assuptions'!$C$13:$C$72, COLUMN() - ($E26 + 5)), 0))
  )
)</f>
        <v>881.852887072016</v>
      </c>
      <c r="BB26" s="80" t="n">
        <f aca="false" t="array" ref="BB26:BB26">IF(COLUMN() - ($E26 + 5) &lt; 0, 0,
  IF(COLUMN() - ($E26 + 5) = 0, $F26,
    BA26 * (1 - IFERROR(INDEX('Inputs &amp; Assuptions'!$C$13:$C$72, COLUMN() - ($E26 + 5)), 0))
  )
)</f>
        <v>877.443622636656</v>
      </c>
      <c r="BC26" s="80" t="n">
        <f aca="false" t="array" ref="BC26:BC26">IF(COLUMN() - ($E26 + 5) &lt; 0, 0,
  IF(COLUMN() - ($E26 + 5) = 0, $F26,
    BB26 * (1 - IFERROR(INDEX('Inputs &amp; Assuptions'!$C$13:$C$72, COLUMN() - ($E26 + 5)), 0))
  )
)</f>
        <v>873.056404523473</v>
      </c>
      <c r="BD26" s="80" t="n">
        <f aca="false" t="array" ref="BD26:BD26">IF(COLUMN() - ($E26 + 5) &lt; 0, 0,
  IF(COLUMN() - ($E26 + 5) = 0, $F26,
    BC26 * (1 - IFERROR(INDEX('Inputs &amp; Assuptions'!$C$13:$C$72, COLUMN() - ($E26 + 5)), 0))
  )
)</f>
        <v>868.691122500856</v>
      </c>
      <c r="BE26" s="80" t="n">
        <f aca="false" t="array" ref="BE26:BE26">IF(COLUMN() - ($E26 + 5) &lt; 0, 0,
  IF(COLUMN() - ($E26 + 5) = 0, $F26,
    BD26 * (1 - IFERROR(INDEX('Inputs &amp; Assuptions'!$C$13:$C$72, COLUMN() - ($E26 + 5)), 0))
  )
)</f>
        <v>864.347666888351</v>
      </c>
      <c r="BF26" s="80" t="n">
        <f aca="false" t="array" ref="BF26:BF26">IF(COLUMN() - ($E26 + 5) &lt; 0, 0,
  IF(COLUMN() - ($E26 + 5) = 0, $F26,
    BE26 * (1 - IFERROR(INDEX('Inputs &amp; Assuptions'!$C$13:$C$72, COLUMN() - ($E26 + 5)), 0))
  )
)</f>
        <v>860.02592855391</v>
      </c>
      <c r="BG26" s="80" t="n">
        <f aca="false" t="array" ref="BG26:BG26">IF(COLUMN() - ($E26 + 5) &lt; 0, 0,
  IF(COLUMN() - ($E26 + 5) = 0, $F26,
    BF26 * (1 - IFERROR(INDEX('Inputs &amp; Assuptions'!$C$13:$C$72, COLUMN() - ($E26 + 5)), 0))
  )
)</f>
        <v>855.72579891114</v>
      </c>
      <c r="BH26" s="80" t="n">
        <f aca="false" t="array" ref="BH26:BH26">IF(COLUMN() - ($E26 + 5) &lt; 0, 0,
  IF(COLUMN() - ($E26 + 5) = 0, $F26,
    BG26 * (1 - IFERROR(INDEX('Inputs &amp; Assuptions'!$C$13:$C$72, COLUMN() - ($E26 + 5)), 0))
  )
)</f>
        <v>851.447169916584</v>
      </c>
      <c r="BI26" s="80" t="n">
        <f aca="false" t="array" ref="BI26:BI26">IF(COLUMN() - ($E26 + 5) &lt; 0, 0,
  IF(COLUMN() - ($E26 + 5) = 0, $F26,
    BH26 * (1 - IFERROR(INDEX('Inputs &amp; Assuptions'!$C$13:$C$72, COLUMN() - ($E26 + 5)), 0))
  )
)</f>
        <v>847.189934067001</v>
      </c>
      <c r="BJ26" s="80" t="n">
        <f aca="false" t="array" ref="BJ26:BJ26">IF(COLUMN() - ($E26 + 5) &lt; 0, 0,
  IF(COLUMN() - ($E26 + 5) = 0, $F26,
    BI26 * (1 - IFERROR(INDEX('Inputs &amp; Assuptions'!$C$13:$C$72, COLUMN() - ($E26 + 5)), 0))
  )
)</f>
        <v>842.953984396666</v>
      </c>
      <c r="BK26" s="80" t="n">
        <f aca="false" t="array" ref="BK26:BK26">IF(COLUMN() - ($E26 + 5) &lt; 0, 0,
  IF(COLUMN() - ($E26 + 5) = 0, $F26,
    BJ26 * (1 - IFERROR(INDEX('Inputs &amp; Assuptions'!$C$13:$C$72, COLUMN() - ($E26 + 5)), 0))
  )
)</f>
        <v>838.739214474683</v>
      </c>
      <c r="BL26" s="80" t="n">
        <f aca="false" t="array" ref="BL26:BL26">IF(COLUMN() - ($E26 + 5) &lt; 0, 0,
  IF(COLUMN() - ($E26 + 5) = 0, $F26,
    BK26 * (1 - IFERROR(INDEX('Inputs &amp; Assuptions'!$C$13:$C$72, COLUMN() - ($E26 + 5)), 0))
  )
)</f>
        <v>834.54551840231</v>
      </c>
      <c r="BM26" s="81" t="n">
        <f aca="false" t="array" ref="BM26:BM26">IF(COLUMN() - ($E26 + 5) &lt; 0, 0,
  IF(COLUMN() - ($E26 + 5) = 0, $F26,
    BL26 * (1 - IFERROR(INDEX('Inputs &amp; Assuptions'!$C$13:$C$72, COLUMN() - ($E26 + 5)), 0))
  )
)</f>
        <v>830.372790810298</v>
      </c>
      <c r="BN26" s="76"/>
    </row>
    <row r="27" customFormat="false" ht="14.25" hidden="false" customHeight="false" outlineLevel="0" collapsed="false">
      <c r="A27" s="29" t="n">
        <f aca="false">A26+1</f>
        <v>22</v>
      </c>
      <c r="B27" s="77" t="n">
        <f aca="false">IF(MOD($A27-1, 12) = 0, $B26 * 1.05, $B26)</f>
        <v>1575</v>
      </c>
      <c r="C27" s="78" t="n">
        <f aca="false">$B27*(1-'Inputs &amp; Assuptions'!$C$12)</f>
        <v>1228.5</v>
      </c>
      <c r="E27" s="29" t="n">
        <f aca="false">E26+1</f>
        <v>22</v>
      </c>
      <c r="F27" s="79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 t="n">
        <f aca="false">$C27</f>
        <v>1228.5</v>
      </c>
      <c r="AB27" s="80" t="n">
        <f aca="false" t="array" ref="AB27:AB27">IF(COLUMN() - ($E27 + 5) &lt; 0, 0,
  IF(COLUMN() - ($E27 + 5) = 0, $F27,
    AA27 * (1 - IFERROR(INDEX('Inputs &amp; Assuptions'!$C$13:$C$72, COLUMN() - ($E27 + 5)), 0))
  )
)</f>
        <v>1164.00375</v>
      </c>
      <c r="AC27" s="80" t="n">
        <f aca="false" t="array" ref="AC27:AC27">IF(COLUMN() - ($E27 + 5) &lt; 0, 0,
  IF(COLUMN() - ($E27 + 5) = 0, $F27,
    AB27 * (1 - IFERROR(INDEX('Inputs &amp; Assuptions'!$C$13:$C$72, COLUMN() - ($E27 + 5)), 0))
  )
)</f>
        <v>1117.4436</v>
      </c>
      <c r="AD27" s="80" t="n">
        <f aca="false" t="array" ref="AD27:AD27">IF(COLUMN() - ($E27 + 5) &lt; 0, 0,
  IF(COLUMN() - ($E27 + 5) = 0, $F27,
    AC27 * (1 - IFERROR(INDEX('Inputs &amp; Assuptions'!$C$13:$C$72, COLUMN() - ($E27 + 5)), 0))
  )
)</f>
        <v>1086.713901</v>
      </c>
      <c r="AE27" s="80" t="n">
        <f aca="false" t="array" ref="AE27:AE27">IF(COLUMN() - ($E27 + 5) &lt; 0, 0,
  IF(COLUMN() - ($E27 + 5) = 0, $F27,
    AD27 * (1 - IFERROR(INDEX('Inputs &amp; Assuptions'!$C$13:$C$72, COLUMN() - ($E27 + 5)), 0))
  )
)</f>
        <v>1059.546053475</v>
      </c>
      <c r="AF27" s="80" t="n">
        <f aca="false" t="array" ref="AF27:AF27">IF(COLUMN() - ($E27 + 5) &lt; 0, 0,
  IF(COLUMN() - ($E27 + 5) = 0, $F27,
    AE27 * (1 - IFERROR(INDEX('Inputs &amp; Assuptions'!$C$13:$C$72, COLUMN() - ($E27 + 5)), 0))
  )
)</f>
        <v>1035.70626727181</v>
      </c>
      <c r="AG27" s="80" t="n">
        <f aca="false" t="array" ref="AG27:AG27">IF(COLUMN() - ($E27 + 5) &lt; 0, 0,
  IF(COLUMN() - ($E27 + 5) = 0, $F27,
    AF27 * (1 - IFERROR(INDEX('Inputs &amp; Assuptions'!$C$13:$C$72, COLUMN() - ($E27 + 5)), 0))
  )
)</f>
        <v>1014.99214192638</v>
      </c>
      <c r="AH27" s="80" t="n">
        <f aca="false" t="array" ref="AH27:AH27">IF(COLUMN() - ($E27 + 5) &lt; 0, 0,
  IF(COLUMN() - ($E27 + 5) = 0, $F27,
    AG27 * (1 - IFERROR(INDEX('Inputs &amp; Assuptions'!$C$13:$C$72, COLUMN() - ($E27 + 5)), 0))
  )
)</f>
        <v>997.229779442665</v>
      </c>
      <c r="AI27" s="80" t="n">
        <f aca="false" t="array" ref="AI27:AI27">IF(COLUMN() - ($E27 + 5) &lt; 0, 0,
  IF(COLUMN() - ($E27 + 5) = 0, $F27,
    AH27 * (1 - IFERROR(INDEX('Inputs &amp; Assuptions'!$C$13:$C$72, COLUMN() - ($E27 + 5)), 0))
  )
)</f>
        <v>982.271332751025</v>
      </c>
      <c r="AJ27" s="80" t="n">
        <f aca="false" t="array" ref="AJ27:AJ27">IF(COLUMN() - ($E27 + 5) &lt; 0, 0,
  IF(COLUMN() - ($E27 + 5) = 0, $F27,
    AI27 * (1 - IFERROR(INDEX('Inputs &amp; Assuptions'!$C$13:$C$72, COLUMN() - ($E27 + 5)), 0))
  )
)</f>
        <v>969.992941091637</v>
      </c>
      <c r="AK27" s="80" t="n">
        <f aca="false" t="array" ref="AK27:AK27">IF(COLUMN() - ($E27 + 5) &lt; 0, 0,
  IF(COLUMN() - ($E27 + 5) = 0, $F27,
    AJ27 * (1 - IFERROR(INDEX('Inputs &amp; Assuptions'!$C$13:$C$72, COLUMN() - ($E27 + 5)), 0))
  )
)</f>
        <v>960.293011680721</v>
      </c>
      <c r="AL27" s="80" t="n">
        <f aca="false" t="array" ref="AL27:AL27">IF(COLUMN() - ($E27 + 5) &lt; 0, 0,
  IF(COLUMN() - ($E27 + 5) = 0, $F27,
    AK27 * (1 - IFERROR(INDEX('Inputs &amp; Assuptions'!$C$13:$C$72, COLUMN() - ($E27 + 5)), 0))
  )
)</f>
        <v>955.491546622317</v>
      </c>
      <c r="AM27" s="80" t="n">
        <f aca="false" t="array" ref="AM27:AM27">IF(COLUMN() - ($E27 + 5) &lt; 0, 0,
  IF(COLUMN() - ($E27 + 5) = 0, $F27,
    AL27 * (1 - IFERROR(INDEX('Inputs &amp; Assuptions'!$C$13:$C$72, COLUMN() - ($E27 + 5)), 0))
  )
)</f>
        <v>950.714088889205</v>
      </c>
      <c r="AN27" s="80" t="n">
        <f aca="false" t="array" ref="AN27:AN27">IF(COLUMN() - ($E27 + 5) &lt; 0, 0,
  IF(COLUMN() - ($E27 + 5) = 0, $F27,
    AM27 * (1 - IFERROR(INDEX('Inputs &amp; Assuptions'!$C$13:$C$72, COLUMN() - ($E27 + 5)), 0))
  )
)</f>
        <v>945.960518444759</v>
      </c>
      <c r="AO27" s="80" t="n">
        <f aca="false" t="array" ref="AO27:AO27">IF(COLUMN() - ($E27 + 5) &lt; 0, 0,
  IF(COLUMN() - ($E27 + 5) = 0, $F27,
    AN27 * (1 - IFERROR(INDEX('Inputs &amp; Assuptions'!$C$13:$C$72, COLUMN() - ($E27 + 5)), 0))
  )
)</f>
        <v>941.230715852536</v>
      </c>
      <c r="AP27" s="80" t="n">
        <f aca="false" t="array" ref="AP27:AP27">IF(COLUMN() - ($E27 + 5) &lt; 0, 0,
  IF(COLUMN() - ($E27 + 5) = 0, $F27,
    AO27 * (1 - IFERROR(INDEX('Inputs &amp; Assuptions'!$C$13:$C$72, COLUMN() - ($E27 + 5)), 0))
  )
)</f>
        <v>936.524562273273</v>
      </c>
      <c r="AQ27" s="80" t="n">
        <f aca="false" t="array" ref="AQ27:AQ27">IF(COLUMN() - ($E27 + 5) &lt; 0, 0,
  IF(COLUMN() - ($E27 + 5) = 0, $F27,
    AP27 * (1 - IFERROR(INDEX('Inputs &amp; Assuptions'!$C$13:$C$72, COLUMN() - ($E27 + 5)), 0))
  )
)</f>
        <v>931.841939461907</v>
      </c>
      <c r="AR27" s="80" t="n">
        <f aca="false" t="array" ref="AR27:AR27">IF(COLUMN() - ($E27 + 5) &lt; 0, 0,
  IF(COLUMN() - ($E27 + 5) = 0, $F27,
    AQ27 * (1 - IFERROR(INDEX('Inputs &amp; Assuptions'!$C$13:$C$72, COLUMN() - ($E27 + 5)), 0))
  )
)</f>
        <v>927.182729764597</v>
      </c>
      <c r="AS27" s="80" t="n">
        <f aca="false" t="array" ref="AS27:AS27">IF(COLUMN() - ($E27 + 5) &lt; 0, 0,
  IF(COLUMN() - ($E27 + 5) = 0, $F27,
    AR27 * (1 - IFERROR(INDEX('Inputs &amp; Assuptions'!$C$13:$C$72, COLUMN() - ($E27 + 5)), 0))
  )
)</f>
        <v>922.546816115774</v>
      </c>
      <c r="AT27" s="80" t="n">
        <f aca="false" t="array" ref="AT27:AT27">IF(COLUMN() - ($E27 + 5) &lt; 0, 0,
  IF(COLUMN() - ($E27 + 5) = 0, $F27,
    AS27 * (1 - IFERROR(INDEX('Inputs &amp; Assuptions'!$C$13:$C$72, COLUMN() - ($E27 + 5)), 0))
  )
)</f>
        <v>917.934082035195</v>
      </c>
      <c r="AU27" s="80" t="n">
        <f aca="false" t="array" ref="AU27:AU27">IF(COLUMN() - ($E27 + 5) &lt; 0, 0,
  IF(COLUMN() - ($E27 + 5) = 0, $F27,
    AT27 * (1 - IFERROR(INDEX('Inputs &amp; Assuptions'!$C$13:$C$72, COLUMN() - ($E27 + 5)), 0))
  )
)</f>
        <v>913.344411625019</v>
      </c>
      <c r="AV27" s="80" t="n">
        <f aca="false" t="array" ref="AV27:AV27">IF(COLUMN() - ($E27 + 5) &lt; 0, 0,
  IF(COLUMN() - ($E27 + 5) = 0, $F27,
    AU27 * (1 - IFERROR(INDEX('Inputs &amp; Assuptions'!$C$13:$C$72, COLUMN() - ($E27 + 5)), 0))
  )
)</f>
        <v>908.777689566894</v>
      </c>
      <c r="AW27" s="80" t="n">
        <f aca="false" t="array" ref="AW27:AW27">IF(COLUMN() - ($E27 + 5) &lt; 0, 0,
  IF(COLUMN() - ($E27 + 5) = 0, $F27,
    AV27 * (1 - IFERROR(INDEX('Inputs &amp; Assuptions'!$C$13:$C$72, COLUMN() - ($E27 + 5)), 0))
  )
)</f>
        <v>904.23380111906</v>
      </c>
      <c r="AX27" s="80" t="n">
        <f aca="false" t="array" ref="AX27:AX27">IF(COLUMN() - ($E27 + 5) &lt; 0, 0,
  IF(COLUMN() - ($E27 + 5) = 0, $F27,
    AW27 * (1 - IFERROR(INDEX('Inputs &amp; Assuptions'!$C$13:$C$72, COLUMN() - ($E27 + 5)), 0))
  )
)</f>
        <v>899.712632113464</v>
      </c>
      <c r="AY27" s="80" t="n">
        <f aca="false" t="array" ref="AY27:AY27">IF(COLUMN() - ($E27 + 5) &lt; 0, 0,
  IF(COLUMN() - ($E27 + 5) = 0, $F27,
    AX27 * (1 - IFERROR(INDEX('Inputs &amp; Assuptions'!$C$13:$C$72, COLUMN() - ($E27 + 5)), 0))
  )
)</f>
        <v>895.214068952897</v>
      </c>
      <c r="AZ27" s="80" t="n">
        <f aca="false" t="array" ref="AZ27:AZ27">IF(COLUMN() - ($E27 + 5) &lt; 0, 0,
  IF(COLUMN() - ($E27 + 5) = 0, $F27,
    AY27 * (1 - IFERROR(INDEX('Inputs &amp; Assuptions'!$C$13:$C$72, COLUMN() - ($E27 + 5)), 0))
  )
)</f>
        <v>890.737998608132</v>
      </c>
      <c r="BA27" s="80" t="n">
        <f aca="false" t="array" ref="BA27:BA27">IF(COLUMN() - ($E27 + 5) &lt; 0, 0,
  IF(COLUMN() - ($E27 + 5) = 0, $F27,
    AZ27 * (1 - IFERROR(INDEX('Inputs &amp; Assuptions'!$C$13:$C$72, COLUMN() - ($E27 + 5)), 0))
  )
)</f>
        <v>886.284308615092</v>
      </c>
      <c r="BB27" s="80" t="n">
        <f aca="false" t="array" ref="BB27:BB27">IF(COLUMN() - ($E27 + 5) &lt; 0, 0,
  IF(COLUMN() - ($E27 + 5) = 0, $F27,
    BA27 * (1 - IFERROR(INDEX('Inputs &amp; Assuptions'!$C$13:$C$72, COLUMN() - ($E27 + 5)), 0))
  )
)</f>
        <v>881.852887072016</v>
      </c>
      <c r="BC27" s="80" t="n">
        <f aca="false" t="array" ref="BC27:BC27">IF(COLUMN() - ($E27 + 5) &lt; 0, 0,
  IF(COLUMN() - ($E27 + 5) = 0, $F27,
    BB27 * (1 - IFERROR(INDEX('Inputs &amp; Assuptions'!$C$13:$C$72, COLUMN() - ($E27 + 5)), 0))
  )
)</f>
        <v>877.443622636656</v>
      </c>
      <c r="BD27" s="80" t="n">
        <f aca="false" t="array" ref="BD27:BD27">IF(COLUMN() - ($E27 + 5) &lt; 0, 0,
  IF(COLUMN() - ($E27 + 5) = 0, $F27,
    BC27 * (1 - IFERROR(INDEX('Inputs &amp; Assuptions'!$C$13:$C$72, COLUMN() - ($E27 + 5)), 0))
  )
)</f>
        <v>873.056404523473</v>
      </c>
      <c r="BE27" s="80" t="n">
        <f aca="false" t="array" ref="BE27:BE27">IF(COLUMN() - ($E27 + 5) &lt; 0, 0,
  IF(COLUMN() - ($E27 + 5) = 0, $F27,
    BD27 * (1 - IFERROR(INDEX('Inputs &amp; Assuptions'!$C$13:$C$72, COLUMN() - ($E27 + 5)), 0))
  )
)</f>
        <v>868.691122500856</v>
      </c>
      <c r="BF27" s="80" t="n">
        <f aca="false" t="array" ref="BF27:BF27">IF(COLUMN() - ($E27 + 5) &lt; 0, 0,
  IF(COLUMN() - ($E27 + 5) = 0, $F27,
    BE27 * (1 - IFERROR(INDEX('Inputs &amp; Assuptions'!$C$13:$C$72, COLUMN() - ($E27 + 5)), 0))
  )
)</f>
        <v>864.347666888351</v>
      </c>
      <c r="BG27" s="80" t="n">
        <f aca="false" t="array" ref="BG27:BG27">IF(COLUMN() - ($E27 + 5) &lt; 0, 0,
  IF(COLUMN() - ($E27 + 5) = 0, $F27,
    BF27 * (1 - IFERROR(INDEX('Inputs &amp; Assuptions'!$C$13:$C$72, COLUMN() - ($E27 + 5)), 0))
  )
)</f>
        <v>860.02592855391</v>
      </c>
      <c r="BH27" s="80" t="n">
        <f aca="false" t="array" ref="BH27:BH27">IF(COLUMN() - ($E27 + 5) &lt; 0, 0,
  IF(COLUMN() - ($E27 + 5) = 0, $F27,
    BG27 * (1 - IFERROR(INDEX('Inputs &amp; Assuptions'!$C$13:$C$72, COLUMN() - ($E27 + 5)), 0))
  )
)</f>
        <v>855.72579891114</v>
      </c>
      <c r="BI27" s="80" t="n">
        <f aca="false" t="array" ref="BI27:BI27">IF(COLUMN() - ($E27 + 5) &lt; 0, 0,
  IF(COLUMN() - ($E27 + 5) = 0, $F27,
    BH27 * (1 - IFERROR(INDEX('Inputs &amp; Assuptions'!$C$13:$C$72, COLUMN() - ($E27 + 5)), 0))
  )
)</f>
        <v>851.447169916584</v>
      </c>
      <c r="BJ27" s="80" t="n">
        <f aca="false" t="array" ref="BJ27:BJ27">IF(COLUMN() - ($E27 + 5) &lt; 0, 0,
  IF(COLUMN() - ($E27 + 5) = 0, $F27,
    BI27 * (1 - IFERROR(INDEX('Inputs &amp; Assuptions'!$C$13:$C$72, COLUMN() - ($E27 + 5)), 0))
  )
)</f>
        <v>847.189934067001</v>
      </c>
      <c r="BK27" s="80" t="n">
        <f aca="false" t="array" ref="BK27:BK27">IF(COLUMN() - ($E27 + 5) &lt; 0, 0,
  IF(COLUMN() - ($E27 + 5) = 0, $F27,
    BJ27 * (1 - IFERROR(INDEX('Inputs &amp; Assuptions'!$C$13:$C$72, COLUMN() - ($E27 + 5)), 0))
  )
)</f>
        <v>842.953984396666</v>
      </c>
      <c r="BL27" s="80" t="n">
        <f aca="false" t="array" ref="BL27:BL27">IF(COLUMN() - ($E27 + 5) &lt; 0, 0,
  IF(COLUMN() - ($E27 + 5) = 0, $F27,
    BK27 * (1 - IFERROR(INDEX('Inputs &amp; Assuptions'!$C$13:$C$72, COLUMN() - ($E27 + 5)), 0))
  )
)</f>
        <v>838.739214474683</v>
      </c>
      <c r="BM27" s="81" t="n">
        <f aca="false" t="array" ref="BM27:BM27">IF(COLUMN() - ($E27 + 5) &lt; 0, 0,
  IF(COLUMN() - ($E27 + 5) = 0, $F27,
    BL27 * (1 - IFERROR(INDEX('Inputs &amp; Assuptions'!$C$13:$C$72, COLUMN() - ($E27 + 5)), 0))
  )
)</f>
        <v>834.54551840231</v>
      </c>
      <c r="BN27" s="76"/>
    </row>
    <row r="28" customFormat="false" ht="14.25" hidden="false" customHeight="false" outlineLevel="0" collapsed="false">
      <c r="A28" s="29" t="n">
        <f aca="false">A27+1</f>
        <v>23</v>
      </c>
      <c r="B28" s="77" t="n">
        <f aca="false">IF(MOD($A28-1, 12) = 0, $B27 * 1.05, $B27)</f>
        <v>1575</v>
      </c>
      <c r="C28" s="78" t="n">
        <f aca="false">$B28*(1-'Inputs &amp; Assuptions'!$C$12)</f>
        <v>1228.5</v>
      </c>
      <c r="E28" s="29" t="n">
        <f aca="false">E27+1</f>
        <v>23</v>
      </c>
      <c r="F28" s="79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 t="n">
        <f aca="false">$C28</f>
        <v>1228.5</v>
      </c>
      <c r="AC28" s="80" t="n">
        <f aca="false" t="array" ref="AC28:AC28">IF(COLUMN() - ($E28 + 5) &lt; 0, 0,
  IF(COLUMN() - ($E28 + 5) = 0, $F28,
    AB28 * (1 - IFERROR(INDEX('Inputs &amp; Assuptions'!$C$13:$C$72, COLUMN() - ($E28 + 5)), 0))
  )
)</f>
        <v>1164.00375</v>
      </c>
      <c r="AD28" s="80" t="n">
        <f aca="false" t="array" ref="AD28:AD28">IF(COLUMN() - ($E28 + 5) &lt; 0, 0,
  IF(COLUMN() - ($E28 + 5) = 0, $F28,
    AC28 * (1 - IFERROR(INDEX('Inputs &amp; Assuptions'!$C$13:$C$72, COLUMN() - ($E28 + 5)), 0))
  )
)</f>
        <v>1117.4436</v>
      </c>
      <c r="AE28" s="80" t="n">
        <f aca="false" t="array" ref="AE28:AE28">IF(COLUMN() - ($E28 + 5) &lt; 0, 0,
  IF(COLUMN() - ($E28 + 5) = 0, $F28,
    AD28 * (1 - IFERROR(INDEX('Inputs &amp; Assuptions'!$C$13:$C$72, COLUMN() - ($E28 + 5)), 0))
  )
)</f>
        <v>1086.713901</v>
      </c>
      <c r="AF28" s="80" t="n">
        <f aca="false" t="array" ref="AF28:AF28">IF(COLUMN() - ($E28 + 5) &lt; 0, 0,
  IF(COLUMN() - ($E28 + 5) = 0, $F28,
    AE28 * (1 - IFERROR(INDEX('Inputs &amp; Assuptions'!$C$13:$C$72, COLUMN() - ($E28 + 5)), 0))
  )
)</f>
        <v>1059.546053475</v>
      </c>
      <c r="AG28" s="80" t="n">
        <f aca="false" t="array" ref="AG28:AG28">IF(COLUMN() - ($E28 + 5) &lt; 0, 0,
  IF(COLUMN() - ($E28 + 5) = 0, $F28,
    AF28 * (1 - IFERROR(INDEX('Inputs &amp; Assuptions'!$C$13:$C$72, COLUMN() - ($E28 + 5)), 0))
  )
)</f>
        <v>1035.70626727181</v>
      </c>
      <c r="AH28" s="80" t="n">
        <f aca="false" t="array" ref="AH28:AH28">IF(COLUMN() - ($E28 + 5) &lt; 0, 0,
  IF(COLUMN() - ($E28 + 5) = 0, $F28,
    AG28 * (1 - IFERROR(INDEX('Inputs &amp; Assuptions'!$C$13:$C$72, COLUMN() - ($E28 + 5)), 0))
  )
)</f>
        <v>1014.99214192638</v>
      </c>
      <c r="AI28" s="80" t="n">
        <f aca="false" t="array" ref="AI28:AI28">IF(COLUMN() - ($E28 + 5) &lt; 0, 0,
  IF(COLUMN() - ($E28 + 5) = 0, $F28,
    AH28 * (1 - IFERROR(INDEX('Inputs &amp; Assuptions'!$C$13:$C$72, COLUMN() - ($E28 + 5)), 0))
  )
)</f>
        <v>997.229779442665</v>
      </c>
      <c r="AJ28" s="80" t="n">
        <f aca="false" t="array" ref="AJ28:AJ28">IF(COLUMN() - ($E28 + 5) &lt; 0, 0,
  IF(COLUMN() - ($E28 + 5) = 0, $F28,
    AI28 * (1 - IFERROR(INDEX('Inputs &amp; Assuptions'!$C$13:$C$72, COLUMN() - ($E28 + 5)), 0))
  )
)</f>
        <v>982.271332751025</v>
      </c>
      <c r="AK28" s="80" t="n">
        <f aca="false" t="array" ref="AK28:AK28">IF(COLUMN() - ($E28 + 5) &lt; 0, 0,
  IF(COLUMN() - ($E28 + 5) = 0, $F28,
    AJ28 * (1 - IFERROR(INDEX('Inputs &amp; Assuptions'!$C$13:$C$72, COLUMN() - ($E28 + 5)), 0))
  )
)</f>
        <v>969.992941091637</v>
      </c>
      <c r="AL28" s="80" t="n">
        <f aca="false" t="array" ref="AL28:AL28">IF(COLUMN() - ($E28 + 5) &lt; 0, 0,
  IF(COLUMN() - ($E28 + 5) = 0, $F28,
    AK28 * (1 - IFERROR(INDEX('Inputs &amp; Assuptions'!$C$13:$C$72, COLUMN() - ($E28 + 5)), 0))
  )
)</f>
        <v>960.293011680721</v>
      </c>
      <c r="AM28" s="80" t="n">
        <f aca="false" t="array" ref="AM28:AM28">IF(COLUMN() - ($E28 + 5) &lt; 0, 0,
  IF(COLUMN() - ($E28 + 5) = 0, $F28,
    AL28 * (1 - IFERROR(INDEX('Inputs &amp; Assuptions'!$C$13:$C$72, COLUMN() - ($E28 + 5)), 0))
  )
)</f>
        <v>955.491546622317</v>
      </c>
      <c r="AN28" s="80" t="n">
        <f aca="false" t="array" ref="AN28:AN28">IF(COLUMN() - ($E28 + 5) &lt; 0, 0,
  IF(COLUMN() - ($E28 + 5) = 0, $F28,
    AM28 * (1 - IFERROR(INDEX('Inputs &amp; Assuptions'!$C$13:$C$72, COLUMN() - ($E28 + 5)), 0))
  )
)</f>
        <v>950.714088889205</v>
      </c>
      <c r="AO28" s="80" t="n">
        <f aca="false" t="array" ref="AO28:AO28">IF(COLUMN() - ($E28 + 5) &lt; 0, 0,
  IF(COLUMN() - ($E28 + 5) = 0, $F28,
    AN28 * (1 - IFERROR(INDEX('Inputs &amp; Assuptions'!$C$13:$C$72, COLUMN() - ($E28 + 5)), 0))
  )
)</f>
        <v>945.960518444759</v>
      </c>
      <c r="AP28" s="80" t="n">
        <f aca="false" t="array" ref="AP28:AP28">IF(COLUMN() - ($E28 + 5) &lt; 0, 0,
  IF(COLUMN() - ($E28 + 5) = 0, $F28,
    AO28 * (1 - IFERROR(INDEX('Inputs &amp; Assuptions'!$C$13:$C$72, COLUMN() - ($E28 + 5)), 0))
  )
)</f>
        <v>941.230715852536</v>
      </c>
      <c r="AQ28" s="80" t="n">
        <f aca="false" t="array" ref="AQ28:AQ28">IF(COLUMN() - ($E28 + 5) &lt; 0, 0,
  IF(COLUMN() - ($E28 + 5) = 0, $F28,
    AP28 * (1 - IFERROR(INDEX('Inputs &amp; Assuptions'!$C$13:$C$72, COLUMN() - ($E28 + 5)), 0))
  )
)</f>
        <v>936.524562273273</v>
      </c>
      <c r="AR28" s="80" t="n">
        <f aca="false" t="array" ref="AR28:AR28">IF(COLUMN() - ($E28 + 5) &lt; 0, 0,
  IF(COLUMN() - ($E28 + 5) = 0, $F28,
    AQ28 * (1 - IFERROR(INDEX('Inputs &amp; Assuptions'!$C$13:$C$72, COLUMN() - ($E28 + 5)), 0))
  )
)</f>
        <v>931.841939461907</v>
      </c>
      <c r="AS28" s="80" t="n">
        <f aca="false" t="array" ref="AS28:AS28">IF(COLUMN() - ($E28 + 5) &lt; 0, 0,
  IF(COLUMN() - ($E28 + 5) = 0, $F28,
    AR28 * (1 - IFERROR(INDEX('Inputs &amp; Assuptions'!$C$13:$C$72, COLUMN() - ($E28 + 5)), 0))
  )
)</f>
        <v>927.182729764597</v>
      </c>
      <c r="AT28" s="80" t="n">
        <f aca="false" t="array" ref="AT28:AT28">IF(COLUMN() - ($E28 + 5) &lt; 0, 0,
  IF(COLUMN() - ($E28 + 5) = 0, $F28,
    AS28 * (1 - IFERROR(INDEX('Inputs &amp; Assuptions'!$C$13:$C$72, COLUMN() - ($E28 + 5)), 0))
  )
)</f>
        <v>922.546816115774</v>
      </c>
      <c r="AU28" s="80" t="n">
        <f aca="false" t="array" ref="AU28:AU28">IF(COLUMN() - ($E28 + 5) &lt; 0, 0,
  IF(COLUMN() - ($E28 + 5) = 0, $F28,
    AT28 * (1 - IFERROR(INDEX('Inputs &amp; Assuptions'!$C$13:$C$72, COLUMN() - ($E28 + 5)), 0))
  )
)</f>
        <v>917.934082035195</v>
      </c>
      <c r="AV28" s="80" t="n">
        <f aca="false" t="array" ref="AV28:AV28">IF(COLUMN() - ($E28 + 5) &lt; 0, 0,
  IF(COLUMN() - ($E28 + 5) = 0, $F28,
    AU28 * (1 - IFERROR(INDEX('Inputs &amp; Assuptions'!$C$13:$C$72, COLUMN() - ($E28 + 5)), 0))
  )
)</f>
        <v>913.344411625019</v>
      </c>
      <c r="AW28" s="80" t="n">
        <f aca="false" t="array" ref="AW28:AW28">IF(COLUMN() - ($E28 + 5) &lt; 0, 0,
  IF(COLUMN() - ($E28 + 5) = 0, $F28,
    AV28 * (1 - IFERROR(INDEX('Inputs &amp; Assuptions'!$C$13:$C$72, COLUMN() - ($E28 + 5)), 0))
  )
)</f>
        <v>908.777689566894</v>
      </c>
      <c r="AX28" s="80" t="n">
        <f aca="false" t="array" ref="AX28:AX28">IF(COLUMN() - ($E28 + 5) &lt; 0, 0,
  IF(COLUMN() - ($E28 + 5) = 0, $F28,
    AW28 * (1 - IFERROR(INDEX('Inputs &amp; Assuptions'!$C$13:$C$72, COLUMN() - ($E28 + 5)), 0))
  )
)</f>
        <v>904.23380111906</v>
      </c>
      <c r="AY28" s="80" t="n">
        <f aca="false" t="array" ref="AY28:AY28">IF(COLUMN() - ($E28 + 5) &lt; 0, 0,
  IF(COLUMN() - ($E28 + 5) = 0, $F28,
    AX28 * (1 - IFERROR(INDEX('Inputs &amp; Assuptions'!$C$13:$C$72, COLUMN() - ($E28 + 5)), 0))
  )
)</f>
        <v>899.712632113464</v>
      </c>
      <c r="AZ28" s="80" t="n">
        <f aca="false" t="array" ref="AZ28:AZ28">IF(COLUMN() - ($E28 + 5) &lt; 0, 0,
  IF(COLUMN() - ($E28 + 5) = 0, $F28,
    AY28 * (1 - IFERROR(INDEX('Inputs &amp; Assuptions'!$C$13:$C$72, COLUMN() - ($E28 + 5)), 0))
  )
)</f>
        <v>895.214068952897</v>
      </c>
      <c r="BA28" s="80" t="n">
        <f aca="false" t="array" ref="BA28:BA28">IF(COLUMN() - ($E28 + 5) &lt; 0, 0,
  IF(COLUMN() - ($E28 + 5) = 0, $F28,
    AZ28 * (1 - IFERROR(INDEX('Inputs &amp; Assuptions'!$C$13:$C$72, COLUMN() - ($E28 + 5)), 0))
  )
)</f>
        <v>890.737998608132</v>
      </c>
      <c r="BB28" s="80" t="n">
        <f aca="false" t="array" ref="BB28:BB28">IF(COLUMN() - ($E28 + 5) &lt; 0, 0,
  IF(COLUMN() - ($E28 + 5) = 0, $F28,
    BA28 * (1 - IFERROR(INDEX('Inputs &amp; Assuptions'!$C$13:$C$72, COLUMN() - ($E28 + 5)), 0))
  )
)</f>
        <v>886.284308615092</v>
      </c>
      <c r="BC28" s="80" t="n">
        <f aca="false" t="array" ref="BC28:BC28">IF(COLUMN() - ($E28 + 5) &lt; 0, 0,
  IF(COLUMN() - ($E28 + 5) = 0, $F28,
    BB28 * (1 - IFERROR(INDEX('Inputs &amp; Assuptions'!$C$13:$C$72, COLUMN() - ($E28 + 5)), 0))
  )
)</f>
        <v>881.852887072016</v>
      </c>
      <c r="BD28" s="80" t="n">
        <f aca="false" t="array" ref="BD28:BD28">IF(COLUMN() - ($E28 + 5) &lt; 0, 0,
  IF(COLUMN() - ($E28 + 5) = 0, $F28,
    BC28 * (1 - IFERROR(INDEX('Inputs &amp; Assuptions'!$C$13:$C$72, COLUMN() - ($E28 + 5)), 0))
  )
)</f>
        <v>877.443622636656</v>
      </c>
      <c r="BE28" s="80" t="n">
        <f aca="false" t="array" ref="BE28:BE28">IF(COLUMN() - ($E28 + 5) &lt; 0, 0,
  IF(COLUMN() - ($E28 + 5) = 0, $F28,
    BD28 * (1 - IFERROR(INDEX('Inputs &amp; Assuptions'!$C$13:$C$72, COLUMN() - ($E28 + 5)), 0))
  )
)</f>
        <v>873.056404523473</v>
      </c>
      <c r="BF28" s="80" t="n">
        <f aca="false" t="array" ref="BF28:BF28">IF(COLUMN() - ($E28 + 5) &lt; 0, 0,
  IF(COLUMN() - ($E28 + 5) = 0, $F28,
    BE28 * (1 - IFERROR(INDEX('Inputs &amp; Assuptions'!$C$13:$C$72, COLUMN() - ($E28 + 5)), 0))
  )
)</f>
        <v>868.691122500856</v>
      </c>
      <c r="BG28" s="80" t="n">
        <f aca="false" t="array" ref="BG28:BG28">IF(COLUMN() - ($E28 + 5) &lt; 0, 0,
  IF(COLUMN() - ($E28 + 5) = 0, $F28,
    BF28 * (1 - IFERROR(INDEX('Inputs &amp; Assuptions'!$C$13:$C$72, COLUMN() - ($E28 + 5)), 0))
  )
)</f>
        <v>864.347666888351</v>
      </c>
      <c r="BH28" s="80" t="n">
        <f aca="false" t="array" ref="BH28:BH28">IF(COLUMN() - ($E28 + 5) &lt; 0, 0,
  IF(COLUMN() - ($E28 + 5) = 0, $F28,
    BG28 * (1 - IFERROR(INDEX('Inputs &amp; Assuptions'!$C$13:$C$72, COLUMN() - ($E28 + 5)), 0))
  )
)</f>
        <v>860.02592855391</v>
      </c>
      <c r="BI28" s="80" t="n">
        <f aca="false" t="array" ref="BI28:BI28">IF(COLUMN() - ($E28 + 5) &lt; 0, 0,
  IF(COLUMN() - ($E28 + 5) = 0, $F28,
    BH28 * (1 - IFERROR(INDEX('Inputs &amp; Assuptions'!$C$13:$C$72, COLUMN() - ($E28 + 5)), 0))
  )
)</f>
        <v>855.72579891114</v>
      </c>
      <c r="BJ28" s="80" t="n">
        <f aca="false" t="array" ref="BJ28:BJ28">IF(COLUMN() - ($E28 + 5) &lt; 0, 0,
  IF(COLUMN() - ($E28 + 5) = 0, $F28,
    BI28 * (1 - IFERROR(INDEX('Inputs &amp; Assuptions'!$C$13:$C$72, COLUMN() - ($E28 + 5)), 0))
  )
)</f>
        <v>851.447169916584</v>
      </c>
      <c r="BK28" s="80" t="n">
        <f aca="false" t="array" ref="BK28:BK28">IF(COLUMN() - ($E28 + 5) &lt; 0, 0,
  IF(COLUMN() - ($E28 + 5) = 0, $F28,
    BJ28 * (1 - IFERROR(INDEX('Inputs &amp; Assuptions'!$C$13:$C$72, COLUMN() - ($E28 + 5)), 0))
  )
)</f>
        <v>847.189934067001</v>
      </c>
      <c r="BL28" s="80" t="n">
        <f aca="false" t="array" ref="BL28:BL28">IF(COLUMN() - ($E28 + 5) &lt; 0, 0,
  IF(COLUMN() - ($E28 + 5) = 0, $F28,
    BK28 * (1 - IFERROR(INDEX('Inputs &amp; Assuptions'!$C$13:$C$72, COLUMN() - ($E28 + 5)), 0))
  )
)</f>
        <v>842.953984396666</v>
      </c>
      <c r="BM28" s="81" t="n">
        <f aca="false" t="array" ref="BM28:BM28">IF(COLUMN() - ($E28 + 5) &lt; 0, 0,
  IF(COLUMN() - ($E28 + 5) = 0, $F28,
    BL28 * (1 - IFERROR(INDEX('Inputs &amp; Assuptions'!$C$13:$C$72, COLUMN() - ($E28 + 5)), 0))
  )
)</f>
        <v>838.739214474683</v>
      </c>
      <c r="BN28" s="76"/>
    </row>
    <row r="29" customFormat="false" ht="14.25" hidden="false" customHeight="false" outlineLevel="0" collapsed="false">
      <c r="A29" s="29" t="n">
        <f aca="false">A28+1</f>
        <v>24</v>
      </c>
      <c r="B29" s="77" t="n">
        <f aca="false">IF(MOD($A29-1, 12) = 0, $B28 * 1.05, $B28)</f>
        <v>1575</v>
      </c>
      <c r="C29" s="78" t="n">
        <f aca="false">$B29*(1-'Inputs &amp; Assuptions'!$C$12)</f>
        <v>1228.5</v>
      </c>
      <c r="E29" s="29" t="n">
        <f aca="false">E28+1</f>
        <v>24</v>
      </c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 t="n">
        <f aca="false">$C29</f>
        <v>1228.5</v>
      </c>
      <c r="AD29" s="80" t="n">
        <f aca="false" t="array" ref="AD29:AD29">IF(COLUMN() - ($E29 + 5) &lt; 0, 0,
  IF(COLUMN() - ($E29 + 5) = 0, $F29,
    AC29 * (1 - IFERROR(INDEX('Inputs &amp; Assuptions'!$C$13:$C$72, COLUMN() - ($E29 + 5)), 0))
  )
)</f>
        <v>1164.00375</v>
      </c>
      <c r="AE29" s="80" t="n">
        <f aca="false" t="array" ref="AE29:AE29">IF(COLUMN() - ($E29 + 5) &lt; 0, 0,
  IF(COLUMN() - ($E29 + 5) = 0, $F29,
    AD29 * (1 - IFERROR(INDEX('Inputs &amp; Assuptions'!$C$13:$C$72, COLUMN() - ($E29 + 5)), 0))
  )
)</f>
        <v>1117.4436</v>
      </c>
      <c r="AF29" s="80" t="n">
        <f aca="false" t="array" ref="AF29:AF29">IF(COLUMN() - ($E29 + 5) &lt; 0, 0,
  IF(COLUMN() - ($E29 + 5) = 0, $F29,
    AE29 * (1 - IFERROR(INDEX('Inputs &amp; Assuptions'!$C$13:$C$72, COLUMN() - ($E29 + 5)), 0))
  )
)</f>
        <v>1086.713901</v>
      </c>
      <c r="AG29" s="80" t="n">
        <f aca="false" t="array" ref="AG29:AG29">IF(COLUMN() - ($E29 + 5) &lt; 0, 0,
  IF(COLUMN() - ($E29 + 5) = 0, $F29,
    AF29 * (1 - IFERROR(INDEX('Inputs &amp; Assuptions'!$C$13:$C$72, COLUMN() - ($E29 + 5)), 0))
  )
)</f>
        <v>1059.546053475</v>
      </c>
      <c r="AH29" s="80" t="n">
        <f aca="false" t="array" ref="AH29:AH29">IF(COLUMN() - ($E29 + 5) &lt; 0, 0,
  IF(COLUMN() - ($E29 + 5) = 0, $F29,
    AG29 * (1 - IFERROR(INDEX('Inputs &amp; Assuptions'!$C$13:$C$72, COLUMN() - ($E29 + 5)), 0))
  )
)</f>
        <v>1035.70626727181</v>
      </c>
      <c r="AI29" s="80" t="n">
        <f aca="false" t="array" ref="AI29:AI29">IF(COLUMN() - ($E29 + 5) &lt; 0, 0,
  IF(COLUMN() - ($E29 + 5) = 0, $F29,
    AH29 * (1 - IFERROR(INDEX('Inputs &amp; Assuptions'!$C$13:$C$72, COLUMN() - ($E29 + 5)), 0))
  )
)</f>
        <v>1014.99214192638</v>
      </c>
      <c r="AJ29" s="80" t="n">
        <f aca="false" t="array" ref="AJ29:AJ29">IF(COLUMN() - ($E29 + 5) &lt; 0, 0,
  IF(COLUMN() - ($E29 + 5) = 0, $F29,
    AI29 * (1 - IFERROR(INDEX('Inputs &amp; Assuptions'!$C$13:$C$72, COLUMN() - ($E29 + 5)), 0))
  )
)</f>
        <v>997.229779442665</v>
      </c>
      <c r="AK29" s="80" t="n">
        <f aca="false" t="array" ref="AK29:AK29">IF(COLUMN() - ($E29 + 5) &lt; 0, 0,
  IF(COLUMN() - ($E29 + 5) = 0, $F29,
    AJ29 * (1 - IFERROR(INDEX('Inputs &amp; Assuptions'!$C$13:$C$72, COLUMN() - ($E29 + 5)), 0))
  )
)</f>
        <v>982.271332751025</v>
      </c>
      <c r="AL29" s="80" t="n">
        <f aca="false" t="array" ref="AL29:AL29">IF(COLUMN() - ($E29 + 5) &lt; 0, 0,
  IF(COLUMN() - ($E29 + 5) = 0, $F29,
    AK29 * (1 - IFERROR(INDEX('Inputs &amp; Assuptions'!$C$13:$C$72, COLUMN() - ($E29 + 5)), 0))
  )
)</f>
        <v>969.992941091637</v>
      </c>
      <c r="AM29" s="80" t="n">
        <f aca="false" t="array" ref="AM29:AM29">IF(COLUMN() - ($E29 + 5) &lt; 0, 0,
  IF(COLUMN() - ($E29 + 5) = 0, $F29,
    AL29 * (1 - IFERROR(INDEX('Inputs &amp; Assuptions'!$C$13:$C$72, COLUMN() - ($E29 + 5)), 0))
  )
)</f>
        <v>960.293011680721</v>
      </c>
      <c r="AN29" s="80" t="n">
        <f aca="false" t="array" ref="AN29:AN29">IF(COLUMN() - ($E29 + 5) &lt; 0, 0,
  IF(COLUMN() - ($E29 + 5) = 0, $F29,
    AM29 * (1 - IFERROR(INDEX('Inputs &amp; Assuptions'!$C$13:$C$72, COLUMN() - ($E29 + 5)), 0))
  )
)</f>
        <v>955.491546622317</v>
      </c>
      <c r="AO29" s="80" t="n">
        <f aca="false" t="array" ref="AO29:AO29">IF(COLUMN() - ($E29 + 5) &lt; 0, 0,
  IF(COLUMN() - ($E29 + 5) = 0, $F29,
    AN29 * (1 - IFERROR(INDEX('Inputs &amp; Assuptions'!$C$13:$C$72, COLUMN() - ($E29 + 5)), 0))
  )
)</f>
        <v>950.714088889205</v>
      </c>
      <c r="AP29" s="80" t="n">
        <f aca="false" t="array" ref="AP29:AP29">IF(COLUMN() - ($E29 + 5) &lt; 0, 0,
  IF(COLUMN() - ($E29 + 5) = 0, $F29,
    AO29 * (1 - IFERROR(INDEX('Inputs &amp; Assuptions'!$C$13:$C$72, COLUMN() - ($E29 + 5)), 0))
  )
)</f>
        <v>945.960518444759</v>
      </c>
      <c r="AQ29" s="80" t="n">
        <f aca="false" t="array" ref="AQ29:AQ29">IF(COLUMN() - ($E29 + 5) &lt; 0, 0,
  IF(COLUMN() - ($E29 + 5) = 0, $F29,
    AP29 * (1 - IFERROR(INDEX('Inputs &amp; Assuptions'!$C$13:$C$72, COLUMN() - ($E29 + 5)), 0))
  )
)</f>
        <v>941.230715852536</v>
      </c>
      <c r="AR29" s="80" t="n">
        <f aca="false" t="array" ref="AR29:AR29">IF(COLUMN() - ($E29 + 5) &lt; 0, 0,
  IF(COLUMN() - ($E29 + 5) = 0, $F29,
    AQ29 * (1 - IFERROR(INDEX('Inputs &amp; Assuptions'!$C$13:$C$72, COLUMN() - ($E29 + 5)), 0))
  )
)</f>
        <v>936.524562273273</v>
      </c>
      <c r="AS29" s="80" t="n">
        <f aca="false" t="array" ref="AS29:AS29">IF(COLUMN() - ($E29 + 5) &lt; 0, 0,
  IF(COLUMN() - ($E29 + 5) = 0, $F29,
    AR29 * (1 - IFERROR(INDEX('Inputs &amp; Assuptions'!$C$13:$C$72, COLUMN() - ($E29 + 5)), 0))
  )
)</f>
        <v>931.841939461907</v>
      </c>
      <c r="AT29" s="80" t="n">
        <f aca="false" t="array" ref="AT29:AT29">IF(COLUMN() - ($E29 + 5) &lt; 0, 0,
  IF(COLUMN() - ($E29 + 5) = 0, $F29,
    AS29 * (1 - IFERROR(INDEX('Inputs &amp; Assuptions'!$C$13:$C$72, COLUMN() - ($E29 + 5)), 0))
  )
)</f>
        <v>927.182729764597</v>
      </c>
      <c r="AU29" s="80" t="n">
        <f aca="false" t="array" ref="AU29:AU29">IF(COLUMN() - ($E29 + 5) &lt; 0, 0,
  IF(COLUMN() - ($E29 + 5) = 0, $F29,
    AT29 * (1 - IFERROR(INDEX('Inputs &amp; Assuptions'!$C$13:$C$72, COLUMN() - ($E29 + 5)), 0))
  )
)</f>
        <v>922.546816115774</v>
      </c>
      <c r="AV29" s="80" t="n">
        <f aca="false" t="array" ref="AV29:AV29">IF(COLUMN() - ($E29 + 5) &lt; 0, 0,
  IF(COLUMN() - ($E29 + 5) = 0, $F29,
    AU29 * (1 - IFERROR(INDEX('Inputs &amp; Assuptions'!$C$13:$C$72, COLUMN() - ($E29 + 5)), 0))
  )
)</f>
        <v>917.934082035195</v>
      </c>
      <c r="AW29" s="80" t="n">
        <f aca="false" t="array" ref="AW29:AW29">IF(COLUMN() - ($E29 + 5) &lt; 0, 0,
  IF(COLUMN() - ($E29 + 5) = 0, $F29,
    AV29 * (1 - IFERROR(INDEX('Inputs &amp; Assuptions'!$C$13:$C$72, COLUMN() - ($E29 + 5)), 0))
  )
)</f>
        <v>913.344411625019</v>
      </c>
      <c r="AX29" s="80" t="n">
        <f aca="false" t="array" ref="AX29:AX29">IF(COLUMN() - ($E29 + 5) &lt; 0, 0,
  IF(COLUMN() - ($E29 + 5) = 0, $F29,
    AW29 * (1 - IFERROR(INDEX('Inputs &amp; Assuptions'!$C$13:$C$72, COLUMN() - ($E29 + 5)), 0))
  )
)</f>
        <v>908.777689566894</v>
      </c>
      <c r="AY29" s="80" t="n">
        <f aca="false" t="array" ref="AY29:AY29">IF(COLUMN() - ($E29 + 5) &lt; 0, 0,
  IF(COLUMN() - ($E29 + 5) = 0, $F29,
    AX29 * (1 - IFERROR(INDEX('Inputs &amp; Assuptions'!$C$13:$C$72, COLUMN() - ($E29 + 5)), 0))
  )
)</f>
        <v>904.23380111906</v>
      </c>
      <c r="AZ29" s="80" t="n">
        <f aca="false" t="array" ref="AZ29:AZ29">IF(COLUMN() - ($E29 + 5) &lt; 0, 0,
  IF(COLUMN() - ($E29 + 5) = 0, $F29,
    AY29 * (1 - IFERROR(INDEX('Inputs &amp; Assuptions'!$C$13:$C$72, COLUMN() - ($E29 + 5)), 0))
  )
)</f>
        <v>899.712632113464</v>
      </c>
      <c r="BA29" s="80" t="n">
        <f aca="false" t="array" ref="BA29:BA29">IF(COLUMN() - ($E29 + 5) &lt; 0, 0,
  IF(COLUMN() - ($E29 + 5) = 0, $F29,
    AZ29 * (1 - IFERROR(INDEX('Inputs &amp; Assuptions'!$C$13:$C$72, COLUMN() - ($E29 + 5)), 0))
  )
)</f>
        <v>895.214068952897</v>
      </c>
      <c r="BB29" s="80" t="n">
        <f aca="false" t="array" ref="BB29:BB29">IF(COLUMN() - ($E29 + 5) &lt; 0, 0,
  IF(COLUMN() - ($E29 + 5) = 0, $F29,
    BA29 * (1 - IFERROR(INDEX('Inputs &amp; Assuptions'!$C$13:$C$72, COLUMN() - ($E29 + 5)), 0))
  )
)</f>
        <v>890.737998608132</v>
      </c>
      <c r="BC29" s="80" t="n">
        <f aca="false" t="array" ref="BC29:BC29">IF(COLUMN() - ($E29 + 5) &lt; 0, 0,
  IF(COLUMN() - ($E29 + 5) = 0, $F29,
    BB29 * (1 - IFERROR(INDEX('Inputs &amp; Assuptions'!$C$13:$C$72, COLUMN() - ($E29 + 5)), 0))
  )
)</f>
        <v>886.284308615092</v>
      </c>
      <c r="BD29" s="80" t="n">
        <f aca="false" t="array" ref="BD29:BD29">IF(COLUMN() - ($E29 + 5) &lt; 0, 0,
  IF(COLUMN() - ($E29 + 5) = 0, $F29,
    BC29 * (1 - IFERROR(INDEX('Inputs &amp; Assuptions'!$C$13:$C$72, COLUMN() - ($E29 + 5)), 0))
  )
)</f>
        <v>881.852887072016</v>
      </c>
      <c r="BE29" s="80" t="n">
        <f aca="false" t="array" ref="BE29:BE29">IF(COLUMN() - ($E29 + 5) &lt; 0, 0,
  IF(COLUMN() - ($E29 + 5) = 0, $F29,
    BD29 * (1 - IFERROR(INDEX('Inputs &amp; Assuptions'!$C$13:$C$72, COLUMN() - ($E29 + 5)), 0))
  )
)</f>
        <v>877.443622636656</v>
      </c>
      <c r="BF29" s="80" t="n">
        <f aca="false" t="array" ref="BF29:BF29">IF(COLUMN() - ($E29 + 5) &lt; 0, 0,
  IF(COLUMN() - ($E29 + 5) = 0, $F29,
    BE29 * (1 - IFERROR(INDEX('Inputs &amp; Assuptions'!$C$13:$C$72, COLUMN() - ($E29 + 5)), 0))
  )
)</f>
        <v>873.056404523473</v>
      </c>
      <c r="BG29" s="80" t="n">
        <f aca="false" t="array" ref="BG29:BG29">IF(COLUMN() - ($E29 + 5) &lt; 0, 0,
  IF(COLUMN() - ($E29 + 5) = 0, $F29,
    BF29 * (1 - IFERROR(INDEX('Inputs &amp; Assuptions'!$C$13:$C$72, COLUMN() - ($E29 + 5)), 0))
  )
)</f>
        <v>868.691122500856</v>
      </c>
      <c r="BH29" s="80" t="n">
        <f aca="false" t="array" ref="BH29:BH29">IF(COLUMN() - ($E29 + 5) &lt; 0, 0,
  IF(COLUMN() - ($E29 + 5) = 0, $F29,
    BG29 * (1 - IFERROR(INDEX('Inputs &amp; Assuptions'!$C$13:$C$72, COLUMN() - ($E29 + 5)), 0))
  )
)</f>
        <v>864.347666888351</v>
      </c>
      <c r="BI29" s="80" t="n">
        <f aca="false" t="array" ref="BI29:BI29">IF(COLUMN() - ($E29 + 5) &lt; 0, 0,
  IF(COLUMN() - ($E29 + 5) = 0, $F29,
    BH29 * (1 - IFERROR(INDEX('Inputs &amp; Assuptions'!$C$13:$C$72, COLUMN() - ($E29 + 5)), 0))
  )
)</f>
        <v>860.02592855391</v>
      </c>
      <c r="BJ29" s="80" t="n">
        <f aca="false" t="array" ref="BJ29:BJ29">IF(COLUMN() - ($E29 + 5) &lt; 0, 0,
  IF(COLUMN() - ($E29 + 5) = 0, $F29,
    BI29 * (1 - IFERROR(INDEX('Inputs &amp; Assuptions'!$C$13:$C$72, COLUMN() - ($E29 + 5)), 0))
  )
)</f>
        <v>855.72579891114</v>
      </c>
      <c r="BK29" s="80" t="n">
        <f aca="false" t="array" ref="BK29:BK29">IF(COLUMN() - ($E29 + 5) &lt; 0, 0,
  IF(COLUMN() - ($E29 + 5) = 0, $F29,
    BJ29 * (1 - IFERROR(INDEX('Inputs &amp; Assuptions'!$C$13:$C$72, COLUMN() - ($E29 + 5)), 0))
  )
)</f>
        <v>851.447169916584</v>
      </c>
      <c r="BL29" s="80" t="n">
        <f aca="false" t="array" ref="BL29:BL29">IF(COLUMN() - ($E29 + 5) &lt; 0, 0,
  IF(COLUMN() - ($E29 + 5) = 0, $F29,
    BK29 * (1 - IFERROR(INDEX('Inputs &amp; Assuptions'!$C$13:$C$72, COLUMN() - ($E29 + 5)), 0))
  )
)</f>
        <v>847.189934067001</v>
      </c>
      <c r="BM29" s="81" t="n">
        <f aca="false" t="array" ref="BM29:BM29">IF(COLUMN() - ($E29 + 5) &lt; 0, 0,
  IF(COLUMN() - ($E29 + 5) = 0, $F29,
    BL29 * (1 - IFERROR(INDEX('Inputs &amp; Assuptions'!$C$13:$C$72, COLUMN() - ($E29 + 5)), 0))
  )
)</f>
        <v>842.953984396666</v>
      </c>
      <c r="BN29" s="76"/>
    </row>
    <row r="30" customFormat="false" ht="14.25" hidden="false" customHeight="false" outlineLevel="0" collapsed="false">
      <c r="A30" s="29" t="n">
        <f aca="false">A29+1</f>
        <v>25</v>
      </c>
      <c r="B30" s="77" t="n">
        <f aca="false">IF(MOD($A30-1, 12) = 0, $B29 * 1.05, $B29)</f>
        <v>1653.75</v>
      </c>
      <c r="C30" s="78" t="n">
        <f aca="false">$B30*(1-'Inputs &amp; Assuptions'!$C$12)</f>
        <v>1289.925</v>
      </c>
      <c r="E30" s="29" t="n">
        <f aca="false">E29+1</f>
        <v>25</v>
      </c>
      <c r="F30" s="79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 t="n">
        <f aca="false">$C30</f>
        <v>1289.925</v>
      </c>
      <c r="AE30" s="80" t="n">
        <f aca="false" t="array" ref="AE30:AE30">IF(COLUMN() - ($E30 + 5) &lt; 0, 0,
  IF(COLUMN() - ($E30 + 5) = 0, $F30,
    AD30 * (1 - IFERROR(INDEX('Inputs &amp; Assuptions'!$C$13:$C$72, COLUMN() - ($E30 + 5)), 0))
  )
)</f>
        <v>1222.2039375</v>
      </c>
      <c r="AF30" s="80" t="n">
        <f aca="false" t="array" ref="AF30:AF30">IF(COLUMN() - ($E30 + 5) &lt; 0, 0,
  IF(COLUMN() - ($E30 + 5) = 0, $F30,
    AE30 * (1 - IFERROR(INDEX('Inputs &amp; Assuptions'!$C$13:$C$72, COLUMN() - ($E30 + 5)), 0))
  )
)</f>
        <v>1173.31578</v>
      </c>
      <c r="AG30" s="80" t="n">
        <f aca="false" t="array" ref="AG30:AG30">IF(COLUMN() - ($E30 + 5) &lt; 0, 0,
  IF(COLUMN() - ($E30 + 5) = 0, $F30,
    AF30 * (1 - IFERROR(INDEX('Inputs &amp; Assuptions'!$C$13:$C$72, COLUMN() - ($E30 + 5)), 0))
  )
)</f>
        <v>1141.04959605</v>
      </c>
      <c r="AH30" s="80" t="n">
        <f aca="false" t="array" ref="AH30:AH30">IF(COLUMN() - ($E30 + 5) &lt; 0, 0,
  IF(COLUMN() - ($E30 + 5) = 0, $F30,
    AG30 * (1 - IFERROR(INDEX('Inputs &amp; Assuptions'!$C$13:$C$72, COLUMN() - ($E30 + 5)), 0))
  )
)</f>
        <v>1112.52335614875</v>
      </c>
      <c r="AI30" s="80" t="n">
        <f aca="false" t="array" ref="AI30:AI30">IF(COLUMN() - ($E30 + 5) &lt; 0, 0,
  IF(COLUMN() - ($E30 + 5) = 0, $F30,
    AH30 * (1 - IFERROR(INDEX('Inputs &amp; Assuptions'!$C$13:$C$72, COLUMN() - ($E30 + 5)), 0))
  )
)</f>
        <v>1087.4915806354</v>
      </c>
      <c r="AJ30" s="80" t="n">
        <f aca="false" t="array" ref="AJ30:AJ30">IF(COLUMN() - ($E30 + 5) &lt; 0, 0,
  IF(COLUMN() - ($E30 + 5) = 0, $F30,
    AI30 * (1 - IFERROR(INDEX('Inputs &amp; Assuptions'!$C$13:$C$72, COLUMN() - ($E30 + 5)), 0))
  )
)</f>
        <v>1065.7417490227</v>
      </c>
      <c r="AK30" s="80" t="n">
        <f aca="false" t="array" ref="AK30:AK30">IF(COLUMN() - ($E30 + 5) &lt; 0, 0,
  IF(COLUMN() - ($E30 + 5) = 0, $F30,
    AJ30 * (1 - IFERROR(INDEX('Inputs &amp; Assuptions'!$C$13:$C$72, COLUMN() - ($E30 + 5)), 0))
  )
)</f>
        <v>1047.0912684148</v>
      </c>
      <c r="AL30" s="80" t="n">
        <f aca="false" t="array" ref="AL30:AL30">IF(COLUMN() - ($E30 + 5) &lt; 0, 0,
  IF(COLUMN() - ($E30 + 5) = 0, $F30,
    AK30 * (1 - IFERROR(INDEX('Inputs &amp; Assuptions'!$C$13:$C$72, COLUMN() - ($E30 + 5)), 0))
  )
)</f>
        <v>1031.38489938858</v>
      </c>
      <c r="AM30" s="80" t="n">
        <f aca="false" t="array" ref="AM30:AM30">IF(COLUMN() - ($E30 + 5) &lt; 0, 0,
  IF(COLUMN() - ($E30 + 5) = 0, $F30,
    AL30 * (1 - IFERROR(INDEX('Inputs &amp; Assuptions'!$C$13:$C$72, COLUMN() - ($E30 + 5)), 0))
  )
)</f>
        <v>1018.49258814622</v>
      </c>
      <c r="AN30" s="80" t="n">
        <f aca="false" t="array" ref="AN30:AN30">IF(COLUMN() - ($E30 + 5) &lt; 0, 0,
  IF(COLUMN() - ($E30 + 5) = 0, $F30,
    AM30 * (1 - IFERROR(INDEX('Inputs &amp; Assuptions'!$C$13:$C$72, COLUMN() - ($E30 + 5)), 0))
  )
)</f>
        <v>1008.30766226476</v>
      </c>
      <c r="AO30" s="80" t="n">
        <f aca="false" t="array" ref="AO30:AO30">IF(COLUMN() - ($E30 + 5) &lt; 0, 0,
  IF(COLUMN() - ($E30 + 5) = 0, $F30,
    AN30 * (1 - IFERROR(INDEX('Inputs &amp; Assuptions'!$C$13:$C$72, COLUMN() - ($E30 + 5)), 0))
  )
)</f>
        <v>1003.26612395343</v>
      </c>
      <c r="AP30" s="80" t="n">
        <f aca="false" t="array" ref="AP30:AP30">IF(COLUMN() - ($E30 + 5) &lt; 0, 0,
  IF(COLUMN() - ($E30 + 5) = 0, $F30,
    AO30 * (1 - IFERROR(INDEX('Inputs &amp; Assuptions'!$C$13:$C$72, COLUMN() - ($E30 + 5)), 0))
  )
)</f>
        <v>998.249793333666</v>
      </c>
      <c r="AQ30" s="80" t="n">
        <f aca="false" t="array" ref="AQ30:AQ30">IF(COLUMN() - ($E30 + 5) &lt; 0, 0,
  IF(COLUMN() - ($E30 + 5) = 0, $F30,
    AP30 * (1 - IFERROR(INDEX('Inputs &amp; Assuptions'!$C$13:$C$72, COLUMN() - ($E30 + 5)), 0))
  )
)</f>
        <v>993.258544366997</v>
      </c>
      <c r="AR30" s="80" t="n">
        <f aca="false" t="array" ref="AR30:AR30">IF(COLUMN() - ($E30 + 5) &lt; 0, 0,
  IF(COLUMN() - ($E30 + 5) = 0, $F30,
    AQ30 * (1 - IFERROR(INDEX('Inputs &amp; Assuptions'!$C$13:$C$72, COLUMN() - ($E30 + 5)), 0))
  )
)</f>
        <v>988.292251645162</v>
      </c>
      <c r="AS30" s="80" t="n">
        <f aca="false" t="array" ref="AS30:AS30">IF(COLUMN() - ($E30 + 5) &lt; 0, 0,
  IF(COLUMN() - ($E30 + 5) = 0, $F30,
    AR30 * (1 - IFERROR(INDEX('Inputs &amp; Assuptions'!$C$13:$C$72, COLUMN() - ($E30 + 5)), 0))
  )
)</f>
        <v>983.350790386937</v>
      </c>
      <c r="AT30" s="80" t="n">
        <f aca="false" t="array" ref="AT30:AT30">IF(COLUMN() - ($E30 + 5) &lt; 0, 0,
  IF(COLUMN() - ($E30 + 5) = 0, $F30,
    AS30 * (1 - IFERROR(INDEX('Inputs &amp; Assuptions'!$C$13:$C$72, COLUMN() - ($E30 + 5)), 0))
  )
)</f>
        <v>978.434036435002</v>
      </c>
      <c r="AU30" s="80" t="n">
        <f aca="false" t="array" ref="AU30:AU30">IF(COLUMN() - ($E30 + 5) &lt; 0, 0,
  IF(COLUMN() - ($E30 + 5) = 0, $F30,
    AT30 * (1 - IFERROR(INDEX('Inputs &amp; Assuptions'!$C$13:$C$72, COLUMN() - ($E30 + 5)), 0))
  )
)</f>
        <v>973.541866252827</v>
      </c>
      <c r="AV30" s="80" t="n">
        <f aca="false" t="array" ref="AV30:AV30">IF(COLUMN() - ($E30 + 5) &lt; 0, 0,
  IF(COLUMN() - ($E30 + 5) = 0, $F30,
    AU30 * (1 - IFERROR(INDEX('Inputs &amp; Assuptions'!$C$13:$C$72, COLUMN() - ($E30 + 5)), 0))
  )
)</f>
        <v>968.674156921563</v>
      </c>
      <c r="AW30" s="80" t="n">
        <f aca="false" t="array" ref="AW30:AW30">IF(COLUMN() - ($E30 + 5) &lt; 0, 0,
  IF(COLUMN() - ($E30 + 5) = 0, $F30,
    AV30 * (1 - IFERROR(INDEX('Inputs &amp; Assuptions'!$C$13:$C$72, COLUMN() - ($E30 + 5)), 0))
  )
)</f>
        <v>963.830786136955</v>
      </c>
      <c r="AX30" s="80" t="n">
        <f aca="false" t="array" ref="AX30:AX30">IF(COLUMN() - ($E30 + 5) &lt; 0, 0,
  IF(COLUMN() - ($E30 + 5) = 0, $F30,
    AW30 * (1 - IFERROR(INDEX('Inputs &amp; Assuptions'!$C$13:$C$72, COLUMN() - ($E30 + 5)), 0))
  )
)</f>
        <v>959.01163220627</v>
      </c>
      <c r="AY30" s="80" t="n">
        <f aca="false" t="array" ref="AY30:AY30">IF(COLUMN() - ($E30 + 5) &lt; 0, 0,
  IF(COLUMN() - ($E30 + 5) = 0, $F30,
    AX30 * (1 - IFERROR(INDEX('Inputs &amp; Assuptions'!$C$13:$C$72, COLUMN() - ($E30 + 5)), 0))
  )
)</f>
        <v>954.216574045239</v>
      </c>
      <c r="AZ30" s="80" t="n">
        <f aca="false" t="array" ref="AZ30:AZ30">IF(COLUMN() - ($E30 + 5) &lt; 0, 0,
  IF(COLUMN() - ($E30 + 5) = 0, $F30,
    AY30 * (1 - IFERROR(INDEX('Inputs &amp; Assuptions'!$C$13:$C$72, COLUMN() - ($E30 + 5)), 0))
  )
)</f>
        <v>949.445491175013</v>
      </c>
      <c r="BA30" s="80" t="n">
        <f aca="false" t="array" ref="BA30:BA30">IF(COLUMN() - ($E30 + 5) &lt; 0, 0,
  IF(COLUMN() - ($E30 + 5) = 0, $F30,
    AZ30 * (1 - IFERROR(INDEX('Inputs &amp; Assuptions'!$C$13:$C$72, COLUMN() - ($E30 + 5)), 0))
  )
)</f>
        <v>944.698263719138</v>
      </c>
      <c r="BB30" s="80" t="n">
        <f aca="false" t="array" ref="BB30:BB30">IF(COLUMN() - ($E30 + 5) &lt; 0, 0,
  IF(COLUMN() - ($E30 + 5) = 0, $F30,
    BA30 * (1 - IFERROR(INDEX('Inputs &amp; Assuptions'!$C$13:$C$72, COLUMN() - ($E30 + 5)), 0))
  )
)</f>
        <v>939.974772400542</v>
      </c>
      <c r="BC30" s="80" t="n">
        <f aca="false" t="array" ref="BC30:BC30">IF(COLUMN() - ($E30 + 5) &lt; 0, 0,
  IF(COLUMN() - ($E30 + 5) = 0, $F30,
    BB30 * (1 - IFERROR(INDEX('Inputs &amp; Assuptions'!$C$13:$C$72, COLUMN() - ($E30 + 5)), 0))
  )
)</f>
        <v>935.274898538539</v>
      </c>
      <c r="BD30" s="80" t="n">
        <f aca="false" t="array" ref="BD30:BD30">IF(COLUMN() - ($E30 + 5) &lt; 0, 0,
  IF(COLUMN() - ($E30 + 5) = 0, $F30,
    BC30 * (1 - IFERROR(INDEX('Inputs &amp; Assuptions'!$C$13:$C$72, COLUMN() - ($E30 + 5)), 0))
  )
)</f>
        <v>930.598524045846</v>
      </c>
      <c r="BE30" s="80" t="n">
        <f aca="false" t="array" ref="BE30:BE30">IF(COLUMN() - ($E30 + 5) &lt; 0, 0,
  IF(COLUMN() - ($E30 + 5) = 0, $F30,
    BD30 * (1 - IFERROR(INDEX('Inputs &amp; Assuptions'!$C$13:$C$72, COLUMN() - ($E30 + 5)), 0))
  )
)</f>
        <v>925.945531425617</v>
      </c>
      <c r="BF30" s="80" t="n">
        <f aca="false" t="array" ref="BF30:BF30">IF(COLUMN() - ($E30 + 5) &lt; 0, 0,
  IF(COLUMN() - ($E30 + 5) = 0, $F30,
    BE30 * (1 - IFERROR(INDEX('Inputs &amp; Assuptions'!$C$13:$C$72, COLUMN() - ($E30 + 5)), 0))
  )
)</f>
        <v>921.315803768489</v>
      </c>
      <c r="BG30" s="80" t="n">
        <f aca="false" t="array" ref="BG30:BG30">IF(COLUMN() - ($E30 + 5) &lt; 0, 0,
  IF(COLUMN() - ($E30 + 5) = 0, $F30,
    BF30 * (1 - IFERROR(INDEX('Inputs &amp; Assuptions'!$C$13:$C$72, COLUMN() - ($E30 + 5)), 0))
  )
)</f>
        <v>916.709224749647</v>
      </c>
      <c r="BH30" s="80" t="n">
        <f aca="false" t="array" ref="BH30:BH30">IF(COLUMN() - ($E30 + 5) &lt; 0, 0,
  IF(COLUMN() - ($E30 + 5) = 0, $F30,
    BG30 * (1 - IFERROR(INDEX('Inputs &amp; Assuptions'!$C$13:$C$72, COLUMN() - ($E30 + 5)), 0))
  )
)</f>
        <v>912.125678625898</v>
      </c>
      <c r="BI30" s="80" t="n">
        <f aca="false" t="array" ref="BI30:BI30">IF(COLUMN() - ($E30 + 5) &lt; 0, 0,
  IF(COLUMN() - ($E30 + 5) = 0, $F30,
    BH30 * (1 - IFERROR(INDEX('Inputs &amp; Assuptions'!$C$13:$C$72, COLUMN() - ($E30 + 5)), 0))
  )
)</f>
        <v>907.565050232769</v>
      </c>
      <c r="BJ30" s="80" t="n">
        <f aca="false" t="array" ref="BJ30:BJ30">IF(COLUMN() - ($E30 + 5) &lt; 0, 0,
  IF(COLUMN() - ($E30 + 5) = 0, $F30,
    BI30 * (1 - IFERROR(INDEX('Inputs &amp; Assuptions'!$C$13:$C$72, COLUMN() - ($E30 + 5)), 0))
  )
)</f>
        <v>903.027224981605</v>
      </c>
      <c r="BK30" s="80" t="n">
        <f aca="false" t="array" ref="BK30:BK30">IF(COLUMN() - ($E30 + 5) &lt; 0, 0,
  IF(COLUMN() - ($E30 + 5) = 0, $F30,
    BJ30 * (1 - IFERROR(INDEX('Inputs &amp; Assuptions'!$C$13:$C$72, COLUMN() - ($E30 + 5)), 0))
  )
)</f>
        <v>898.512088856697</v>
      </c>
      <c r="BL30" s="80" t="n">
        <f aca="false" t="array" ref="BL30:BL30">IF(COLUMN() - ($E30 + 5) &lt; 0, 0,
  IF(COLUMN() - ($E30 + 5) = 0, $F30,
    BK30 * (1 - IFERROR(INDEX('Inputs &amp; Assuptions'!$C$13:$C$72, COLUMN() - ($E30 + 5)), 0))
  )
)</f>
        <v>894.019528412413</v>
      </c>
      <c r="BM30" s="81" t="n">
        <f aca="false" t="array" ref="BM30:BM30">IF(COLUMN() - ($E30 + 5) &lt; 0, 0,
  IF(COLUMN() - ($E30 + 5) = 0, $F30,
    BL30 * (1 - IFERROR(INDEX('Inputs &amp; Assuptions'!$C$13:$C$72, COLUMN() - ($E30 + 5)), 0))
  )
)</f>
        <v>889.549430770351</v>
      </c>
      <c r="BN30" s="76"/>
    </row>
    <row r="31" customFormat="false" ht="14.25" hidden="false" customHeight="false" outlineLevel="0" collapsed="false">
      <c r="A31" s="29" t="n">
        <f aca="false">A30+1</f>
        <v>26</v>
      </c>
      <c r="B31" s="77" t="n">
        <f aca="false">IF(MOD($A31-1, 12) = 0, $B30 * 1.05, $B30)</f>
        <v>1653.75</v>
      </c>
      <c r="C31" s="78" t="n">
        <f aca="false">$B31*(1-'Inputs &amp; Assuptions'!$C$12)</f>
        <v>1289.925</v>
      </c>
      <c r="E31" s="29" t="n">
        <f aca="false">E30+1</f>
        <v>26</v>
      </c>
      <c r="F31" s="79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 t="n">
        <f aca="false">$C31</f>
        <v>1289.925</v>
      </c>
      <c r="AF31" s="80" t="n">
        <f aca="false" t="array" ref="AF31:AF31">IF(COLUMN() - ($E31 + 5) &lt; 0, 0,
  IF(COLUMN() - ($E31 + 5) = 0, $F31,
    AE31 * (1 - IFERROR(INDEX('Inputs &amp; Assuptions'!$C$13:$C$72, COLUMN() - ($E31 + 5)), 0))
  )
)</f>
        <v>1222.2039375</v>
      </c>
      <c r="AG31" s="80" t="n">
        <f aca="false" t="array" ref="AG31:AG31">IF(COLUMN() - ($E31 + 5) &lt; 0, 0,
  IF(COLUMN() - ($E31 + 5) = 0, $F31,
    AF31 * (1 - IFERROR(INDEX('Inputs &amp; Assuptions'!$C$13:$C$72, COLUMN() - ($E31 + 5)), 0))
  )
)</f>
        <v>1173.31578</v>
      </c>
      <c r="AH31" s="80" t="n">
        <f aca="false" t="array" ref="AH31:AH31">IF(COLUMN() - ($E31 + 5) &lt; 0, 0,
  IF(COLUMN() - ($E31 + 5) = 0, $F31,
    AG31 * (1 - IFERROR(INDEX('Inputs &amp; Assuptions'!$C$13:$C$72, COLUMN() - ($E31 + 5)), 0))
  )
)</f>
        <v>1141.04959605</v>
      </c>
      <c r="AI31" s="80" t="n">
        <f aca="false" t="array" ref="AI31:AI31">IF(COLUMN() - ($E31 + 5) &lt; 0, 0,
  IF(COLUMN() - ($E31 + 5) = 0, $F31,
    AH31 * (1 - IFERROR(INDEX('Inputs &amp; Assuptions'!$C$13:$C$72, COLUMN() - ($E31 + 5)), 0))
  )
)</f>
        <v>1112.52335614875</v>
      </c>
      <c r="AJ31" s="80" t="n">
        <f aca="false" t="array" ref="AJ31:AJ31">IF(COLUMN() - ($E31 + 5) &lt; 0, 0,
  IF(COLUMN() - ($E31 + 5) = 0, $F31,
    AI31 * (1 - IFERROR(INDEX('Inputs &amp; Assuptions'!$C$13:$C$72, COLUMN() - ($E31 + 5)), 0))
  )
)</f>
        <v>1087.4915806354</v>
      </c>
      <c r="AK31" s="80" t="n">
        <f aca="false" t="array" ref="AK31:AK31">IF(COLUMN() - ($E31 + 5) &lt; 0, 0,
  IF(COLUMN() - ($E31 + 5) = 0, $F31,
    AJ31 * (1 - IFERROR(INDEX('Inputs &amp; Assuptions'!$C$13:$C$72, COLUMN() - ($E31 + 5)), 0))
  )
)</f>
        <v>1065.7417490227</v>
      </c>
      <c r="AL31" s="80" t="n">
        <f aca="false" t="array" ref="AL31:AL31">IF(COLUMN() - ($E31 + 5) &lt; 0, 0,
  IF(COLUMN() - ($E31 + 5) = 0, $F31,
    AK31 * (1 - IFERROR(INDEX('Inputs &amp; Assuptions'!$C$13:$C$72, COLUMN() - ($E31 + 5)), 0))
  )
)</f>
        <v>1047.0912684148</v>
      </c>
      <c r="AM31" s="80" t="n">
        <f aca="false" t="array" ref="AM31:AM31">IF(COLUMN() - ($E31 + 5) &lt; 0, 0,
  IF(COLUMN() - ($E31 + 5) = 0, $F31,
    AL31 * (1 - IFERROR(INDEX('Inputs &amp; Assuptions'!$C$13:$C$72, COLUMN() - ($E31 + 5)), 0))
  )
)</f>
        <v>1031.38489938858</v>
      </c>
      <c r="AN31" s="80" t="n">
        <f aca="false" t="array" ref="AN31:AN31">IF(COLUMN() - ($E31 + 5) &lt; 0, 0,
  IF(COLUMN() - ($E31 + 5) = 0, $F31,
    AM31 * (1 - IFERROR(INDEX('Inputs &amp; Assuptions'!$C$13:$C$72, COLUMN() - ($E31 + 5)), 0))
  )
)</f>
        <v>1018.49258814622</v>
      </c>
      <c r="AO31" s="80" t="n">
        <f aca="false" t="array" ref="AO31:AO31">IF(COLUMN() - ($E31 + 5) &lt; 0, 0,
  IF(COLUMN() - ($E31 + 5) = 0, $F31,
    AN31 * (1 - IFERROR(INDEX('Inputs &amp; Assuptions'!$C$13:$C$72, COLUMN() - ($E31 + 5)), 0))
  )
)</f>
        <v>1008.30766226476</v>
      </c>
      <c r="AP31" s="80" t="n">
        <f aca="false" t="array" ref="AP31:AP31">IF(COLUMN() - ($E31 + 5) &lt; 0, 0,
  IF(COLUMN() - ($E31 + 5) = 0, $F31,
    AO31 * (1 - IFERROR(INDEX('Inputs &amp; Assuptions'!$C$13:$C$72, COLUMN() - ($E31 + 5)), 0))
  )
)</f>
        <v>1003.26612395343</v>
      </c>
      <c r="AQ31" s="80" t="n">
        <f aca="false" t="array" ref="AQ31:AQ31">IF(COLUMN() - ($E31 + 5) &lt; 0, 0,
  IF(COLUMN() - ($E31 + 5) = 0, $F31,
    AP31 * (1 - IFERROR(INDEX('Inputs &amp; Assuptions'!$C$13:$C$72, COLUMN() - ($E31 + 5)), 0))
  )
)</f>
        <v>998.249793333666</v>
      </c>
      <c r="AR31" s="80" t="n">
        <f aca="false" t="array" ref="AR31:AR31">IF(COLUMN() - ($E31 + 5) &lt; 0, 0,
  IF(COLUMN() - ($E31 + 5) = 0, $F31,
    AQ31 * (1 - IFERROR(INDEX('Inputs &amp; Assuptions'!$C$13:$C$72, COLUMN() - ($E31 + 5)), 0))
  )
)</f>
        <v>993.258544366997</v>
      </c>
      <c r="AS31" s="80" t="n">
        <f aca="false" t="array" ref="AS31:AS31">IF(COLUMN() - ($E31 + 5) &lt; 0, 0,
  IF(COLUMN() - ($E31 + 5) = 0, $F31,
    AR31 * (1 - IFERROR(INDEX('Inputs &amp; Assuptions'!$C$13:$C$72, COLUMN() - ($E31 + 5)), 0))
  )
)</f>
        <v>988.292251645162</v>
      </c>
      <c r="AT31" s="80" t="n">
        <f aca="false" t="array" ref="AT31:AT31">IF(COLUMN() - ($E31 + 5) &lt; 0, 0,
  IF(COLUMN() - ($E31 + 5) = 0, $F31,
    AS31 * (1 - IFERROR(INDEX('Inputs &amp; Assuptions'!$C$13:$C$72, COLUMN() - ($E31 + 5)), 0))
  )
)</f>
        <v>983.350790386937</v>
      </c>
      <c r="AU31" s="80" t="n">
        <f aca="false" t="array" ref="AU31:AU31">IF(COLUMN() - ($E31 + 5) &lt; 0, 0,
  IF(COLUMN() - ($E31 + 5) = 0, $F31,
    AT31 * (1 - IFERROR(INDEX('Inputs &amp; Assuptions'!$C$13:$C$72, COLUMN() - ($E31 + 5)), 0))
  )
)</f>
        <v>978.434036435002</v>
      </c>
      <c r="AV31" s="80" t="n">
        <f aca="false" t="array" ref="AV31:AV31">IF(COLUMN() - ($E31 + 5) &lt; 0, 0,
  IF(COLUMN() - ($E31 + 5) = 0, $F31,
    AU31 * (1 - IFERROR(INDEX('Inputs &amp; Assuptions'!$C$13:$C$72, COLUMN() - ($E31 + 5)), 0))
  )
)</f>
        <v>973.541866252827</v>
      </c>
      <c r="AW31" s="80" t="n">
        <f aca="false" t="array" ref="AW31:AW31">IF(COLUMN() - ($E31 + 5) &lt; 0, 0,
  IF(COLUMN() - ($E31 + 5) = 0, $F31,
    AV31 * (1 - IFERROR(INDEX('Inputs &amp; Assuptions'!$C$13:$C$72, COLUMN() - ($E31 + 5)), 0))
  )
)</f>
        <v>968.674156921563</v>
      </c>
      <c r="AX31" s="80" t="n">
        <f aca="false" t="array" ref="AX31:AX31">IF(COLUMN() - ($E31 + 5) &lt; 0, 0,
  IF(COLUMN() - ($E31 + 5) = 0, $F31,
    AW31 * (1 - IFERROR(INDEX('Inputs &amp; Assuptions'!$C$13:$C$72, COLUMN() - ($E31 + 5)), 0))
  )
)</f>
        <v>963.830786136955</v>
      </c>
      <c r="AY31" s="80" t="n">
        <f aca="false" t="array" ref="AY31:AY31">IF(COLUMN() - ($E31 + 5) &lt; 0, 0,
  IF(COLUMN() - ($E31 + 5) = 0, $F31,
    AX31 * (1 - IFERROR(INDEX('Inputs &amp; Assuptions'!$C$13:$C$72, COLUMN() - ($E31 + 5)), 0))
  )
)</f>
        <v>959.01163220627</v>
      </c>
      <c r="AZ31" s="80" t="n">
        <f aca="false" t="array" ref="AZ31:AZ31">IF(COLUMN() - ($E31 + 5) &lt; 0, 0,
  IF(COLUMN() - ($E31 + 5) = 0, $F31,
    AY31 * (1 - IFERROR(INDEX('Inputs &amp; Assuptions'!$C$13:$C$72, COLUMN() - ($E31 + 5)), 0))
  )
)</f>
        <v>954.216574045239</v>
      </c>
      <c r="BA31" s="80" t="n">
        <f aca="false" t="array" ref="BA31:BA31">IF(COLUMN() - ($E31 + 5) &lt; 0, 0,
  IF(COLUMN() - ($E31 + 5) = 0, $F31,
    AZ31 * (1 - IFERROR(INDEX('Inputs &amp; Assuptions'!$C$13:$C$72, COLUMN() - ($E31 + 5)), 0))
  )
)</f>
        <v>949.445491175013</v>
      </c>
      <c r="BB31" s="80" t="n">
        <f aca="false" t="array" ref="BB31:BB31">IF(COLUMN() - ($E31 + 5) &lt; 0, 0,
  IF(COLUMN() - ($E31 + 5) = 0, $F31,
    BA31 * (1 - IFERROR(INDEX('Inputs &amp; Assuptions'!$C$13:$C$72, COLUMN() - ($E31 + 5)), 0))
  )
)</f>
        <v>944.698263719138</v>
      </c>
      <c r="BC31" s="80" t="n">
        <f aca="false" t="array" ref="BC31:BC31">IF(COLUMN() - ($E31 + 5) &lt; 0, 0,
  IF(COLUMN() - ($E31 + 5) = 0, $F31,
    BB31 * (1 - IFERROR(INDEX('Inputs &amp; Assuptions'!$C$13:$C$72, COLUMN() - ($E31 + 5)), 0))
  )
)</f>
        <v>939.974772400542</v>
      </c>
      <c r="BD31" s="80" t="n">
        <f aca="false" t="array" ref="BD31:BD31">IF(COLUMN() - ($E31 + 5) &lt; 0, 0,
  IF(COLUMN() - ($E31 + 5) = 0, $F31,
    BC31 * (1 - IFERROR(INDEX('Inputs &amp; Assuptions'!$C$13:$C$72, COLUMN() - ($E31 + 5)), 0))
  )
)</f>
        <v>935.274898538539</v>
      </c>
      <c r="BE31" s="80" t="n">
        <f aca="false" t="array" ref="BE31:BE31">IF(COLUMN() - ($E31 + 5) &lt; 0, 0,
  IF(COLUMN() - ($E31 + 5) = 0, $F31,
    BD31 * (1 - IFERROR(INDEX('Inputs &amp; Assuptions'!$C$13:$C$72, COLUMN() - ($E31 + 5)), 0))
  )
)</f>
        <v>930.598524045846</v>
      </c>
      <c r="BF31" s="80" t="n">
        <f aca="false" t="array" ref="BF31:BF31">IF(COLUMN() - ($E31 + 5) &lt; 0, 0,
  IF(COLUMN() - ($E31 + 5) = 0, $F31,
    BE31 * (1 - IFERROR(INDEX('Inputs &amp; Assuptions'!$C$13:$C$72, COLUMN() - ($E31 + 5)), 0))
  )
)</f>
        <v>925.945531425617</v>
      </c>
      <c r="BG31" s="80" t="n">
        <f aca="false" t="array" ref="BG31:BG31">IF(COLUMN() - ($E31 + 5) &lt; 0, 0,
  IF(COLUMN() - ($E31 + 5) = 0, $F31,
    BF31 * (1 - IFERROR(INDEX('Inputs &amp; Assuptions'!$C$13:$C$72, COLUMN() - ($E31 + 5)), 0))
  )
)</f>
        <v>921.315803768489</v>
      </c>
      <c r="BH31" s="80" t="n">
        <f aca="false" t="array" ref="BH31:BH31">IF(COLUMN() - ($E31 + 5) &lt; 0, 0,
  IF(COLUMN() - ($E31 + 5) = 0, $F31,
    BG31 * (1 - IFERROR(INDEX('Inputs &amp; Assuptions'!$C$13:$C$72, COLUMN() - ($E31 + 5)), 0))
  )
)</f>
        <v>916.709224749647</v>
      </c>
      <c r="BI31" s="80" t="n">
        <f aca="false" t="array" ref="BI31:BI31">IF(COLUMN() - ($E31 + 5) &lt; 0, 0,
  IF(COLUMN() - ($E31 + 5) = 0, $F31,
    BH31 * (1 - IFERROR(INDEX('Inputs &amp; Assuptions'!$C$13:$C$72, COLUMN() - ($E31 + 5)), 0))
  )
)</f>
        <v>912.125678625898</v>
      </c>
      <c r="BJ31" s="80" t="n">
        <f aca="false" t="array" ref="BJ31:BJ31">IF(COLUMN() - ($E31 + 5) &lt; 0, 0,
  IF(COLUMN() - ($E31 + 5) = 0, $F31,
    BI31 * (1 - IFERROR(INDEX('Inputs &amp; Assuptions'!$C$13:$C$72, COLUMN() - ($E31 + 5)), 0))
  )
)</f>
        <v>907.565050232769</v>
      </c>
      <c r="BK31" s="80" t="n">
        <f aca="false" t="array" ref="BK31:BK31">IF(COLUMN() - ($E31 + 5) &lt; 0, 0,
  IF(COLUMN() - ($E31 + 5) = 0, $F31,
    BJ31 * (1 - IFERROR(INDEX('Inputs &amp; Assuptions'!$C$13:$C$72, COLUMN() - ($E31 + 5)), 0))
  )
)</f>
        <v>903.027224981605</v>
      </c>
      <c r="BL31" s="80" t="n">
        <f aca="false" t="array" ref="BL31:BL31">IF(COLUMN() - ($E31 + 5) &lt; 0, 0,
  IF(COLUMN() - ($E31 + 5) = 0, $F31,
    BK31 * (1 - IFERROR(INDEX('Inputs &amp; Assuptions'!$C$13:$C$72, COLUMN() - ($E31 + 5)), 0))
  )
)</f>
        <v>898.512088856697</v>
      </c>
      <c r="BM31" s="81" t="n">
        <f aca="false" t="array" ref="BM31:BM31">IF(COLUMN() - ($E31 + 5) &lt; 0, 0,
  IF(COLUMN() - ($E31 + 5) = 0, $F31,
    BL31 * (1 - IFERROR(INDEX('Inputs &amp; Assuptions'!$C$13:$C$72, COLUMN() - ($E31 + 5)), 0))
  )
)</f>
        <v>894.019528412413</v>
      </c>
      <c r="BN31" s="76"/>
    </row>
    <row r="32" customFormat="false" ht="14.25" hidden="false" customHeight="false" outlineLevel="0" collapsed="false">
      <c r="A32" s="29" t="n">
        <f aca="false">A31+1</f>
        <v>27</v>
      </c>
      <c r="B32" s="77" t="n">
        <f aca="false">IF(MOD($A32-1, 12) = 0, $B31 * 1.05, $B31)</f>
        <v>1653.75</v>
      </c>
      <c r="C32" s="78" t="n">
        <f aca="false">$B32*(1-'Inputs &amp; Assuptions'!$C$12)</f>
        <v>1289.925</v>
      </c>
      <c r="E32" s="29" t="n">
        <f aca="false">E31+1</f>
        <v>27</v>
      </c>
      <c r="F32" s="79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 t="n">
        <f aca="false">$C32</f>
        <v>1289.925</v>
      </c>
      <c r="AG32" s="80" t="n">
        <f aca="false" t="array" ref="AG32:AG32">IF(COLUMN() - ($E32 + 5) &lt; 0, 0,
  IF(COLUMN() - ($E32 + 5) = 0, $F32,
    AF32 * (1 - IFERROR(INDEX('Inputs &amp; Assuptions'!$C$13:$C$72, COLUMN() - ($E32 + 5)), 0))
  )
)</f>
        <v>1222.2039375</v>
      </c>
      <c r="AH32" s="80" t="n">
        <f aca="false" t="array" ref="AH32:AH32">IF(COLUMN() - ($E32 + 5) &lt; 0, 0,
  IF(COLUMN() - ($E32 + 5) = 0, $F32,
    AG32 * (1 - IFERROR(INDEX('Inputs &amp; Assuptions'!$C$13:$C$72, COLUMN() - ($E32 + 5)), 0))
  )
)</f>
        <v>1173.31578</v>
      </c>
      <c r="AI32" s="80" t="n">
        <f aca="false" t="array" ref="AI32:AI32">IF(COLUMN() - ($E32 + 5) &lt; 0, 0,
  IF(COLUMN() - ($E32 + 5) = 0, $F32,
    AH32 * (1 - IFERROR(INDEX('Inputs &amp; Assuptions'!$C$13:$C$72, COLUMN() - ($E32 + 5)), 0))
  )
)</f>
        <v>1141.04959605</v>
      </c>
      <c r="AJ32" s="80" t="n">
        <f aca="false" t="array" ref="AJ32:AJ32">IF(COLUMN() - ($E32 + 5) &lt; 0, 0,
  IF(COLUMN() - ($E32 + 5) = 0, $F32,
    AI32 * (1 - IFERROR(INDEX('Inputs &amp; Assuptions'!$C$13:$C$72, COLUMN() - ($E32 + 5)), 0))
  )
)</f>
        <v>1112.52335614875</v>
      </c>
      <c r="AK32" s="80" t="n">
        <f aca="false" t="array" ref="AK32:AK32">IF(COLUMN() - ($E32 + 5) &lt; 0, 0,
  IF(COLUMN() - ($E32 + 5) = 0, $F32,
    AJ32 * (1 - IFERROR(INDEX('Inputs &amp; Assuptions'!$C$13:$C$72, COLUMN() - ($E32 + 5)), 0))
  )
)</f>
        <v>1087.4915806354</v>
      </c>
      <c r="AL32" s="80" t="n">
        <f aca="false" t="array" ref="AL32:AL32">IF(COLUMN() - ($E32 + 5) &lt; 0, 0,
  IF(COLUMN() - ($E32 + 5) = 0, $F32,
    AK32 * (1 - IFERROR(INDEX('Inputs &amp; Assuptions'!$C$13:$C$72, COLUMN() - ($E32 + 5)), 0))
  )
)</f>
        <v>1065.7417490227</v>
      </c>
      <c r="AM32" s="80" t="n">
        <f aca="false" t="array" ref="AM32:AM32">IF(COLUMN() - ($E32 + 5) &lt; 0, 0,
  IF(COLUMN() - ($E32 + 5) = 0, $F32,
    AL32 * (1 - IFERROR(INDEX('Inputs &amp; Assuptions'!$C$13:$C$72, COLUMN() - ($E32 + 5)), 0))
  )
)</f>
        <v>1047.0912684148</v>
      </c>
      <c r="AN32" s="80" t="n">
        <f aca="false" t="array" ref="AN32:AN32">IF(COLUMN() - ($E32 + 5) &lt; 0, 0,
  IF(COLUMN() - ($E32 + 5) = 0, $F32,
    AM32 * (1 - IFERROR(INDEX('Inputs &amp; Assuptions'!$C$13:$C$72, COLUMN() - ($E32 + 5)), 0))
  )
)</f>
        <v>1031.38489938858</v>
      </c>
      <c r="AO32" s="80" t="n">
        <f aca="false" t="array" ref="AO32:AO32">IF(COLUMN() - ($E32 + 5) &lt; 0, 0,
  IF(COLUMN() - ($E32 + 5) = 0, $F32,
    AN32 * (1 - IFERROR(INDEX('Inputs &amp; Assuptions'!$C$13:$C$72, COLUMN() - ($E32 + 5)), 0))
  )
)</f>
        <v>1018.49258814622</v>
      </c>
      <c r="AP32" s="80" t="n">
        <f aca="false" t="array" ref="AP32:AP32">IF(COLUMN() - ($E32 + 5) &lt; 0, 0,
  IF(COLUMN() - ($E32 + 5) = 0, $F32,
    AO32 * (1 - IFERROR(INDEX('Inputs &amp; Assuptions'!$C$13:$C$72, COLUMN() - ($E32 + 5)), 0))
  )
)</f>
        <v>1008.30766226476</v>
      </c>
      <c r="AQ32" s="80" t="n">
        <f aca="false" t="array" ref="AQ32:AQ32">IF(COLUMN() - ($E32 + 5) &lt; 0, 0,
  IF(COLUMN() - ($E32 + 5) = 0, $F32,
    AP32 * (1 - IFERROR(INDEX('Inputs &amp; Assuptions'!$C$13:$C$72, COLUMN() - ($E32 + 5)), 0))
  )
)</f>
        <v>1003.26612395343</v>
      </c>
      <c r="AR32" s="80" t="n">
        <f aca="false" t="array" ref="AR32:AR32">IF(COLUMN() - ($E32 + 5) &lt; 0, 0,
  IF(COLUMN() - ($E32 + 5) = 0, $F32,
    AQ32 * (1 - IFERROR(INDEX('Inputs &amp; Assuptions'!$C$13:$C$72, COLUMN() - ($E32 + 5)), 0))
  )
)</f>
        <v>998.249793333666</v>
      </c>
      <c r="AS32" s="80" t="n">
        <f aca="false" t="array" ref="AS32:AS32">IF(COLUMN() - ($E32 + 5) &lt; 0, 0,
  IF(COLUMN() - ($E32 + 5) = 0, $F32,
    AR32 * (1 - IFERROR(INDEX('Inputs &amp; Assuptions'!$C$13:$C$72, COLUMN() - ($E32 + 5)), 0))
  )
)</f>
        <v>993.258544366997</v>
      </c>
      <c r="AT32" s="80" t="n">
        <f aca="false" t="array" ref="AT32:AT32">IF(COLUMN() - ($E32 + 5) &lt; 0, 0,
  IF(COLUMN() - ($E32 + 5) = 0, $F32,
    AS32 * (1 - IFERROR(INDEX('Inputs &amp; Assuptions'!$C$13:$C$72, COLUMN() - ($E32 + 5)), 0))
  )
)</f>
        <v>988.292251645162</v>
      </c>
      <c r="AU32" s="80" t="n">
        <f aca="false" t="array" ref="AU32:AU32">IF(COLUMN() - ($E32 + 5) &lt; 0, 0,
  IF(COLUMN() - ($E32 + 5) = 0, $F32,
    AT32 * (1 - IFERROR(INDEX('Inputs &amp; Assuptions'!$C$13:$C$72, COLUMN() - ($E32 + 5)), 0))
  )
)</f>
        <v>983.350790386937</v>
      </c>
      <c r="AV32" s="80" t="n">
        <f aca="false" t="array" ref="AV32:AV32">IF(COLUMN() - ($E32 + 5) &lt; 0, 0,
  IF(COLUMN() - ($E32 + 5) = 0, $F32,
    AU32 * (1 - IFERROR(INDEX('Inputs &amp; Assuptions'!$C$13:$C$72, COLUMN() - ($E32 + 5)), 0))
  )
)</f>
        <v>978.434036435002</v>
      </c>
      <c r="AW32" s="80" t="n">
        <f aca="false" t="array" ref="AW32:AW32">IF(COLUMN() - ($E32 + 5) &lt; 0, 0,
  IF(COLUMN() - ($E32 + 5) = 0, $F32,
    AV32 * (1 - IFERROR(INDEX('Inputs &amp; Assuptions'!$C$13:$C$72, COLUMN() - ($E32 + 5)), 0))
  )
)</f>
        <v>973.541866252827</v>
      </c>
      <c r="AX32" s="80" t="n">
        <f aca="false" t="array" ref="AX32:AX32">IF(COLUMN() - ($E32 + 5) &lt; 0, 0,
  IF(COLUMN() - ($E32 + 5) = 0, $F32,
    AW32 * (1 - IFERROR(INDEX('Inputs &amp; Assuptions'!$C$13:$C$72, COLUMN() - ($E32 + 5)), 0))
  )
)</f>
        <v>968.674156921563</v>
      </c>
      <c r="AY32" s="80" t="n">
        <f aca="false" t="array" ref="AY32:AY32">IF(COLUMN() - ($E32 + 5) &lt; 0, 0,
  IF(COLUMN() - ($E32 + 5) = 0, $F32,
    AX32 * (1 - IFERROR(INDEX('Inputs &amp; Assuptions'!$C$13:$C$72, COLUMN() - ($E32 + 5)), 0))
  )
)</f>
        <v>963.830786136955</v>
      </c>
      <c r="AZ32" s="80" t="n">
        <f aca="false" t="array" ref="AZ32:AZ32">IF(COLUMN() - ($E32 + 5) &lt; 0, 0,
  IF(COLUMN() - ($E32 + 5) = 0, $F32,
    AY32 * (1 - IFERROR(INDEX('Inputs &amp; Assuptions'!$C$13:$C$72, COLUMN() - ($E32 + 5)), 0))
  )
)</f>
        <v>959.01163220627</v>
      </c>
      <c r="BA32" s="80" t="n">
        <f aca="false" t="array" ref="BA32:BA32">IF(COLUMN() - ($E32 + 5) &lt; 0, 0,
  IF(COLUMN() - ($E32 + 5) = 0, $F32,
    AZ32 * (1 - IFERROR(INDEX('Inputs &amp; Assuptions'!$C$13:$C$72, COLUMN() - ($E32 + 5)), 0))
  )
)</f>
        <v>954.216574045239</v>
      </c>
      <c r="BB32" s="80" t="n">
        <f aca="false" t="array" ref="BB32:BB32">IF(COLUMN() - ($E32 + 5) &lt; 0, 0,
  IF(COLUMN() - ($E32 + 5) = 0, $F32,
    BA32 * (1 - IFERROR(INDEX('Inputs &amp; Assuptions'!$C$13:$C$72, COLUMN() - ($E32 + 5)), 0))
  )
)</f>
        <v>949.445491175013</v>
      </c>
      <c r="BC32" s="80" t="n">
        <f aca="false" t="array" ref="BC32:BC32">IF(COLUMN() - ($E32 + 5) &lt; 0, 0,
  IF(COLUMN() - ($E32 + 5) = 0, $F32,
    BB32 * (1 - IFERROR(INDEX('Inputs &amp; Assuptions'!$C$13:$C$72, COLUMN() - ($E32 + 5)), 0))
  )
)</f>
        <v>944.698263719138</v>
      </c>
      <c r="BD32" s="80" t="n">
        <f aca="false" t="array" ref="BD32:BD32">IF(COLUMN() - ($E32 + 5) &lt; 0, 0,
  IF(COLUMN() - ($E32 + 5) = 0, $F32,
    BC32 * (1 - IFERROR(INDEX('Inputs &amp; Assuptions'!$C$13:$C$72, COLUMN() - ($E32 + 5)), 0))
  )
)</f>
        <v>939.974772400542</v>
      </c>
      <c r="BE32" s="80" t="n">
        <f aca="false" t="array" ref="BE32:BE32">IF(COLUMN() - ($E32 + 5) &lt; 0, 0,
  IF(COLUMN() - ($E32 + 5) = 0, $F32,
    BD32 * (1 - IFERROR(INDEX('Inputs &amp; Assuptions'!$C$13:$C$72, COLUMN() - ($E32 + 5)), 0))
  )
)</f>
        <v>935.274898538539</v>
      </c>
      <c r="BF32" s="80" t="n">
        <f aca="false" t="array" ref="BF32:BF32">IF(COLUMN() - ($E32 + 5) &lt; 0, 0,
  IF(COLUMN() - ($E32 + 5) = 0, $F32,
    BE32 * (1 - IFERROR(INDEX('Inputs &amp; Assuptions'!$C$13:$C$72, COLUMN() - ($E32 + 5)), 0))
  )
)</f>
        <v>930.598524045846</v>
      </c>
      <c r="BG32" s="80" t="n">
        <f aca="false" t="array" ref="BG32:BG32">IF(COLUMN() - ($E32 + 5) &lt; 0, 0,
  IF(COLUMN() - ($E32 + 5) = 0, $F32,
    BF32 * (1 - IFERROR(INDEX('Inputs &amp; Assuptions'!$C$13:$C$72, COLUMN() - ($E32 + 5)), 0))
  )
)</f>
        <v>925.945531425617</v>
      </c>
      <c r="BH32" s="80" t="n">
        <f aca="false" t="array" ref="BH32:BH32">IF(COLUMN() - ($E32 + 5) &lt; 0, 0,
  IF(COLUMN() - ($E32 + 5) = 0, $F32,
    BG32 * (1 - IFERROR(INDEX('Inputs &amp; Assuptions'!$C$13:$C$72, COLUMN() - ($E32 + 5)), 0))
  )
)</f>
        <v>921.315803768489</v>
      </c>
      <c r="BI32" s="80" t="n">
        <f aca="false" t="array" ref="BI32:BI32">IF(COLUMN() - ($E32 + 5) &lt; 0, 0,
  IF(COLUMN() - ($E32 + 5) = 0, $F32,
    BH32 * (1 - IFERROR(INDEX('Inputs &amp; Assuptions'!$C$13:$C$72, COLUMN() - ($E32 + 5)), 0))
  )
)</f>
        <v>916.709224749647</v>
      </c>
      <c r="BJ32" s="80" t="n">
        <f aca="false" t="array" ref="BJ32:BJ32">IF(COLUMN() - ($E32 + 5) &lt; 0, 0,
  IF(COLUMN() - ($E32 + 5) = 0, $F32,
    BI32 * (1 - IFERROR(INDEX('Inputs &amp; Assuptions'!$C$13:$C$72, COLUMN() - ($E32 + 5)), 0))
  )
)</f>
        <v>912.125678625898</v>
      </c>
      <c r="BK32" s="80" t="n">
        <f aca="false" t="array" ref="BK32:BK32">IF(COLUMN() - ($E32 + 5) &lt; 0, 0,
  IF(COLUMN() - ($E32 + 5) = 0, $F32,
    BJ32 * (1 - IFERROR(INDEX('Inputs &amp; Assuptions'!$C$13:$C$72, COLUMN() - ($E32 + 5)), 0))
  )
)</f>
        <v>907.565050232769</v>
      </c>
      <c r="BL32" s="80" t="n">
        <f aca="false" t="array" ref="BL32:BL32">IF(COLUMN() - ($E32 + 5) &lt; 0, 0,
  IF(COLUMN() - ($E32 + 5) = 0, $F32,
    BK32 * (1 - IFERROR(INDEX('Inputs &amp; Assuptions'!$C$13:$C$72, COLUMN() - ($E32 + 5)), 0))
  )
)</f>
        <v>903.027224981605</v>
      </c>
      <c r="BM32" s="81" t="n">
        <f aca="false" t="array" ref="BM32:BM32">IF(COLUMN() - ($E32 + 5) &lt; 0, 0,
  IF(COLUMN() - ($E32 + 5) = 0, $F32,
    BL32 * (1 - IFERROR(INDEX('Inputs &amp; Assuptions'!$C$13:$C$72, COLUMN() - ($E32 + 5)), 0))
  )
)</f>
        <v>898.512088856697</v>
      </c>
      <c r="BN32" s="76"/>
    </row>
    <row r="33" customFormat="false" ht="14.25" hidden="false" customHeight="false" outlineLevel="0" collapsed="false">
      <c r="A33" s="29" t="n">
        <f aca="false">A32+1</f>
        <v>28</v>
      </c>
      <c r="B33" s="77" t="n">
        <f aca="false">IF(MOD($A33-1, 12) = 0, $B32 * 1.05, $B32)</f>
        <v>1653.75</v>
      </c>
      <c r="C33" s="78" t="n">
        <f aca="false">$B33*(1-'Inputs &amp; Assuptions'!$C$12)</f>
        <v>1289.925</v>
      </c>
      <c r="E33" s="29" t="n">
        <f aca="false">E32+1</f>
        <v>28</v>
      </c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 t="n">
        <f aca="false">$C33</f>
        <v>1289.925</v>
      </c>
      <c r="AH33" s="80" t="n">
        <f aca="false" t="array" ref="AH33:AH33">IF(COLUMN() - ($E33 + 5) &lt; 0, 0,
  IF(COLUMN() - ($E33 + 5) = 0, $F33,
    AG33 * (1 - IFERROR(INDEX('Inputs &amp; Assuptions'!$C$13:$C$72, COLUMN() - ($E33 + 5)), 0))
  )
)</f>
        <v>1222.2039375</v>
      </c>
      <c r="AI33" s="80" t="n">
        <f aca="false" t="array" ref="AI33:AI33">IF(COLUMN() - ($E33 + 5) &lt; 0, 0,
  IF(COLUMN() - ($E33 + 5) = 0, $F33,
    AH33 * (1 - IFERROR(INDEX('Inputs &amp; Assuptions'!$C$13:$C$72, COLUMN() - ($E33 + 5)), 0))
  )
)</f>
        <v>1173.31578</v>
      </c>
      <c r="AJ33" s="80" t="n">
        <f aca="false" t="array" ref="AJ33:AJ33">IF(COLUMN() - ($E33 + 5) &lt; 0, 0,
  IF(COLUMN() - ($E33 + 5) = 0, $F33,
    AI33 * (1 - IFERROR(INDEX('Inputs &amp; Assuptions'!$C$13:$C$72, COLUMN() - ($E33 + 5)), 0))
  )
)</f>
        <v>1141.04959605</v>
      </c>
      <c r="AK33" s="80" t="n">
        <f aca="false" t="array" ref="AK33:AK33">IF(COLUMN() - ($E33 + 5) &lt; 0, 0,
  IF(COLUMN() - ($E33 + 5) = 0, $F33,
    AJ33 * (1 - IFERROR(INDEX('Inputs &amp; Assuptions'!$C$13:$C$72, COLUMN() - ($E33 + 5)), 0))
  )
)</f>
        <v>1112.52335614875</v>
      </c>
      <c r="AL33" s="80" t="n">
        <f aca="false" t="array" ref="AL33:AL33">IF(COLUMN() - ($E33 + 5) &lt; 0, 0,
  IF(COLUMN() - ($E33 + 5) = 0, $F33,
    AK33 * (1 - IFERROR(INDEX('Inputs &amp; Assuptions'!$C$13:$C$72, COLUMN() - ($E33 + 5)), 0))
  )
)</f>
        <v>1087.4915806354</v>
      </c>
      <c r="AM33" s="80" t="n">
        <f aca="false" t="array" ref="AM33:AM33">IF(COLUMN() - ($E33 + 5) &lt; 0, 0,
  IF(COLUMN() - ($E33 + 5) = 0, $F33,
    AL33 * (1 - IFERROR(INDEX('Inputs &amp; Assuptions'!$C$13:$C$72, COLUMN() - ($E33 + 5)), 0))
  )
)</f>
        <v>1065.7417490227</v>
      </c>
      <c r="AN33" s="80" t="n">
        <f aca="false" t="array" ref="AN33:AN33">IF(COLUMN() - ($E33 + 5) &lt; 0, 0,
  IF(COLUMN() - ($E33 + 5) = 0, $F33,
    AM33 * (1 - IFERROR(INDEX('Inputs &amp; Assuptions'!$C$13:$C$72, COLUMN() - ($E33 + 5)), 0))
  )
)</f>
        <v>1047.0912684148</v>
      </c>
      <c r="AO33" s="80" t="n">
        <f aca="false" t="array" ref="AO33:AO33">IF(COLUMN() - ($E33 + 5) &lt; 0, 0,
  IF(COLUMN() - ($E33 + 5) = 0, $F33,
    AN33 * (1 - IFERROR(INDEX('Inputs &amp; Assuptions'!$C$13:$C$72, COLUMN() - ($E33 + 5)), 0))
  )
)</f>
        <v>1031.38489938858</v>
      </c>
      <c r="AP33" s="80" t="n">
        <f aca="false" t="array" ref="AP33:AP33">IF(COLUMN() - ($E33 + 5) &lt; 0, 0,
  IF(COLUMN() - ($E33 + 5) = 0, $F33,
    AO33 * (1 - IFERROR(INDEX('Inputs &amp; Assuptions'!$C$13:$C$72, COLUMN() - ($E33 + 5)), 0))
  )
)</f>
        <v>1018.49258814622</v>
      </c>
      <c r="AQ33" s="80" t="n">
        <f aca="false" t="array" ref="AQ33:AQ33">IF(COLUMN() - ($E33 + 5) &lt; 0, 0,
  IF(COLUMN() - ($E33 + 5) = 0, $F33,
    AP33 * (1 - IFERROR(INDEX('Inputs &amp; Assuptions'!$C$13:$C$72, COLUMN() - ($E33 + 5)), 0))
  )
)</f>
        <v>1008.30766226476</v>
      </c>
      <c r="AR33" s="80" t="n">
        <f aca="false" t="array" ref="AR33:AR33">IF(COLUMN() - ($E33 + 5) &lt; 0, 0,
  IF(COLUMN() - ($E33 + 5) = 0, $F33,
    AQ33 * (1 - IFERROR(INDEX('Inputs &amp; Assuptions'!$C$13:$C$72, COLUMN() - ($E33 + 5)), 0))
  )
)</f>
        <v>1003.26612395343</v>
      </c>
      <c r="AS33" s="80" t="n">
        <f aca="false" t="array" ref="AS33:AS33">IF(COLUMN() - ($E33 + 5) &lt; 0, 0,
  IF(COLUMN() - ($E33 + 5) = 0, $F33,
    AR33 * (1 - IFERROR(INDEX('Inputs &amp; Assuptions'!$C$13:$C$72, COLUMN() - ($E33 + 5)), 0))
  )
)</f>
        <v>998.249793333666</v>
      </c>
      <c r="AT33" s="80" t="n">
        <f aca="false" t="array" ref="AT33:AT33">IF(COLUMN() - ($E33 + 5) &lt; 0, 0,
  IF(COLUMN() - ($E33 + 5) = 0, $F33,
    AS33 * (1 - IFERROR(INDEX('Inputs &amp; Assuptions'!$C$13:$C$72, COLUMN() - ($E33 + 5)), 0))
  )
)</f>
        <v>993.258544366997</v>
      </c>
      <c r="AU33" s="80" t="n">
        <f aca="false" t="array" ref="AU33:AU33">IF(COLUMN() - ($E33 + 5) &lt; 0, 0,
  IF(COLUMN() - ($E33 + 5) = 0, $F33,
    AT33 * (1 - IFERROR(INDEX('Inputs &amp; Assuptions'!$C$13:$C$72, COLUMN() - ($E33 + 5)), 0))
  )
)</f>
        <v>988.292251645162</v>
      </c>
      <c r="AV33" s="80" t="n">
        <f aca="false" t="array" ref="AV33:AV33">IF(COLUMN() - ($E33 + 5) &lt; 0, 0,
  IF(COLUMN() - ($E33 + 5) = 0, $F33,
    AU33 * (1 - IFERROR(INDEX('Inputs &amp; Assuptions'!$C$13:$C$72, COLUMN() - ($E33 + 5)), 0))
  )
)</f>
        <v>983.350790386937</v>
      </c>
      <c r="AW33" s="80" t="n">
        <f aca="false" t="array" ref="AW33:AW33">IF(COLUMN() - ($E33 + 5) &lt; 0, 0,
  IF(COLUMN() - ($E33 + 5) = 0, $F33,
    AV33 * (1 - IFERROR(INDEX('Inputs &amp; Assuptions'!$C$13:$C$72, COLUMN() - ($E33 + 5)), 0))
  )
)</f>
        <v>978.434036435002</v>
      </c>
      <c r="AX33" s="80" t="n">
        <f aca="false" t="array" ref="AX33:AX33">IF(COLUMN() - ($E33 + 5) &lt; 0, 0,
  IF(COLUMN() - ($E33 + 5) = 0, $F33,
    AW33 * (1 - IFERROR(INDEX('Inputs &amp; Assuptions'!$C$13:$C$72, COLUMN() - ($E33 + 5)), 0))
  )
)</f>
        <v>973.541866252827</v>
      </c>
      <c r="AY33" s="80" t="n">
        <f aca="false" t="array" ref="AY33:AY33">IF(COLUMN() - ($E33 + 5) &lt; 0, 0,
  IF(COLUMN() - ($E33 + 5) = 0, $F33,
    AX33 * (1 - IFERROR(INDEX('Inputs &amp; Assuptions'!$C$13:$C$72, COLUMN() - ($E33 + 5)), 0))
  )
)</f>
        <v>968.674156921563</v>
      </c>
      <c r="AZ33" s="80" t="n">
        <f aca="false" t="array" ref="AZ33:AZ33">IF(COLUMN() - ($E33 + 5) &lt; 0, 0,
  IF(COLUMN() - ($E33 + 5) = 0, $F33,
    AY33 * (1 - IFERROR(INDEX('Inputs &amp; Assuptions'!$C$13:$C$72, COLUMN() - ($E33 + 5)), 0))
  )
)</f>
        <v>963.830786136955</v>
      </c>
      <c r="BA33" s="80" t="n">
        <f aca="false" t="array" ref="BA33:BA33">IF(COLUMN() - ($E33 + 5) &lt; 0, 0,
  IF(COLUMN() - ($E33 + 5) = 0, $F33,
    AZ33 * (1 - IFERROR(INDEX('Inputs &amp; Assuptions'!$C$13:$C$72, COLUMN() - ($E33 + 5)), 0))
  )
)</f>
        <v>959.01163220627</v>
      </c>
      <c r="BB33" s="80" t="n">
        <f aca="false" t="array" ref="BB33:BB33">IF(COLUMN() - ($E33 + 5) &lt; 0, 0,
  IF(COLUMN() - ($E33 + 5) = 0, $F33,
    BA33 * (1 - IFERROR(INDEX('Inputs &amp; Assuptions'!$C$13:$C$72, COLUMN() - ($E33 + 5)), 0))
  )
)</f>
        <v>954.216574045239</v>
      </c>
      <c r="BC33" s="80" t="n">
        <f aca="false" t="array" ref="BC33:BC33">IF(COLUMN() - ($E33 + 5) &lt; 0, 0,
  IF(COLUMN() - ($E33 + 5) = 0, $F33,
    BB33 * (1 - IFERROR(INDEX('Inputs &amp; Assuptions'!$C$13:$C$72, COLUMN() - ($E33 + 5)), 0))
  )
)</f>
        <v>949.445491175013</v>
      </c>
      <c r="BD33" s="80" t="n">
        <f aca="false" t="array" ref="BD33:BD33">IF(COLUMN() - ($E33 + 5) &lt; 0, 0,
  IF(COLUMN() - ($E33 + 5) = 0, $F33,
    BC33 * (1 - IFERROR(INDEX('Inputs &amp; Assuptions'!$C$13:$C$72, COLUMN() - ($E33 + 5)), 0))
  )
)</f>
        <v>944.698263719138</v>
      </c>
      <c r="BE33" s="80" t="n">
        <f aca="false" t="array" ref="BE33:BE33">IF(COLUMN() - ($E33 + 5) &lt; 0, 0,
  IF(COLUMN() - ($E33 + 5) = 0, $F33,
    BD33 * (1 - IFERROR(INDEX('Inputs &amp; Assuptions'!$C$13:$C$72, COLUMN() - ($E33 + 5)), 0))
  )
)</f>
        <v>939.974772400542</v>
      </c>
      <c r="BF33" s="80" t="n">
        <f aca="false" t="array" ref="BF33:BF33">IF(COLUMN() - ($E33 + 5) &lt; 0, 0,
  IF(COLUMN() - ($E33 + 5) = 0, $F33,
    BE33 * (1 - IFERROR(INDEX('Inputs &amp; Assuptions'!$C$13:$C$72, COLUMN() - ($E33 + 5)), 0))
  )
)</f>
        <v>935.274898538539</v>
      </c>
      <c r="BG33" s="80" t="n">
        <f aca="false" t="array" ref="BG33:BG33">IF(COLUMN() - ($E33 + 5) &lt; 0, 0,
  IF(COLUMN() - ($E33 + 5) = 0, $F33,
    BF33 * (1 - IFERROR(INDEX('Inputs &amp; Assuptions'!$C$13:$C$72, COLUMN() - ($E33 + 5)), 0))
  )
)</f>
        <v>930.598524045846</v>
      </c>
      <c r="BH33" s="80" t="n">
        <f aca="false" t="array" ref="BH33:BH33">IF(COLUMN() - ($E33 + 5) &lt; 0, 0,
  IF(COLUMN() - ($E33 + 5) = 0, $F33,
    BG33 * (1 - IFERROR(INDEX('Inputs &amp; Assuptions'!$C$13:$C$72, COLUMN() - ($E33 + 5)), 0))
  )
)</f>
        <v>925.945531425617</v>
      </c>
      <c r="BI33" s="80" t="n">
        <f aca="false" t="array" ref="BI33:BI33">IF(COLUMN() - ($E33 + 5) &lt; 0, 0,
  IF(COLUMN() - ($E33 + 5) = 0, $F33,
    BH33 * (1 - IFERROR(INDEX('Inputs &amp; Assuptions'!$C$13:$C$72, COLUMN() - ($E33 + 5)), 0))
  )
)</f>
        <v>921.315803768489</v>
      </c>
      <c r="BJ33" s="80" t="n">
        <f aca="false" t="array" ref="BJ33:BJ33">IF(COLUMN() - ($E33 + 5) &lt; 0, 0,
  IF(COLUMN() - ($E33 + 5) = 0, $F33,
    BI33 * (1 - IFERROR(INDEX('Inputs &amp; Assuptions'!$C$13:$C$72, COLUMN() - ($E33 + 5)), 0))
  )
)</f>
        <v>916.709224749647</v>
      </c>
      <c r="BK33" s="80" t="n">
        <f aca="false" t="array" ref="BK33:BK33">IF(COLUMN() - ($E33 + 5) &lt; 0, 0,
  IF(COLUMN() - ($E33 + 5) = 0, $F33,
    BJ33 * (1 - IFERROR(INDEX('Inputs &amp; Assuptions'!$C$13:$C$72, COLUMN() - ($E33 + 5)), 0))
  )
)</f>
        <v>912.125678625898</v>
      </c>
      <c r="BL33" s="80" t="n">
        <f aca="false" t="array" ref="BL33:BL33">IF(COLUMN() - ($E33 + 5) &lt; 0, 0,
  IF(COLUMN() - ($E33 + 5) = 0, $F33,
    BK33 * (1 - IFERROR(INDEX('Inputs &amp; Assuptions'!$C$13:$C$72, COLUMN() - ($E33 + 5)), 0))
  )
)</f>
        <v>907.565050232769</v>
      </c>
      <c r="BM33" s="81" t="n">
        <f aca="false" t="array" ref="BM33:BM33">IF(COLUMN() - ($E33 + 5) &lt; 0, 0,
  IF(COLUMN() - ($E33 + 5) = 0, $F33,
    BL33 * (1 - IFERROR(INDEX('Inputs &amp; Assuptions'!$C$13:$C$72, COLUMN() - ($E33 + 5)), 0))
  )
)</f>
        <v>903.027224981605</v>
      </c>
      <c r="BN33" s="76"/>
    </row>
    <row r="34" customFormat="false" ht="14.25" hidden="false" customHeight="false" outlineLevel="0" collapsed="false">
      <c r="A34" s="29" t="n">
        <f aca="false">A33+1</f>
        <v>29</v>
      </c>
      <c r="B34" s="77" t="n">
        <f aca="false">IF(MOD($A34-1, 12) = 0, $B33 * 1.05, $B33)</f>
        <v>1653.75</v>
      </c>
      <c r="C34" s="78" t="n">
        <f aca="false">$B34*(1-'Inputs &amp; Assuptions'!$C$12)</f>
        <v>1289.925</v>
      </c>
      <c r="E34" s="29" t="n">
        <f aca="false">E33+1</f>
        <v>29</v>
      </c>
      <c r="F34" s="79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 t="n">
        <f aca="false">$C34</f>
        <v>1289.925</v>
      </c>
      <c r="AI34" s="80" t="n">
        <f aca="false" t="array" ref="AI34:AI34">IF(COLUMN() - ($E34 + 5) &lt; 0, 0,
  IF(COLUMN() - ($E34 + 5) = 0, $F34,
    AH34 * (1 - IFERROR(INDEX('Inputs &amp; Assuptions'!$C$13:$C$72, COLUMN() - ($E34 + 5)), 0))
  )
)</f>
        <v>1222.2039375</v>
      </c>
      <c r="AJ34" s="80" t="n">
        <f aca="false" t="array" ref="AJ34:AJ34">IF(COLUMN() - ($E34 + 5) &lt; 0, 0,
  IF(COLUMN() - ($E34 + 5) = 0, $F34,
    AI34 * (1 - IFERROR(INDEX('Inputs &amp; Assuptions'!$C$13:$C$72, COLUMN() - ($E34 + 5)), 0))
  )
)</f>
        <v>1173.31578</v>
      </c>
      <c r="AK34" s="80" t="n">
        <f aca="false" t="array" ref="AK34:AK34">IF(COLUMN() - ($E34 + 5) &lt; 0, 0,
  IF(COLUMN() - ($E34 + 5) = 0, $F34,
    AJ34 * (1 - IFERROR(INDEX('Inputs &amp; Assuptions'!$C$13:$C$72, COLUMN() - ($E34 + 5)), 0))
  )
)</f>
        <v>1141.04959605</v>
      </c>
      <c r="AL34" s="80" t="n">
        <f aca="false" t="array" ref="AL34:AL34">IF(COLUMN() - ($E34 + 5) &lt; 0, 0,
  IF(COLUMN() - ($E34 + 5) = 0, $F34,
    AK34 * (1 - IFERROR(INDEX('Inputs &amp; Assuptions'!$C$13:$C$72, COLUMN() - ($E34 + 5)), 0))
  )
)</f>
        <v>1112.52335614875</v>
      </c>
      <c r="AM34" s="80" t="n">
        <f aca="false" t="array" ref="AM34:AM34">IF(COLUMN() - ($E34 + 5) &lt; 0, 0,
  IF(COLUMN() - ($E34 + 5) = 0, $F34,
    AL34 * (1 - IFERROR(INDEX('Inputs &amp; Assuptions'!$C$13:$C$72, COLUMN() - ($E34 + 5)), 0))
  )
)</f>
        <v>1087.4915806354</v>
      </c>
      <c r="AN34" s="80" t="n">
        <f aca="false" t="array" ref="AN34:AN34">IF(COLUMN() - ($E34 + 5) &lt; 0, 0,
  IF(COLUMN() - ($E34 + 5) = 0, $F34,
    AM34 * (1 - IFERROR(INDEX('Inputs &amp; Assuptions'!$C$13:$C$72, COLUMN() - ($E34 + 5)), 0))
  )
)</f>
        <v>1065.7417490227</v>
      </c>
      <c r="AO34" s="80" t="n">
        <f aca="false" t="array" ref="AO34:AO34">IF(COLUMN() - ($E34 + 5) &lt; 0, 0,
  IF(COLUMN() - ($E34 + 5) = 0, $F34,
    AN34 * (1 - IFERROR(INDEX('Inputs &amp; Assuptions'!$C$13:$C$72, COLUMN() - ($E34 + 5)), 0))
  )
)</f>
        <v>1047.0912684148</v>
      </c>
      <c r="AP34" s="80" t="n">
        <f aca="false" t="array" ref="AP34:AP34">IF(COLUMN() - ($E34 + 5) &lt; 0, 0,
  IF(COLUMN() - ($E34 + 5) = 0, $F34,
    AO34 * (1 - IFERROR(INDEX('Inputs &amp; Assuptions'!$C$13:$C$72, COLUMN() - ($E34 + 5)), 0))
  )
)</f>
        <v>1031.38489938858</v>
      </c>
      <c r="AQ34" s="80" t="n">
        <f aca="false" t="array" ref="AQ34:AQ34">IF(COLUMN() - ($E34 + 5) &lt; 0, 0,
  IF(COLUMN() - ($E34 + 5) = 0, $F34,
    AP34 * (1 - IFERROR(INDEX('Inputs &amp; Assuptions'!$C$13:$C$72, COLUMN() - ($E34 + 5)), 0))
  )
)</f>
        <v>1018.49258814622</v>
      </c>
      <c r="AR34" s="80" t="n">
        <f aca="false" t="array" ref="AR34:AR34">IF(COLUMN() - ($E34 + 5) &lt; 0, 0,
  IF(COLUMN() - ($E34 + 5) = 0, $F34,
    AQ34 * (1 - IFERROR(INDEX('Inputs &amp; Assuptions'!$C$13:$C$72, COLUMN() - ($E34 + 5)), 0))
  )
)</f>
        <v>1008.30766226476</v>
      </c>
      <c r="AS34" s="80" t="n">
        <f aca="false" t="array" ref="AS34:AS34">IF(COLUMN() - ($E34 + 5) &lt; 0, 0,
  IF(COLUMN() - ($E34 + 5) = 0, $F34,
    AR34 * (1 - IFERROR(INDEX('Inputs &amp; Assuptions'!$C$13:$C$72, COLUMN() - ($E34 + 5)), 0))
  )
)</f>
        <v>1003.26612395343</v>
      </c>
      <c r="AT34" s="80" t="n">
        <f aca="false" t="array" ref="AT34:AT34">IF(COLUMN() - ($E34 + 5) &lt; 0, 0,
  IF(COLUMN() - ($E34 + 5) = 0, $F34,
    AS34 * (1 - IFERROR(INDEX('Inputs &amp; Assuptions'!$C$13:$C$72, COLUMN() - ($E34 + 5)), 0))
  )
)</f>
        <v>998.249793333666</v>
      </c>
      <c r="AU34" s="80" t="n">
        <f aca="false" t="array" ref="AU34:AU34">IF(COLUMN() - ($E34 + 5) &lt; 0, 0,
  IF(COLUMN() - ($E34 + 5) = 0, $F34,
    AT34 * (1 - IFERROR(INDEX('Inputs &amp; Assuptions'!$C$13:$C$72, COLUMN() - ($E34 + 5)), 0))
  )
)</f>
        <v>993.258544366997</v>
      </c>
      <c r="AV34" s="80" t="n">
        <f aca="false" t="array" ref="AV34:AV34">IF(COLUMN() - ($E34 + 5) &lt; 0, 0,
  IF(COLUMN() - ($E34 + 5) = 0, $F34,
    AU34 * (1 - IFERROR(INDEX('Inputs &amp; Assuptions'!$C$13:$C$72, COLUMN() - ($E34 + 5)), 0))
  )
)</f>
        <v>988.292251645162</v>
      </c>
      <c r="AW34" s="80" t="n">
        <f aca="false" t="array" ref="AW34:AW34">IF(COLUMN() - ($E34 + 5) &lt; 0, 0,
  IF(COLUMN() - ($E34 + 5) = 0, $F34,
    AV34 * (1 - IFERROR(INDEX('Inputs &amp; Assuptions'!$C$13:$C$72, COLUMN() - ($E34 + 5)), 0))
  )
)</f>
        <v>983.350790386937</v>
      </c>
      <c r="AX34" s="80" t="n">
        <f aca="false" t="array" ref="AX34:AX34">IF(COLUMN() - ($E34 + 5) &lt; 0, 0,
  IF(COLUMN() - ($E34 + 5) = 0, $F34,
    AW34 * (1 - IFERROR(INDEX('Inputs &amp; Assuptions'!$C$13:$C$72, COLUMN() - ($E34 + 5)), 0))
  )
)</f>
        <v>978.434036435002</v>
      </c>
      <c r="AY34" s="80" t="n">
        <f aca="false" t="array" ref="AY34:AY34">IF(COLUMN() - ($E34 + 5) &lt; 0, 0,
  IF(COLUMN() - ($E34 + 5) = 0, $F34,
    AX34 * (1 - IFERROR(INDEX('Inputs &amp; Assuptions'!$C$13:$C$72, COLUMN() - ($E34 + 5)), 0))
  )
)</f>
        <v>973.541866252827</v>
      </c>
      <c r="AZ34" s="80" t="n">
        <f aca="false" t="array" ref="AZ34:AZ34">IF(COLUMN() - ($E34 + 5) &lt; 0, 0,
  IF(COLUMN() - ($E34 + 5) = 0, $F34,
    AY34 * (1 - IFERROR(INDEX('Inputs &amp; Assuptions'!$C$13:$C$72, COLUMN() - ($E34 + 5)), 0))
  )
)</f>
        <v>968.674156921563</v>
      </c>
      <c r="BA34" s="80" t="n">
        <f aca="false" t="array" ref="BA34:BA34">IF(COLUMN() - ($E34 + 5) &lt; 0, 0,
  IF(COLUMN() - ($E34 + 5) = 0, $F34,
    AZ34 * (1 - IFERROR(INDEX('Inputs &amp; Assuptions'!$C$13:$C$72, COLUMN() - ($E34 + 5)), 0))
  )
)</f>
        <v>963.830786136955</v>
      </c>
      <c r="BB34" s="80" t="n">
        <f aca="false" t="array" ref="BB34:BB34">IF(COLUMN() - ($E34 + 5) &lt; 0, 0,
  IF(COLUMN() - ($E34 + 5) = 0, $F34,
    BA34 * (1 - IFERROR(INDEX('Inputs &amp; Assuptions'!$C$13:$C$72, COLUMN() - ($E34 + 5)), 0))
  )
)</f>
        <v>959.01163220627</v>
      </c>
      <c r="BC34" s="80" t="n">
        <f aca="false" t="array" ref="BC34:BC34">IF(COLUMN() - ($E34 + 5) &lt; 0, 0,
  IF(COLUMN() - ($E34 + 5) = 0, $F34,
    BB34 * (1 - IFERROR(INDEX('Inputs &amp; Assuptions'!$C$13:$C$72, COLUMN() - ($E34 + 5)), 0))
  )
)</f>
        <v>954.216574045239</v>
      </c>
      <c r="BD34" s="80" t="n">
        <f aca="false" t="array" ref="BD34:BD34">IF(COLUMN() - ($E34 + 5) &lt; 0, 0,
  IF(COLUMN() - ($E34 + 5) = 0, $F34,
    BC34 * (1 - IFERROR(INDEX('Inputs &amp; Assuptions'!$C$13:$C$72, COLUMN() - ($E34 + 5)), 0))
  )
)</f>
        <v>949.445491175013</v>
      </c>
      <c r="BE34" s="80" t="n">
        <f aca="false" t="array" ref="BE34:BE34">IF(COLUMN() - ($E34 + 5) &lt; 0, 0,
  IF(COLUMN() - ($E34 + 5) = 0, $F34,
    BD34 * (1 - IFERROR(INDEX('Inputs &amp; Assuptions'!$C$13:$C$72, COLUMN() - ($E34 + 5)), 0))
  )
)</f>
        <v>944.698263719138</v>
      </c>
      <c r="BF34" s="80" t="n">
        <f aca="false" t="array" ref="BF34:BF34">IF(COLUMN() - ($E34 + 5) &lt; 0, 0,
  IF(COLUMN() - ($E34 + 5) = 0, $F34,
    BE34 * (1 - IFERROR(INDEX('Inputs &amp; Assuptions'!$C$13:$C$72, COLUMN() - ($E34 + 5)), 0))
  )
)</f>
        <v>939.974772400542</v>
      </c>
      <c r="BG34" s="80" t="n">
        <f aca="false" t="array" ref="BG34:BG34">IF(COLUMN() - ($E34 + 5) &lt; 0, 0,
  IF(COLUMN() - ($E34 + 5) = 0, $F34,
    BF34 * (1 - IFERROR(INDEX('Inputs &amp; Assuptions'!$C$13:$C$72, COLUMN() - ($E34 + 5)), 0))
  )
)</f>
        <v>935.274898538539</v>
      </c>
      <c r="BH34" s="80" t="n">
        <f aca="false" t="array" ref="BH34:BH34">IF(COLUMN() - ($E34 + 5) &lt; 0, 0,
  IF(COLUMN() - ($E34 + 5) = 0, $F34,
    BG34 * (1 - IFERROR(INDEX('Inputs &amp; Assuptions'!$C$13:$C$72, COLUMN() - ($E34 + 5)), 0))
  )
)</f>
        <v>930.598524045846</v>
      </c>
      <c r="BI34" s="80" t="n">
        <f aca="false" t="array" ref="BI34:BI34">IF(COLUMN() - ($E34 + 5) &lt; 0, 0,
  IF(COLUMN() - ($E34 + 5) = 0, $F34,
    BH34 * (1 - IFERROR(INDEX('Inputs &amp; Assuptions'!$C$13:$C$72, COLUMN() - ($E34 + 5)), 0))
  )
)</f>
        <v>925.945531425617</v>
      </c>
      <c r="BJ34" s="80" t="n">
        <f aca="false" t="array" ref="BJ34:BJ34">IF(COLUMN() - ($E34 + 5) &lt; 0, 0,
  IF(COLUMN() - ($E34 + 5) = 0, $F34,
    BI34 * (1 - IFERROR(INDEX('Inputs &amp; Assuptions'!$C$13:$C$72, COLUMN() - ($E34 + 5)), 0))
  )
)</f>
        <v>921.315803768489</v>
      </c>
      <c r="BK34" s="80" t="n">
        <f aca="false" t="array" ref="BK34:BK34">IF(COLUMN() - ($E34 + 5) &lt; 0, 0,
  IF(COLUMN() - ($E34 + 5) = 0, $F34,
    BJ34 * (1 - IFERROR(INDEX('Inputs &amp; Assuptions'!$C$13:$C$72, COLUMN() - ($E34 + 5)), 0))
  )
)</f>
        <v>916.709224749647</v>
      </c>
      <c r="BL34" s="80" t="n">
        <f aca="false" t="array" ref="BL34:BL34">IF(COLUMN() - ($E34 + 5) &lt; 0, 0,
  IF(COLUMN() - ($E34 + 5) = 0, $F34,
    BK34 * (1 - IFERROR(INDEX('Inputs &amp; Assuptions'!$C$13:$C$72, COLUMN() - ($E34 + 5)), 0))
  )
)</f>
        <v>912.125678625898</v>
      </c>
      <c r="BM34" s="81" t="n">
        <f aca="false" t="array" ref="BM34:BM34">IF(COLUMN() - ($E34 + 5) &lt; 0, 0,
  IF(COLUMN() - ($E34 + 5) = 0, $F34,
    BL34 * (1 - IFERROR(INDEX('Inputs &amp; Assuptions'!$C$13:$C$72, COLUMN() - ($E34 + 5)), 0))
  )
)</f>
        <v>907.565050232769</v>
      </c>
      <c r="BN34" s="76"/>
    </row>
    <row r="35" customFormat="false" ht="14.25" hidden="false" customHeight="false" outlineLevel="0" collapsed="false">
      <c r="A35" s="29" t="n">
        <f aca="false">A34+1</f>
        <v>30</v>
      </c>
      <c r="B35" s="77" t="n">
        <f aca="false">IF(MOD($A35-1, 12) = 0, $B34 * 1.05, $B34)</f>
        <v>1653.75</v>
      </c>
      <c r="C35" s="78" t="n">
        <f aca="false">$B35*(1-'Inputs &amp; Assuptions'!$C$12)</f>
        <v>1289.925</v>
      </c>
      <c r="E35" s="29" t="n">
        <f aca="false">E34+1</f>
        <v>30</v>
      </c>
      <c r="F35" s="79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 t="n">
        <f aca="false">$C35</f>
        <v>1289.925</v>
      </c>
      <c r="AJ35" s="80" t="n">
        <f aca="false" t="array" ref="AJ35:AJ35">IF(COLUMN() - ($E35 + 5) &lt; 0, 0,
  IF(COLUMN() - ($E35 + 5) = 0, $F35,
    AI35 * (1 - IFERROR(INDEX('Inputs &amp; Assuptions'!$C$13:$C$72, COLUMN() - ($E35 + 5)), 0))
  )
)</f>
        <v>1222.2039375</v>
      </c>
      <c r="AK35" s="80" t="n">
        <f aca="false" t="array" ref="AK35:AK35">IF(COLUMN() - ($E35 + 5) &lt; 0, 0,
  IF(COLUMN() - ($E35 + 5) = 0, $F35,
    AJ35 * (1 - IFERROR(INDEX('Inputs &amp; Assuptions'!$C$13:$C$72, COLUMN() - ($E35 + 5)), 0))
  )
)</f>
        <v>1173.31578</v>
      </c>
      <c r="AL35" s="80" t="n">
        <f aca="false" t="array" ref="AL35:AL35">IF(COLUMN() - ($E35 + 5) &lt; 0, 0,
  IF(COLUMN() - ($E35 + 5) = 0, $F35,
    AK35 * (1 - IFERROR(INDEX('Inputs &amp; Assuptions'!$C$13:$C$72, COLUMN() - ($E35 + 5)), 0))
  )
)</f>
        <v>1141.04959605</v>
      </c>
      <c r="AM35" s="80" t="n">
        <f aca="false" t="array" ref="AM35:AM35">IF(COLUMN() - ($E35 + 5) &lt; 0, 0,
  IF(COLUMN() - ($E35 + 5) = 0, $F35,
    AL35 * (1 - IFERROR(INDEX('Inputs &amp; Assuptions'!$C$13:$C$72, COLUMN() - ($E35 + 5)), 0))
  )
)</f>
        <v>1112.52335614875</v>
      </c>
      <c r="AN35" s="80" t="n">
        <f aca="false" t="array" ref="AN35:AN35">IF(COLUMN() - ($E35 + 5) &lt; 0, 0,
  IF(COLUMN() - ($E35 + 5) = 0, $F35,
    AM35 * (1 - IFERROR(INDEX('Inputs &amp; Assuptions'!$C$13:$C$72, COLUMN() - ($E35 + 5)), 0))
  )
)</f>
        <v>1087.4915806354</v>
      </c>
      <c r="AO35" s="80" t="n">
        <f aca="false" t="array" ref="AO35:AO35">IF(COLUMN() - ($E35 + 5) &lt; 0, 0,
  IF(COLUMN() - ($E35 + 5) = 0, $F35,
    AN35 * (1 - IFERROR(INDEX('Inputs &amp; Assuptions'!$C$13:$C$72, COLUMN() - ($E35 + 5)), 0))
  )
)</f>
        <v>1065.7417490227</v>
      </c>
      <c r="AP35" s="80" t="n">
        <f aca="false" t="array" ref="AP35:AP35">IF(COLUMN() - ($E35 + 5) &lt; 0, 0,
  IF(COLUMN() - ($E35 + 5) = 0, $F35,
    AO35 * (1 - IFERROR(INDEX('Inputs &amp; Assuptions'!$C$13:$C$72, COLUMN() - ($E35 + 5)), 0))
  )
)</f>
        <v>1047.0912684148</v>
      </c>
      <c r="AQ35" s="80" t="n">
        <f aca="false" t="array" ref="AQ35:AQ35">IF(COLUMN() - ($E35 + 5) &lt; 0, 0,
  IF(COLUMN() - ($E35 + 5) = 0, $F35,
    AP35 * (1 - IFERROR(INDEX('Inputs &amp; Assuptions'!$C$13:$C$72, COLUMN() - ($E35 + 5)), 0))
  )
)</f>
        <v>1031.38489938858</v>
      </c>
      <c r="AR35" s="80" t="n">
        <f aca="false" t="array" ref="AR35:AR35">IF(COLUMN() - ($E35 + 5) &lt; 0, 0,
  IF(COLUMN() - ($E35 + 5) = 0, $F35,
    AQ35 * (1 - IFERROR(INDEX('Inputs &amp; Assuptions'!$C$13:$C$72, COLUMN() - ($E35 + 5)), 0))
  )
)</f>
        <v>1018.49258814622</v>
      </c>
      <c r="AS35" s="80" t="n">
        <f aca="false" t="array" ref="AS35:AS35">IF(COLUMN() - ($E35 + 5) &lt; 0, 0,
  IF(COLUMN() - ($E35 + 5) = 0, $F35,
    AR35 * (1 - IFERROR(INDEX('Inputs &amp; Assuptions'!$C$13:$C$72, COLUMN() - ($E35 + 5)), 0))
  )
)</f>
        <v>1008.30766226476</v>
      </c>
      <c r="AT35" s="80" t="n">
        <f aca="false" t="array" ref="AT35:AT35">IF(COLUMN() - ($E35 + 5) &lt; 0, 0,
  IF(COLUMN() - ($E35 + 5) = 0, $F35,
    AS35 * (1 - IFERROR(INDEX('Inputs &amp; Assuptions'!$C$13:$C$72, COLUMN() - ($E35 + 5)), 0))
  )
)</f>
        <v>1003.26612395343</v>
      </c>
      <c r="AU35" s="80" t="n">
        <f aca="false" t="array" ref="AU35:AU35">IF(COLUMN() - ($E35 + 5) &lt; 0, 0,
  IF(COLUMN() - ($E35 + 5) = 0, $F35,
    AT35 * (1 - IFERROR(INDEX('Inputs &amp; Assuptions'!$C$13:$C$72, COLUMN() - ($E35 + 5)), 0))
  )
)</f>
        <v>998.249793333666</v>
      </c>
      <c r="AV35" s="80" t="n">
        <f aca="false" t="array" ref="AV35:AV35">IF(COLUMN() - ($E35 + 5) &lt; 0, 0,
  IF(COLUMN() - ($E35 + 5) = 0, $F35,
    AU35 * (1 - IFERROR(INDEX('Inputs &amp; Assuptions'!$C$13:$C$72, COLUMN() - ($E35 + 5)), 0))
  )
)</f>
        <v>993.258544366997</v>
      </c>
      <c r="AW35" s="80" t="n">
        <f aca="false" t="array" ref="AW35:AW35">IF(COLUMN() - ($E35 + 5) &lt; 0, 0,
  IF(COLUMN() - ($E35 + 5) = 0, $F35,
    AV35 * (1 - IFERROR(INDEX('Inputs &amp; Assuptions'!$C$13:$C$72, COLUMN() - ($E35 + 5)), 0))
  )
)</f>
        <v>988.292251645162</v>
      </c>
      <c r="AX35" s="80" t="n">
        <f aca="false" t="array" ref="AX35:AX35">IF(COLUMN() - ($E35 + 5) &lt; 0, 0,
  IF(COLUMN() - ($E35 + 5) = 0, $F35,
    AW35 * (1 - IFERROR(INDEX('Inputs &amp; Assuptions'!$C$13:$C$72, COLUMN() - ($E35 + 5)), 0))
  )
)</f>
        <v>983.350790386937</v>
      </c>
      <c r="AY35" s="80" t="n">
        <f aca="false" t="array" ref="AY35:AY35">IF(COLUMN() - ($E35 + 5) &lt; 0, 0,
  IF(COLUMN() - ($E35 + 5) = 0, $F35,
    AX35 * (1 - IFERROR(INDEX('Inputs &amp; Assuptions'!$C$13:$C$72, COLUMN() - ($E35 + 5)), 0))
  )
)</f>
        <v>978.434036435002</v>
      </c>
      <c r="AZ35" s="80" t="n">
        <f aca="false" t="array" ref="AZ35:AZ35">IF(COLUMN() - ($E35 + 5) &lt; 0, 0,
  IF(COLUMN() - ($E35 + 5) = 0, $F35,
    AY35 * (1 - IFERROR(INDEX('Inputs &amp; Assuptions'!$C$13:$C$72, COLUMN() - ($E35 + 5)), 0))
  )
)</f>
        <v>973.541866252827</v>
      </c>
      <c r="BA35" s="80" t="n">
        <f aca="false" t="array" ref="BA35:BA35">IF(COLUMN() - ($E35 + 5) &lt; 0, 0,
  IF(COLUMN() - ($E35 + 5) = 0, $F35,
    AZ35 * (1 - IFERROR(INDEX('Inputs &amp; Assuptions'!$C$13:$C$72, COLUMN() - ($E35 + 5)), 0))
  )
)</f>
        <v>968.674156921563</v>
      </c>
      <c r="BB35" s="80" t="n">
        <f aca="false" t="array" ref="BB35:BB35">IF(COLUMN() - ($E35 + 5) &lt; 0, 0,
  IF(COLUMN() - ($E35 + 5) = 0, $F35,
    BA35 * (1 - IFERROR(INDEX('Inputs &amp; Assuptions'!$C$13:$C$72, COLUMN() - ($E35 + 5)), 0))
  )
)</f>
        <v>963.830786136955</v>
      </c>
      <c r="BC35" s="80" t="n">
        <f aca="false" t="array" ref="BC35:BC35">IF(COLUMN() - ($E35 + 5) &lt; 0, 0,
  IF(COLUMN() - ($E35 + 5) = 0, $F35,
    BB35 * (1 - IFERROR(INDEX('Inputs &amp; Assuptions'!$C$13:$C$72, COLUMN() - ($E35 + 5)), 0))
  )
)</f>
        <v>959.01163220627</v>
      </c>
      <c r="BD35" s="80" t="n">
        <f aca="false" t="array" ref="BD35:BD35">IF(COLUMN() - ($E35 + 5) &lt; 0, 0,
  IF(COLUMN() - ($E35 + 5) = 0, $F35,
    BC35 * (1 - IFERROR(INDEX('Inputs &amp; Assuptions'!$C$13:$C$72, COLUMN() - ($E35 + 5)), 0))
  )
)</f>
        <v>954.216574045239</v>
      </c>
      <c r="BE35" s="80" t="n">
        <f aca="false" t="array" ref="BE35:BE35">IF(COLUMN() - ($E35 + 5) &lt; 0, 0,
  IF(COLUMN() - ($E35 + 5) = 0, $F35,
    BD35 * (1 - IFERROR(INDEX('Inputs &amp; Assuptions'!$C$13:$C$72, COLUMN() - ($E35 + 5)), 0))
  )
)</f>
        <v>949.445491175013</v>
      </c>
      <c r="BF35" s="80" t="n">
        <f aca="false" t="array" ref="BF35:BF35">IF(COLUMN() - ($E35 + 5) &lt; 0, 0,
  IF(COLUMN() - ($E35 + 5) = 0, $F35,
    BE35 * (1 - IFERROR(INDEX('Inputs &amp; Assuptions'!$C$13:$C$72, COLUMN() - ($E35 + 5)), 0))
  )
)</f>
        <v>944.698263719138</v>
      </c>
      <c r="BG35" s="80" t="n">
        <f aca="false" t="array" ref="BG35:BG35">IF(COLUMN() - ($E35 + 5) &lt; 0, 0,
  IF(COLUMN() - ($E35 + 5) = 0, $F35,
    BF35 * (1 - IFERROR(INDEX('Inputs &amp; Assuptions'!$C$13:$C$72, COLUMN() - ($E35 + 5)), 0))
  )
)</f>
        <v>939.974772400542</v>
      </c>
      <c r="BH35" s="80" t="n">
        <f aca="false" t="array" ref="BH35:BH35">IF(COLUMN() - ($E35 + 5) &lt; 0, 0,
  IF(COLUMN() - ($E35 + 5) = 0, $F35,
    BG35 * (1 - IFERROR(INDEX('Inputs &amp; Assuptions'!$C$13:$C$72, COLUMN() - ($E35 + 5)), 0))
  )
)</f>
        <v>935.274898538539</v>
      </c>
      <c r="BI35" s="80" t="n">
        <f aca="false" t="array" ref="BI35:BI35">IF(COLUMN() - ($E35 + 5) &lt; 0, 0,
  IF(COLUMN() - ($E35 + 5) = 0, $F35,
    BH35 * (1 - IFERROR(INDEX('Inputs &amp; Assuptions'!$C$13:$C$72, COLUMN() - ($E35 + 5)), 0))
  )
)</f>
        <v>930.598524045846</v>
      </c>
      <c r="BJ35" s="80" t="n">
        <f aca="false" t="array" ref="BJ35:BJ35">IF(COLUMN() - ($E35 + 5) &lt; 0, 0,
  IF(COLUMN() - ($E35 + 5) = 0, $F35,
    BI35 * (1 - IFERROR(INDEX('Inputs &amp; Assuptions'!$C$13:$C$72, COLUMN() - ($E35 + 5)), 0))
  )
)</f>
        <v>925.945531425617</v>
      </c>
      <c r="BK35" s="80" t="n">
        <f aca="false" t="array" ref="BK35:BK35">IF(COLUMN() - ($E35 + 5) &lt; 0, 0,
  IF(COLUMN() - ($E35 + 5) = 0, $F35,
    BJ35 * (1 - IFERROR(INDEX('Inputs &amp; Assuptions'!$C$13:$C$72, COLUMN() - ($E35 + 5)), 0))
  )
)</f>
        <v>921.315803768489</v>
      </c>
      <c r="BL35" s="80" t="n">
        <f aca="false" t="array" ref="BL35:BL35">IF(COLUMN() - ($E35 + 5) &lt; 0, 0,
  IF(COLUMN() - ($E35 + 5) = 0, $F35,
    BK35 * (1 - IFERROR(INDEX('Inputs &amp; Assuptions'!$C$13:$C$72, COLUMN() - ($E35 + 5)), 0))
  )
)</f>
        <v>916.709224749647</v>
      </c>
      <c r="BM35" s="81" t="n">
        <f aca="false" t="array" ref="BM35:BM35">IF(COLUMN() - ($E35 + 5) &lt; 0, 0,
  IF(COLUMN() - ($E35 + 5) = 0, $F35,
    BL35 * (1 - IFERROR(INDEX('Inputs &amp; Assuptions'!$C$13:$C$72, COLUMN() - ($E35 + 5)), 0))
  )
)</f>
        <v>912.125678625898</v>
      </c>
      <c r="BN35" s="76"/>
    </row>
    <row r="36" customFormat="false" ht="14.25" hidden="false" customHeight="false" outlineLevel="0" collapsed="false">
      <c r="A36" s="29" t="n">
        <f aca="false">A35+1</f>
        <v>31</v>
      </c>
      <c r="B36" s="77" t="n">
        <f aca="false">IF(MOD($A36-1, 12) = 0, $B35 * 1.05, $B35)</f>
        <v>1653.75</v>
      </c>
      <c r="C36" s="78" t="n">
        <f aca="false">$B36*(1-'Inputs &amp; Assuptions'!$C$12)</f>
        <v>1289.925</v>
      </c>
      <c r="E36" s="29" t="n">
        <f aca="false">E35+1</f>
        <v>31</v>
      </c>
      <c r="F36" s="79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 t="n">
        <f aca="false">$C36</f>
        <v>1289.925</v>
      </c>
      <c r="AK36" s="80" t="n">
        <f aca="false" t="array" ref="AK36:AK36">IF(COLUMN() - ($E36 + 5) &lt; 0, 0,
  IF(COLUMN() - ($E36 + 5) = 0, $F36,
    AJ36 * (1 - IFERROR(INDEX('Inputs &amp; Assuptions'!$C$13:$C$72, COLUMN() - ($E36 + 5)), 0))
  )
)</f>
        <v>1222.2039375</v>
      </c>
      <c r="AL36" s="80" t="n">
        <f aca="false" t="array" ref="AL36:AL36">IF(COLUMN() - ($E36 + 5) &lt; 0, 0,
  IF(COLUMN() - ($E36 + 5) = 0, $F36,
    AK36 * (1 - IFERROR(INDEX('Inputs &amp; Assuptions'!$C$13:$C$72, COLUMN() - ($E36 + 5)), 0))
  )
)</f>
        <v>1173.31578</v>
      </c>
      <c r="AM36" s="80" t="n">
        <f aca="false" t="array" ref="AM36:AM36">IF(COLUMN() - ($E36 + 5) &lt; 0, 0,
  IF(COLUMN() - ($E36 + 5) = 0, $F36,
    AL36 * (1 - IFERROR(INDEX('Inputs &amp; Assuptions'!$C$13:$C$72, COLUMN() - ($E36 + 5)), 0))
  )
)</f>
        <v>1141.04959605</v>
      </c>
      <c r="AN36" s="80" t="n">
        <f aca="false" t="array" ref="AN36:AN36">IF(COLUMN() - ($E36 + 5) &lt; 0, 0,
  IF(COLUMN() - ($E36 + 5) = 0, $F36,
    AM36 * (1 - IFERROR(INDEX('Inputs &amp; Assuptions'!$C$13:$C$72, COLUMN() - ($E36 + 5)), 0))
  )
)</f>
        <v>1112.52335614875</v>
      </c>
      <c r="AO36" s="80" t="n">
        <f aca="false" t="array" ref="AO36:AO36">IF(COLUMN() - ($E36 + 5) &lt; 0, 0,
  IF(COLUMN() - ($E36 + 5) = 0, $F36,
    AN36 * (1 - IFERROR(INDEX('Inputs &amp; Assuptions'!$C$13:$C$72, COLUMN() - ($E36 + 5)), 0))
  )
)</f>
        <v>1087.4915806354</v>
      </c>
      <c r="AP36" s="80" t="n">
        <f aca="false" t="array" ref="AP36:AP36">IF(COLUMN() - ($E36 + 5) &lt; 0, 0,
  IF(COLUMN() - ($E36 + 5) = 0, $F36,
    AO36 * (1 - IFERROR(INDEX('Inputs &amp; Assuptions'!$C$13:$C$72, COLUMN() - ($E36 + 5)), 0))
  )
)</f>
        <v>1065.7417490227</v>
      </c>
      <c r="AQ36" s="80" t="n">
        <f aca="false" t="array" ref="AQ36:AQ36">IF(COLUMN() - ($E36 + 5) &lt; 0, 0,
  IF(COLUMN() - ($E36 + 5) = 0, $F36,
    AP36 * (1 - IFERROR(INDEX('Inputs &amp; Assuptions'!$C$13:$C$72, COLUMN() - ($E36 + 5)), 0))
  )
)</f>
        <v>1047.0912684148</v>
      </c>
      <c r="AR36" s="80" t="n">
        <f aca="false" t="array" ref="AR36:AR36">IF(COLUMN() - ($E36 + 5) &lt; 0, 0,
  IF(COLUMN() - ($E36 + 5) = 0, $F36,
    AQ36 * (1 - IFERROR(INDEX('Inputs &amp; Assuptions'!$C$13:$C$72, COLUMN() - ($E36 + 5)), 0))
  )
)</f>
        <v>1031.38489938858</v>
      </c>
      <c r="AS36" s="80" t="n">
        <f aca="false" t="array" ref="AS36:AS36">IF(COLUMN() - ($E36 + 5) &lt; 0, 0,
  IF(COLUMN() - ($E36 + 5) = 0, $F36,
    AR36 * (1 - IFERROR(INDEX('Inputs &amp; Assuptions'!$C$13:$C$72, COLUMN() - ($E36 + 5)), 0))
  )
)</f>
        <v>1018.49258814622</v>
      </c>
      <c r="AT36" s="80" t="n">
        <f aca="false" t="array" ref="AT36:AT36">IF(COLUMN() - ($E36 + 5) &lt; 0, 0,
  IF(COLUMN() - ($E36 + 5) = 0, $F36,
    AS36 * (1 - IFERROR(INDEX('Inputs &amp; Assuptions'!$C$13:$C$72, COLUMN() - ($E36 + 5)), 0))
  )
)</f>
        <v>1008.30766226476</v>
      </c>
      <c r="AU36" s="80" t="n">
        <f aca="false" t="array" ref="AU36:AU36">IF(COLUMN() - ($E36 + 5) &lt; 0, 0,
  IF(COLUMN() - ($E36 + 5) = 0, $F36,
    AT36 * (1 - IFERROR(INDEX('Inputs &amp; Assuptions'!$C$13:$C$72, COLUMN() - ($E36 + 5)), 0))
  )
)</f>
        <v>1003.26612395343</v>
      </c>
      <c r="AV36" s="80" t="n">
        <f aca="false" t="array" ref="AV36:AV36">IF(COLUMN() - ($E36 + 5) &lt; 0, 0,
  IF(COLUMN() - ($E36 + 5) = 0, $F36,
    AU36 * (1 - IFERROR(INDEX('Inputs &amp; Assuptions'!$C$13:$C$72, COLUMN() - ($E36 + 5)), 0))
  )
)</f>
        <v>998.249793333666</v>
      </c>
      <c r="AW36" s="80" t="n">
        <f aca="false" t="array" ref="AW36:AW36">IF(COLUMN() - ($E36 + 5) &lt; 0, 0,
  IF(COLUMN() - ($E36 + 5) = 0, $F36,
    AV36 * (1 - IFERROR(INDEX('Inputs &amp; Assuptions'!$C$13:$C$72, COLUMN() - ($E36 + 5)), 0))
  )
)</f>
        <v>993.258544366997</v>
      </c>
      <c r="AX36" s="80" t="n">
        <f aca="false" t="array" ref="AX36:AX36">IF(COLUMN() - ($E36 + 5) &lt; 0, 0,
  IF(COLUMN() - ($E36 + 5) = 0, $F36,
    AW36 * (1 - IFERROR(INDEX('Inputs &amp; Assuptions'!$C$13:$C$72, COLUMN() - ($E36 + 5)), 0))
  )
)</f>
        <v>988.292251645162</v>
      </c>
      <c r="AY36" s="80" t="n">
        <f aca="false" t="array" ref="AY36:AY36">IF(COLUMN() - ($E36 + 5) &lt; 0, 0,
  IF(COLUMN() - ($E36 + 5) = 0, $F36,
    AX36 * (1 - IFERROR(INDEX('Inputs &amp; Assuptions'!$C$13:$C$72, COLUMN() - ($E36 + 5)), 0))
  )
)</f>
        <v>983.350790386937</v>
      </c>
      <c r="AZ36" s="80" t="n">
        <f aca="false" t="array" ref="AZ36:AZ36">IF(COLUMN() - ($E36 + 5) &lt; 0, 0,
  IF(COLUMN() - ($E36 + 5) = 0, $F36,
    AY36 * (1 - IFERROR(INDEX('Inputs &amp; Assuptions'!$C$13:$C$72, COLUMN() - ($E36 + 5)), 0))
  )
)</f>
        <v>978.434036435002</v>
      </c>
      <c r="BA36" s="80" t="n">
        <f aca="false" t="array" ref="BA36:BA36">IF(COLUMN() - ($E36 + 5) &lt; 0, 0,
  IF(COLUMN() - ($E36 + 5) = 0, $F36,
    AZ36 * (1 - IFERROR(INDEX('Inputs &amp; Assuptions'!$C$13:$C$72, COLUMN() - ($E36 + 5)), 0))
  )
)</f>
        <v>973.541866252827</v>
      </c>
      <c r="BB36" s="80" t="n">
        <f aca="false" t="array" ref="BB36:BB36">IF(COLUMN() - ($E36 + 5) &lt; 0, 0,
  IF(COLUMN() - ($E36 + 5) = 0, $F36,
    BA36 * (1 - IFERROR(INDEX('Inputs &amp; Assuptions'!$C$13:$C$72, COLUMN() - ($E36 + 5)), 0))
  )
)</f>
        <v>968.674156921563</v>
      </c>
      <c r="BC36" s="80" t="n">
        <f aca="false" t="array" ref="BC36:BC36">IF(COLUMN() - ($E36 + 5) &lt; 0, 0,
  IF(COLUMN() - ($E36 + 5) = 0, $F36,
    BB36 * (1 - IFERROR(INDEX('Inputs &amp; Assuptions'!$C$13:$C$72, COLUMN() - ($E36 + 5)), 0))
  )
)</f>
        <v>963.830786136955</v>
      </c>
      <c r="BD36" s="80" t="n">
        <f aca="false" t="array" ref="BD36:BD36">IF(COLUMN() - ($E36 + 5) &lt; 0, 0,
  IF(COLUMN() - ($E36 + 5) = 0, $F36,
    BC36 * (1 - IFERROR(INDEX('Inputs &amp; Assuptions'!$C$13:$C$72, COLUMN() - ($E36 + 5)), 0))
  )
)</f>
        <v>959.01163220627</v>
      </c>
      <c r="BE36" s="80" t="n">
        <f aca="false" t="array" ref="BE36:BE36">IF(COLUMN() - ($E36 + 5) &lt; 0, 0,
  IF(COLUMN() - ($E36 + 5) = 0, $F36,
    BD36 * (1 - IFERROR(INDEX('Inputs &amp; Assuptions'!$C$13:$C$72, COLUMN() - ($E36 + 5)), 0))
  )
)</f>
        <v>954.216574045239</v>
      </c>
      <c r="BF36" s="80" t="n">
        <f aca="false" t="array" ref="BF36:BF36">IF(COLUMN() - ($E36 + 5) &lt; 0, 0,
  IF(COLUMN() - ($E36 + 5) = 0, $F36,
    BE36 * (1 - IFERROR(INDEX('Inputs &amp; Assuptions'!$C$13:$C$72, COLUMN() - ($E36 + 5)), 0))
  )
)</f>
        <v>949.445491175013</v>
      </c>
      <c r="BG36" s="80" t="n">
        <f aca="false" t="array" ref="BG36:BG36">IF(COLUMN() - ($E36 + 5) &lt; 0, 0,
  IF(COLUMN() - ($E36 + 5) = 0, $F36,
    BF36 * (1 - IFERROR(INDEX('Inputs &amp; Assuptions'!$C$13:$C$72, COLUMN() - ($E36 + 5)), 0))
  )
)</f>
        <v>944.698263719138</v>
      </c>
      <c r="BH36" s="80" t="n">
        <f aca="false" t="array" ref="BH36:BH36">IF(COLUMN() - ($E36 + 5) &lt; 0, 0,
  IF(COLUMN() - ($E36 + 5) = 0, $F36,
    BG36 * (1 - IFERROR(INDEX('Inputs &amp; Assuptions'!$C$13:$C$72, COLUMN() - ($E36 + 5)), 0))
  )
)</f>
        <v>939.974772400542</v>
      </c>
      <c r="BI36" s="80" t="n">
        <f aca="false" t="array" ref="BI36:BI36">IF(COLUMN() - ($E36 + 5) &lt; 0, 0,
  IF(COLUMN() - ($E36 + 5) = 0, $F36,
    BH36 * (1 - IFERROR(INDEX('Inputs &amp; Assuptions'!$C$13:$C$72, COLUMN() - ($E36 + 5)), 0))
  )
)</f>
        <v>935.274898538539</v>
      </c>
      <c r="BJ36" s="80" t="n">
        <f aca="false" t="array" ref="BJ36:BJ36">IF(COLUMN() - ($E36 + 5) &lt; 0, 0,
  IF(COLUMN() - ($E36 + 5) = 0, $F36,
    BI36 * (1 - IFERROR(INDEX('Inputs &amp; Assuptions'!$C$13:$C$72, COLUMN() - ($E36 + 5)), 0))
  )
)</f>
        <v>930.598524045846</v>
      </c>
      <c r="BK36" s="80" t="n">
        <f aca="false" t="array" ref="BK36:BK36">IF(COLUMN() - ($E36 + 5) &lt; 0, 0,
  IF(COLUMN() - ($E36 + 5) = 0, $F36,
    BJ36 * (1 - IFERROR(INDEX('Inputs &amp; Assuptions'!$C$13:$C$72, COLUMN() - ($E36 + 5)), 0))
  )
)</f>
        <v>925.945531425617</v>
      </c>
      <c r="BL36" s="80" t="n">
        <f aca="false" t="array" ref="BL36:BL36">IF(COLUMN() - ($E36 + 5) &lt; 0, 0,
  IF(COLUMN() - ($E36 + 5) = 0, $F36,
    BK36 * (1 - IFERROR(INDEX('Inputs &amp; Assuptions'!$C$13:$C$72, COLUMN() - ($E36 + 5)), 0))
  )
)</f>
        <v>921.315803768489</v>
      </c>
      <c r="BM36" s="81" t="n">
        <f aca="false" t="array" ref="BM36:BM36">IF(COLUMN() - ($E36 + 5) &lt; 0, 0,
  IF(COLUMN() - ($E36 + 5) = 0, $F36,
    BL36 * (1 - IFERROR(INDEX('Inputs &amp; Assuptions'!$C$13:$C$72, COLUMN() - ($E36 + 5)), 0))
  )
)</f>
        <v>916.709224749647</v>
      </c>
      <c r="BN36" s="76"/>
    </row>
    <row r="37" customFormat="false" ht="14.25" hidden="false" customHeight="false" outlineLevel="0" collapsed="false">
      <c r="A37" s="29" t="n">
        <f aca="false">A36+1</f>
        <v>32</v>
      </c>
      <c r="B37" s="77" t="n">
        <f aca="false">IF(MOD($A37-1, 12) = 0, $B36 * 1.05, $B36)</f>
        <v>1653.75</v>
      </c>
      <c r="C37" s="78" t="n">
        <f aca="false">$B37*(1-'Inputs &amp; Assuptions'!$C$12)</f>
        <v>1289.925</v>
      </c>
      <c r="E37" s="29" t="n">
        <f aca="false">E36+1</f>
        <v>32</v>
      </c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 t="n">
        <f aca="false">$C37</f>
        <v>1289.925</v>
      </c>
      <c r="AL37" s="80" t="n">
        <f aca="false" t="array" ref="AL37:AL37">IF(COLUMN() - ($E37 + 5) &lt; 0, 0,
  IF(COLUMN() - ($E37 + 5) = 0, $F37,
    AK37 * (1 - IFERROR(INDEX('Inputs &amp; Assuptions'!$C$13:$C$72, COLUMN() - ($E37 + 5)), 0))
  )
)</f>
        <v>1222.2039375</v>
      </c>
      <c r="AM37" s="80" t="n">
        <f aca="false" t="array" ref="AM37:AM37">IF(COLUMN() - ($E37 + 5) &lt; 0, 0,
  IF(COLUMN() - ($E37 + 5) = 0, $F37,
    AL37 * (1 - IFERROR(INDEX('Inputs &amp; Assuptions'!$C$13:$C$72, COLUMN() - ($E37 + 5)), 0))
  )
)</f>
        <v>1173.31578</v>
      </c>
      <c r="AN37" s="80" t="n">
        <f aca="false" t="array" ref="AN37:AN37">IF(COLUMN() - ($E37 + 5) &lt; 0, 0,
  IF(COLUMN() - ($E37 + 5) = 0, $F37,
    AM37 * (1 - IFERROR(INDEX('Inputs &amp; Assuptions'!$C$13:$C$72, COLUMN() - ($E37 + 5)), 0))
  )
)</f>
        <v>1141.04959605</v>
      </c>
      <c r="AO37" s="80" t="n">
        <f aca="false" t="array" ref="AO37:AO37">IF(COLUMN() - ($E37 + 5) &lt; 0, 0,
  IF(COLUMN() - ($E37 + 5) = 0, $F37,
    AN37 * (1 - IFERROR(INDEX('Inputs &amp; Assuptions'!$C$13:$C$72, COLUMN() - ($E37 + 5)), 0))
  )
)</f>
        <v>1112.52335614875</v>
      </c>
      <c r="AP37" s="80" t="n">
        <f aca="false" t="array" ref="AP37:AP37">IF(COLUMN() - ($E37 + 5) &lt; 0, 0,
  IF(COLUMN() - ($E37 + 5) = 0, $F37,
    AO37 * (1 - IFERROR(INDEX('Inputs &amp; Assuptions'!$C$13:$C$72, COLUMN() - ($E37 + 5)), 0))
  )
)</f>
        <v>1087.4915806354</v>
      </c>
      <c r="AQ37" s="80" t="n">
        <f aca="false" t="array" ref="AQ37:AQ37">IF(COLUMN() - ($E37 + 5) &lt; 0, 0,
  IF(COLUMN() - ($E37 + 5) = 0, $F37,
    AP37 * (1 - IFERROR(INDEX('Inputs &amp; Assuptions'!$C$13:$C$72, COLUMN() - ($E37 + 5)), 0))
  )
)</f>
        <v>1065.7417490227</v>
      </c>
      <c r="AR37" s="80" t="n">
        <f aca="false" t="array" ref="AR37:AR37">IF(COLUMN() - ($E37 + 5) &lt; 0, 0,
  IF(COLUMN() - ($E37 + 5) = 0, $F37,
    AQ37 * (1 - IFERROR(INDEX('Inputs &amp; Assuptions'!$C$13:$C$72, COLUMN() - ($E37 + 5)), 0))
  )
)</f>
        <v>1047.0912684148</v>
      </c>
      <c r="AS37" s="80" t="n">
        <f aca="false" t="array" ref="AS37:AS37">IF(COLUMN() - ($E37 + 5) &lt; 0, 0,
  IF(COLUMN() - ($E37 + 5) = 0, $F37,
    AR37 * (1 - IFERROR(INDEX('Inputs &amp; Assuptions'!$C$13:$C$72, COLUMN() - ($E37 + 5)), 0))
  )
)</f>
        <v>1031.38489938858</v>
      </c>
      <c r="AT37" s="80" t="n">
        <f aca="false" t="array" ref="AT37:AT37">IF(COLUMN() - ($E37 + 5) &lt; 0, 0,
  IF(COLUMN() - ($E37 + 5) = 0, $F37,
    AS37 * (1 - IFERROR(INDEX('Inputs &amp; Assuptions'!$C$13:$C$72, COLUMN() - ($E37 + 5)), 0))
  )
)</f>
        <v>1018.49258814622</v>
      </c>
      <c r="AU37" s="80" t="n">
        <f aca="false" t="array" ref="AU37:AU37">IF(COLUMN() - ($E37 + 5) &lt; 0, 0,
  IF(COLUMN() - ($E37 + 5) = 0, $F37,
    AT37 * (1 - IFERROR(INDEX('Inputs &amp; Assuptions'!$C$13:$C$72, COLUMN() - ($E37 + 5)), 0))
  )
)</f>
        <v>1008.30766226476</v>
      </c>
      <c r="AV37" s="80" t="n">
        <f aca="false" t="array" ref="AV37:AV37">IF(COLUMN() - ($E37 + 5) &lt; 0, 0,
  IF(COLUMN() - ($E37 + 5) = 0, $F37,
    AU37 * (1 - IFERROR(INDEX('Inputs &amp; Assuptions'!$C$13:$C$72, COLUMN() - ($E37 + 5)), 0))
  )
)</f>
        <v>1003.26612395343</v>
      </c>
      <c r="AW37" s="80" t="n">
        <f aca="false" t="array" ref="AW37:AW37">IF(COLUMN() - ($E37 + 5) &lt; 0, 0,
  IF(COLUMN() - ($E37 + 5) = 0, $F37,
    AV37 * (1 - IFERROR(INDEX('Inputs &amp; Assuptions'!$C$13:$C$72, COLUMN() - ($E37 + 5)), 0))
  )
)</f>
        <v>998.249793333666</v>
      </c>
      <c r="AX37" s="80" t="n">
        <f aca="false" t="array" ref="AX37:AX37">IF(COLUMN() - ($E37 + 5) &lt; 0, 0,
  IF(COLUMN() - ($E37 + 5) = 0, $F37,
    AW37 * (1 - IFERROR(INDEX('Inputs &amp; Assuptions'!$C$13:$C$72, COLUMN() - ($E37 + 5)), 0))
  )
)</f>
        <v>993.258544366997</v>
      </c>
      <c r="AY37" s="80" t="n">
        <f aca="false" t="array" ref="AY37:AY37">IF(COLUMN() - ($E37 + 5) &lt; 0, 0,
  IF(COLUMN() - ($E37 + 5) = 0, $F37,
    AX37 * (1 - IFERROR(INDEX('Inputs &amp; Assuptions'!$C$13:$C$72, COLUMN() - ($E37 + 5)), 0))
  )
)</f>
        <v>988.292251645162</v>
      </c>
      <c r="AZ37" s="80" t="n">
        <f aca="false" t="array" ref="AZ37:AZ37">IF(COLUMN() - ($E37 + 5) &lt; 0, 0,
  IF(COLUMN() - ($E37 + 5) = 0, $F37,
    AY37 * (1 - IFERROR(INDEX('Inputs &amp; Assuptions'!$C$13:$C$72, COLUMN() - ($E37 + 5)), 0))
  )
)</f>
        <v>983.350790386937</v>
      </c>
      <c r="BA37" s="80" t="n">
        <f aca="false" t="array" ref="BA37:BA37">IF(COLUMN() - ($E37 + 5) &lt; 0, 0,
  IF(COLUMN() - ($E37 + 5) = 0, $F37,
    AZ37 * (1 - IFERROR(INDEX('Inputs &amp; Assuptions'!$C$13:$C$72, COLUMN() - ($E37 + 5)), 0))
  )
)</f>
        <v>978.434036435002</v>
      </c>
      <c r="BB37" s="80" t="n">
        <f aca="false" t="array" ref="BB37:BB37">IF(COLUMN() - ($E37 + 5) &lt; 0, 0,
  IF(COLUMN() - ($E37 + 5) = 0, $F37,
    BA37 * (1 - IFERROR(INDEX('Inputs &amp; Assuptions'!$C$13:$C$72, COLUMN() - ($E37 + 5)), 0))
  )
)</f>
        <v>973.541866252827</v>
      </c>
      <c r="BC37" s="80" t="n">
        <f aca="false" t="array" ref="BC37:BC37">IF(COLUMN() - ($E37 + 5) &lt; 0, 0,
  IF(COLUMN() - ($E37 + 5) = 0, $F37,
    BB37 * (1 - IFERROR(INDEX('Inputs &amp; Assuptions'!$C$13:$C$72, COLUMN() - ($E37 + 5)), 0))
  )
)</f>
        <v>968.674156921563</v>
      </c>
      <c r="BD37" s="80" t="n">
        <f aca="false" t="array" ref="BD37:BD37">IF(COLUMN() - ($E37 + 5) &lt; 0, 0,
  IF(COLUMN() - ($E37 + 5) = 0, $F37,
    BC37 * (1 - IFERROR(INDEX('Inputs &amp; Assuptions'!$C$13:$C$72, COLUMN() - ($E37 + 5)), 0))
  )
)</f>
        <v>963.830786136955</v>
      </c>
      <c r="BE37" s="80" t="n">
        <f aca="false" t="array" ref="BE37:BE37">IF(COLUMN() - ($E37 + 5) &lt; 0, 0,
  IF(COLUMN() - ($E37 + 5) = 0, $F37,
    BD37 * (1 - IFERROR(INDEX('Inputs &amp; Assuptions'!$C$13:$C$72, COLUMN() - ($E37 + 5)), 0))
  )
)</f>
        <v>959.01163220627</v>
      </c>
      <c r="BF37" s="80" t="n">
        <f aca="false" t="array" ref="BF37:BF37">IF(COLUMN() - ($E37 + 5) &lt; 0, 0,
  IF(COLUMN() - ($E37 + 5) = 0, $F37,
    BE37 * (1 - IFERROR(INDEX('Inputs &amp; Assuptions'!$C$13:$C$72, COLUMN() - ($E37 + 5)), 0))
  )
)</f>
        <v>954.216574045239</v>
      </c>
      <c r="BG37" s="80" t="n">
        <f aca="false" t="array" ref="BG37:BG37">IF(COLUMN() - ($E37 + 5) &lt; 0, 0,
  IF(COLUMN() - ($E37 + 5) = 0, $F37,
    BF37 * (1 - IFERROR(INDEX('Inputs &amp; Assuptions'!$C$13:$C$72, COLUMN() - ($E37 + 5)), 0))
  )
)</f>
        <v>949.445491175013</v>
      </c>
      <c r="BH37" s="80" t="n">
        <f aca="false" t="array" ref="BH37:BH37">IF(COLUMN() - ($E37 + 5) &lt; 0, 0,
  IF(COLUMN() - ($E37 + 5) = 0, $F37,
    BG37 * (1 - IFERROR(INDEX('Inputs &amp; Assuptions'!$C$13:$C$72, COLUMN() - ($E37 + 5)), 0))
  )
)</f>
        <v>944.698263719138</v>
      </c>
      <c r="BI37" s="80" t="n">
        <f aca="false" t="array" ref="BI37:BI37">IF(COLUMN() - ($E37 + 5) &lt; 0, 0,
  IF(COLUMN() - ($E37 + 5) = 0, $F37,
    BH37 * (1 - IFERROR(INDEX('Inputs &amp; Assuptions'!$C$13:$C$72, COLUMN() - ($E37 + 5)), 0))
  )
)</f>
        <v>939.974772400542</v>
      </c>
      <c r="BJ37" s="80" t="n">
        <f aca="false" t="array" ref="BJ37:BJ37">IF(COLUMN() - ($E37 + 5) &lt; 0, 0,
  IF(COLUMN() - ($E37 + 5) = 0, $F37,
    BI37 * (1 - IFERROR(INDEX('Inputs &amp; Assuptions'!$C$13:$C$72, COLUMN() - ($E37 + 5)), 0))
  )
)</f>
        <v>935.274898538539</v>
      </c>
      <c r="BK37" s="80" t="n">
        <f aca="false" t="array" ref="BK37:BK37">IF(COLUMN() - ($E37 + 5) &lt; 0, 0,
  IF(COLUMN() - ($E37 + 5) = 0, $F37,
    BJ37 * (1 - IFERROR(INDEX('Inputs &amp; Assuptions'!$C$13:$C$72, COLUMN() - ($E37 + 5)), 0))
  )
)</f>
        <v>930.598524045846</v>
      </c>
      <c r="BL37" s="80" t="n">
        <f aca="false" t="array" ref="BL37:BL37">IF(COLUMN() - ($E37 + 5) &lt; 0, 0,
  IF(COLUMN() - ($E37 + 5) = 0, $F37,
    BK37 * (1 - IFERROR(INDEX('Inputs &amp; Assuptions'!$C$13:$C$72, COLUMN() - ($E37 + 5)), 0))
  )
)</f>
        <v>925.945531425617</v>
      </c>
      <c r="BM37" s="81" t="n">
        <f aca="false" t="array" ref="BM37:BM37">IF(COLUMN() - ($E37 + 5) &lt; 0, 0,
  IF(COLUMN() - ($E37 + 5) = 0, $F37,
    BL37 * (1 - IFERROR(INDEX('Inputs &amp; Assuptions'!$C$13:$C$72, COLUMN() - ($E37 + 5)), 0))
  )
)</f>
        <v>921.315803768489</v>
      </c>
      <c r="BN37" s="76"/>
    </row>
    <row r="38" customFormat="false" ht="14.25" hidden="false" customHeight="false" outlineLevel="0" collapsed="false">
      <c r="A38" s="29" t="n">
        <f aca="false">A37+1</f>
        <v>33</v>
      </c>
      <c r="B38" s="77" t="n">
        <f aca="false">IF(MOD($A38-1, 12) = 0, $B37 * 1.05, $B37)</f>
        <v>1653.75</v>
      </c>
      <c r="C38" s="78" t="n">
        <f aca="false">$B38*(1-'Inputs &amp; Assuptions'!$C$12)</f>
        <v>1289.925</v>
      </c>
      <c r="E38" s="29" t="n">
        <f aca="false">E37+1</f>
        <v>33</v>
      </c>
      <c r="F38" s="79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 t="n">
        <f aca="false">$C38</f>
        <v>1289.925</v>
      </c>
      <c r="AM38" s="80" t="n">
        <f aca="false" t="array" ref="AM38:AM38">IF(COLUMN() - ($E38 + 5) &lt; 0, 0,
  IF(COLUMN() - ($E38 + 5) = 0, $F38,
    AL38 * (1 - IFERROR(INDEX('Inputs &amp; Assuptions'!$C$13:$C$72, COLUMN() - ($E38 + 5)), 0))
  )
)</f>
        <v>1222.2039375</v>
      </c>
      <c r="AN38" s="80" t="n">
        <f aca="false" t="array" ref="AN38:AN38">IF(COLUMN() - ($E38 + 5) &lt; 0, 0,
  IF(COLUMN() - ($E38 + 5) = 0, $F38,
    AM38 * (1 - IFERROR(INDEX('Inputs &amp; Assuptions'!$C$13:$C$72, COLUMN() - ($E38 + 5)), 0))
  )
)</f>
        <v>1173.31578</v>
      </c>
      <c r="AO38" s="80" t="n">
        <f aca="false" t="array" ref="AO38:AO38">IF(COLUMN() - ($E38 + 5) &lt; 0, 0,
  IF(COLUMN() - ($E38 + 5) = 0, $F38,
    AN38 * (1 - IFERROR(INDEX('Inputs &amp; Assuptions'!$C$13:$C$72, COLUMN() - ($E38 + 5)), 0))
  )
)</f>
        <v>1141.04959605</v>
      </c>
      <c r="AP38" s="80" t="n">
        <f aca="false" t="array" ref="AP38:AP38">IF(COLUMN() - ($E38 + 5) &lt; 0, 0,
  IF(COLUMN() - ($E38 + 5) = 0, $F38,
    AO38 * (1 - IFERROR(INDEX('Inputs &amp; Assuptions'!$C$13:$C$72, COLUMN() - ($E38 + 5)), 0))
  )
)</f>
        <v>1112.52335614875</v>
      </c>
      <c r="AQ38" s="80" t="n">
        <f aca="false" t="array" ref="AQ38:AQ38">IF(COLUMN() - ($E38 + 5) &lt; 0, 0,
  IF(COLUMN() - ($E38 + 5) = 0, $F38,
    AP38 * (1 - IFERROR(INDEX('Inputs &amp; Assuptions'!$C$13:$C$72, COLUMN() - ($E38 + 5)), 0))
  )
)</f>
        <v>1087.4915806354</v>
      </c>
      <c r="AR38" s="80" t="n">
        <f aca="false" t="array" ref="AR38:AR38">IF(COLUMN() - ($E38 + 5) &lt; 0, 0,
  IF(COLUMN() - ($E38 + 5) = 0, $F38,
    AQ38 * (1 - IFERROR(INDEX('Inputs &amp; Assuptions'!$C$13:$C$72, COLUMN() - ($E38 + 5)), 0))
  )
)</f>
        <v>1065.7417490227</v>
      </c>
      <c r="AS38" s="80" t="n">
        <f aca="false" t="array" ref="AS38:AS38">IF(COLUMN() - ($E38 + 5) &lt; 0, 0,
  IF(COLUMN() - ($E38 + 5) = 0, $F38,
    AR38 * (1 - IFERROR(INDEX('Inputs &amp; Assuptions'!$C$13:$C$72, COLUMN() - ($E38 + 5)), 0))
  )
)</f>
        <v>1047.0912684148</v>
      </c>
      <c r="AT38" s="80" t="n">
        <f aca="false" t="array" ref="AT38:AT38">IF(COLUMN() - ($E38 + 5) &lt; 0, 0,
  IF(COLUMN() - ($E38 + 5) = 0, $F38,
    AS38 * (1 - IFERROR(INDEX('Inputs &amp; Assuptions'!$C$13:$C$72, COLUMN() - ($E38 + 5)), 0))
  )
)</f>
        <v>1031.38489938858</v>
      </c>
      <c r="AU38" s="80" t="n">
        <f aca="false" t="array" ref="AU38:AU38">IF(COLUMN() - ($E38 + 5) &lt; 0, 0,
  IF(COLUMN() - ($E38 + 5) = 0, $F38,
    AT38 * (1 - IFERROR(INDEX('Inputs &amp; Assuptions'!$C$13:$C$72, COLUMN() - ($E38 + 5)), 0))
  )
)</f>
        <v>1018.49258814622</v>
      </c>
      <c r="AV38" s="80" t="n">
        <f aca="false" t="array" ref="AV38:AV38">IF(COLUMN() - ($E38 + 5) &lt; 0, 0,
  IF(COLUMN() - ($E38 + 5) = 0, $F38,
    AU38 * (1 - IFERROR(INDEX('Inputs &amp; Assuptions'!$C$13:$C$72, COLUMN() - ($E38 + 5)), 0))
  )
)</f>
        <v>1008.30766226476</v>
      </c>
      <c r="AW38" s="80" t="n">
        <f aca="false" t="array" ref="AW38:AW38">IF(COLUMN() - ($E38 + 5) &lt; 0, 0,
  IF(COLUMN() - ($E38 + 5) = 0, $F38,
    AV38 * (1 - IFERROR(INDEX('Inputs &amp; Assuptions'!$C$13:$C$72, COLUMN() - ($E38 + 5)), 0))
  )
)</f>
        <v>1003.26612395343</v>
      </c>
      <c r="AX38" s="80" t="n">
        <f aca="false" t="array" ref="AX38:AX38">IF(COLUMN() - ($E38 + 5) &lt; 0, 0,
  IF(COLUMN() - ($E38 + 5) = 0, $F38,
    AW38 * (1 - IFERROR(INDEX('Inputs &amp; Assuptions'!$C$13:$C$72, COLUMN() - ($E38 + 5)), 0))
  )
)</f>
        <v>998.249793333666</v>
      </c>
      <c r="AY38" s="80" t="n">
        <f aca="false" t="array" ref="AY38:AY38">IF(COLUMN() - ($E38 + 5) &lt; 0, 0,
  IF(COLUMN() - ($E38 + 5) = 0, $F38,
    AX38 * (1 - IFERROR(INDEX('Inputs &amp; Assuptions'!$C$13:$C$72, COLUMN() - ($E38 + 5)), 0))
  )
)</f>
        <v>993.258544366997</v>
      </c>
      <c r="AZ38" s="80" t="n">
        <f aca="false" t="array" ref="AZ38:AZ38">IF(COLUMN() - ($E38 + 5) &lt; 0, 0,
  IF(COLUMN() - ($E38 + 5) = 0, $F38,
    AY38 * (1 - IFERROR(INDEX('Inputs &amp; Assuptions'!$C$13:$C$72, COLUMN() - ($E38 + 5)), 0))
  )
)</f>
        <v>988.292251645162</v>
      </c>
      <c r="BA38" s="80" t="n">
        <f aca="false" t="array" ref="BA38:BA38">IF(COLUMN() - ($E38 + 5) &lt; 0, 0,
  IF(COLUMN() - ($E38 + 5) = 0, $F38,
    AZ38 * (1 - IFERROR(INDEX('Inputs &amp; Assuptions'!$C$13:$C$72, COLUMN() - ($E38 + 5)), 0))
  )
)</f>
        <v>983.350790386937</v>
      </c>
      <c r="BB38" s="80" t="n">
        <f aca="false" t="array" ref="BB38:BB38">IF(COLUMN() - ($E38 + 5) &lt; 0, 0,
  IF(COLUMN() - ($E38 + 5) = 0, $F38,
    BA38 * (1 - IFERROR(INDEX('Inputs &amp; Assuptions'!$C$13:$C$72, COLUMN() - ($E38 + 5)), 0))
  )
)</f>
        <v>978.434036435002</v>
      </c>
      <c r="BC38" s="80" t="n">
        <f aca="false" t="array" ref="BC38:BC38">IF(COLUMN() - ($E38 + 5) &lt; 0, 0,
  IF(COLUMN() - ($E38 + 5) = 0, $F38,
    BB38 * (1 - IFERROR(INDEX('Inputs &amp; Assuptions'!$C$13:$C$72, COLUMN() - ($E38 + 5)), 0))
  )
)</f>
        <v>973.541866252827</v>
      </c>
      <c r="BD38" s="80" t="n">
        <f aca="false" t="array" ref="BD38:BD38">IF(COLUMN() - ($E38 + 5) &lt; 0, 0,
  IF(COLUMN() - ($E38 + 5) = 0, $F38,
    BC38 * (1 - IFERROR(INDEX('Inputs &amp; Assuptions'!$C$13:$C$72, COLUMN() - ($E38 + 5)), 0))
  )
)</f>
        <v>968.674156921563</v>
      </c>
      <c r="BE38" s="80" t="n">
        <f aca="false" t="array" ref="BE38:BE38">IF(COLUMN() - ($E38 + 5) &lt; 0, 0,
  IF(COLUMN() - ($E38 + 5) = 0, $F38,
    BD38 * (1 - IFERROR(INDEX('Inputs &amp; Assuptions'!$C$13:$C$72, COLUMN() - ($E38 + 5)), 0))
  )
)</f>
        <v>963.830786136955</v>
      </c>
      <c r="BF38" s="80" t="n">
        <f aca="false" t="array" ref="BF38:BF38">IF(COLUMN() - ($E38 + 5) &lt; 0, 0,
  IF(COLUMN() - ($E38 + 5) = 0, $F38,
    BE38 * (1 - IFERROR(INDEX('Inputs &amp; Assuptions'!$C$13:$C$72, COLUMN() - ($E38 + 5)), 0))
  )
)</f>
        <v>959.01163220627</v>
      </c>
      <c r="BG38" s="80" t="n">
        <f aca="false" t="array" ref="BG38:BG38">IF(COLUMN() - ($E38 + 5) &lt; 0, 0,
  IF(COLUMN() - ($E38 + 5) = 0, $F38,
    BF38 * (1 - IFERROR(INDEX('Inputs &amp; Assuptions'!$C$13:$C$72, COLUMN() - ($E38 + 5)), 0))
  )
)</f>
        <v>954.216574045239</v>
      </c>
      <c r="BH38" s="80" t="n">
        <f aca="false" t="array" ref="BH38:BH38">IF(COLUMN() - ($E38 + 5) &lt; 0, 0,
  IF(COLUMN() - ($E38 + 5) = 0, $F38,
    BG38 * (1 - IFERROR(INDEX('Inputs &amp; Assuptions'!$C$13:$C$72, COLUMN() - ($E38 + 5)), 0))
  )
)</f>
        <v>949.445491175013</v>
      </c>
      <c r="BI38" s="80" t="n">
        <f aca="false" t="array" ref="BI38:BI38">IF(COLUMN() - ($E38 + 5) &lt; 0, 0,
  IF(COLUMN() - ($E38 + 5) = 0, $F38,
    BH38 * (1 - IFERROR(INDEX('Inputs &amp; Assuptions'!$C$13:$C$72, COLUMN() - ($E38 + 5)), 0))
  )
)</f>
        <v>944.698263719138</v>
      </c>
      <c r="BJ38" s="80" t="n">
        <f aca="false" t="array" ref="BJ38:BJ38">IF(COLUMN() - ($E38 + 5) &lt; 0, 0,
  IF(COLUMN() - ($E38 + 5) = 0, $F38,
    BI38 * (1 - IFERROR(INDEX('Inputs &amp; Assuptions'!$C$13:$C$72, COLUMN() - ($E38 + 5)), 0))
  )
)</f>
        <v>939.974772400542</v>
      </c>
      <c r="BK38" s="80" t="n">
        <f aca="false" t="array" ref="BK38:BK38">IF(COLUMN() - ($E38 + 5) &lt; 0, 0,
  IF(COLUMN() - ($E38 + 5) = 0, $F38,
    BJ38 * (1 - IFERROR(INDEX('Inputs &amp; Assuptions'!$C$13:$C$72, COLUMN() - ($E38 + 5)), 0))
  )
)</f>
        <v>935.274898538539</v>
      </c>
      <c r="BL38" s="80" t="n">
        <f aca="false" t="array" ref="BL38:BL38">IF(COLUMN() - ($E38 + 5) &lt; 0, 0,
  IF(COLUMN() - ($E38 + 5) = 0, $F38,
    BK38 * (1 - IFERROR(INDEX('Inputs &amp; Assuptions'!$C$13:$C$72, COLUMN() - ($E38 + 5)), 0))
  )
)</f>
        <v>930.598524045846</v>
      </c>
      <c r="BM38" s="81" t="n">
        <f aca="false" t="array" ref="BM38:BM38">IF(COLUMN() - ($E38 + 5) &lt; 0, 0,
  IF(COLUMN() - ($E38 + 5) = 0, $F38,
    BL38 * (1 - IFERROR(INDEX('Inputs &amp; Assuptions'!$C$13:$C$72, COLUMN() - ($E38 + 5)), 0))
  )
)</f>
        <v>925.945531425617</v>
      </c>
      <c r="BN38" s="76"/>
    </row>
    <row r="39" customFormat="false" ht="14.25" hidden="false" customHeight="false" outlineLevel="0" collapsed="false">
      <c r="A39" s="29" t="n">
        <f aca="false">A38+1</f>
        <v>34</v>
      </c>
      <c r="B39" s="77" t="n">
        <f aca="false">IF(MOD($A39-1, 12) = 0, $B38 * 1.05, $B38)</f>
        <v>1653.75</v>
      </c>
      <c r="C39" s="78" t="n">
        <f aca="false">$B39*(1-'Inputs &amp; Assuptions'!$C$12)</f>
        <v>1289.925</v>
      </c>
      <c r="E39" s="29" t="n">
        <f aca="false">E38+1</f>
        <v>34</v>
      </c>
      <c r="F39" s="79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 t="n">
        <f aca="false">$C39</f>
        <v>1289.925</v>
      </c>
      <c r="AN39" s="80" t="n">
        <f aca="false" t="array" ref="AN39:AN39">IF(COLUMN() - ($E39 + 5) &lt; 0, 0,
  IF(COLUMN() - ($E39 + 5) = 0, $F39,
    AM39 * (1 - IFERROR(INDEX('Inputs &amp; Assuptions'!$C$13:$C$72, COLUMN() - ($E39 + 5)), 0))
  )
)</f>
        <v>1222.2039375</v>
      </c>
      <c r="AO39" s="80" t="n">
        <f aca="false" t="array" ref="AO39:AO39">IF(COLUMN() - ($E39 + 5) &lt; 0, 0,
  IF(COLUMN() - ($E39 + 5) = 0, $F39,
    AN39 * (1 - IFERROR(INDEX('Inputs &amp; Assuptions'!$C$13:$C$72, COLUMN() - ($E39 + 5)), 0))
  )
)</f>
        <v>1173.31578</v>
      </c>
      <c r="AP39" s="80" t="n">
        <f aca="false" t="array" ref="AP39:AP39">IF(COLUMN() - ($E39 + 5) &lt; 0, 0,
  IF(COLUMN() - ($E39 + 5) = 0, $F39,
    AO39 * (1 - IFERROR(INDEX('Inputs &amp; Assuptions'!$C$13:$C$72, COLUMN() - ($E39 + 5)), 0))
  )
)</f>
        <v>1141.04959605</v>
      </c>
      <c r="AQ39" s="80" t="n">
        <f aca="false" t="array" ref="AQ39:AQ39">IF(COLUMN() - ($E39 + 5) &lt; 0, 0,
  IF(COLUMN() - ($E39 + 5) = 0, $F39,
    AP39 * (1 - IFERROR(INDEX('Inputs &amp; Assuptions'!$C$13:$C$72, COLUMN() - ($E39 + 5)), 0))
  )
)</f>
        <v>1112.52335614875</v>
      </c>
      <c r="AR39" s="80" t="n">
        <f aca="false" t="array" ref="AR39:AR39">IF(COLUMN() - ($E39 + 5) &lt; 0, 0,
  IF(COLUMN() - ($E39 + 5) = 0, $F39,
    AQ39 * (1 - IFERROR(INDEX('Inputs &amp; Assuptions'!$C$13:$C$72, COLUMN() - ($E39 + 5)), 0))
  )
)</f>
        <v>1087.4915806354</v>
      </c>
      <c r="AS39" s="80" t="n">
        <f aca="false" t="array" ref="AS39:AS39">IF(COLUMN() - ($E39 + 5) &lt; 0, 0,
  IF(COLUMN() - ($E39 + 5) = 0, $F39,
    AR39 * (1 - IFERROR(INDEX('Inputs &amp; Assuptions'!$C$13:$C$72, COLUMN() - ($E39 + 5)), 0))
  )
)</f>
        <v>1065.7417490227</v>
      </c>
      <c r="AT39" s="80" t="n">
        <f aca="false" t="array" ref="AT39:AT39">IF(COLUMN() - ($E39 + 5) &lt; 0, 0,
  IF(COLUMN() - ($E39 + 5) = 0, $F39,
    AS39 * (1 - IFERROR(INDEX('Inputs &amp; Assuptions'!$C$13:$C$72, COLUMN() - ($E39 + 5)), 0))
  )
)</f>
        <v>1047.0912684148</v>
      </c>
      <c r="AU39" s="80" t="n">
        <f aca="false" t="array" ref="AU39:AU39">IF(COLUMN() - ($E39 + 5) &lt; 0, 0,
  IF(COLUMN() - ($E39 + 5) = 0, $F39,
    AT39 * (1 - IFERROR(INDEX('Inputs &amp; Assuptions'!$C$13:$C$72, COLUMN() - ($E39 + 5)), 0))
  )
)</f>
        <v>1031.38489938858</v>
      </c>
      <c r="AV39" s="80" t="n">
        <f aca="false" t="array" ref="AV39:AV39">IF(COLUMN() - ($E39 + 5) &lt; 0, 0,
  IF(COLUMN() - ($E39 + 5) = 0, $F39,
    AU39 * (1 - IFERROR(INDEX('Inputs &amp; Assuptions'!$C$13:$C$72, COLUMN() - ($E39 + 5)), 0))
  )
)</f>
        <v>1018.49258814622</v>
      </c>
      <c r="AW39" s="80" t="n">
        <f aca="false" t="array" ref="AW39:AW39">IF(COLUMN() - ($E39 + 5) &lt; 0, 0,
  IF(COLUMN() - ($E39 + 5) = 0, $F39,
    AV39 * (1 - IFERROR(INDEX('Inputs &amp; Assuptions'!$C$13:$C$72, COLUMN() - ($E39 + 5)), 0))
  )
)</f>
        <v>1008.30766226476</v>
      </c>
      <c r="AX39" s="80" t="n">
        <f aca="false" t="array" ref="AX39:AX39">IF(COLUMN() - ($E39 + 5) &lt; 0, 0,
  IF(COLUMN() - ($E39 + 5) = 0, $F39,
    AW39 * (1 - IFERROR(INDEX('Inputs &amp; Assuptions'!$C$13:$C$72, COLUMN() - ($E39 + 5)), 0))
  )
)</f>
        <v>1003.26612395343</v>
      </c>
      <c r="AY39" s="80" t="n">
        <f aca="false" t="array" ref="AY39:AY39">IF(COLUMN() - ($E39 + 5) &lt; 0, 0,
  IF(COLUMN() - ($E39 + 5) = 0, $F39,
    AX39 * (1 - IFERROR(INDEX('Inputs &amp; Assuptions'!$C$13:$C$72, COLUMN() - ($E39 + 5)), 0))
  )
)</f>
        <v>998.249793333666</v>
      </c>
      <c r="AZ39" s="80" t="n">
        <f aca="false" t="array" ref="AZ39:AZ39">IF(COLUMN() - ($E39 + 5) &lt; 0, 0,
  IF(COLUMN() - ($E39 + 5) = 0, $F39,
    AY39 * (1 - IFERROR(INDEX('Inputs &amp; Assuptions'!$C$13:$C$72, COLUMN() - ($E39 + 5)), 0))
  )
)</f>
        <v>993.258544366997</v>
      </c>
      <c r="BA39" s="80" t="n">
        <f aca="false" t="array" ref="BA39:BA39">IF(COLUMN() - ($E39 + 5) &lt; 0, 0,
  IF(COLUMN() - ($E39 + 5) = 0, $F39,
    AZ39 * (1 - IFERROR(INDEX('Inputs &amp; Assuptions'!$C$13:$C$72, COLUMN() - ($E39 + 5)), 0))
  )
)</f>
        <v>988.292251645162</v>
      </c>
      <c r="BB39" s="80" t="n">
        <f aca="false" t="array" ref="BB39:BB39">IF(COLUMN() - ($E39 + 5) &lt; 0, 0,
  IF(COLUMN() - ($E39 + 5) = 0, $F39,
    BA39 * (1 - IFERROR(INDEX('Inputs &amp; Assuptions'!$C$13:$C$72, COLUMN() - ($E39 + 5)), 0))
  )
)</f>
        <v>983.350790386937</v>
      </c>
      <c r="BC39" s="80" t="n">
        <f aca="false" t="array" ref="BC39:BC39">IF(COLUMN() - ($E39 + 5) &lt; 0, 0,
  IF(COLUMN() - ($E39 + 5) = 0, $F39,
    BB39 * (1 - IFERROR(INDEX('Inputs &amp; Assuptions'!$C$13:$C$72, COLUMN() - ($E39 + 5)), 0))
  )
)</f>
        <v>978.434036435002</v>
      </c>
      <c r="BD39" s="80" t="n">
        <f aca="false" t="array" ref="BD39:BD39">IF(COLUMN() - ($E39 + 5) &lt; 0, 0,
  IF(COLUMN() - ($E39 + 5) = 0, $F39,
    BC39 * (1 - IFERROR(INDEX('Inputs &amp; Assuptions'!$C$13:$C$72, COLUMN() - ($E39 + 5)), 0))
  )
)</f>
        <v>973.541866252827</v>
      </c>
      <c r="BE39" s="80" t="n">
        <f aca="false" t="array" ref="BE39:BE39">IF(COLUMN() - ($E39 + 5) &lt; 0, 0,
  IF(COLUMN() - ($E39 + 5) = 0, $F39,
    BD39 * (1 - IFERROR(INDEX('Inputs &amp; Assuptions'!$C$13:$C$72, COLUMN() - ($E39 + 5)), 0))
  )
)</f>
        <v>968.674156921563</v>
      </c>
      <c r="BF39" s="80" t="n">
        <f aca="false" t="array" ref="BF39:BF39">IF(COLUMN() - ($E39 + 5) &lt; 0, 0,
  IF(COLUMN() - ($E39 + 5) = 0, $F39,
    BE39 * (1 - IFERROR(INDEX('Inputs &amp; Assuptions'!$C$13:$C$72, COLUMN() - ($E39 + 5)), 0))
  )
)</f>
        <v>963.830786136955</v>
      </c>
      <c r="BG39" s="80" t="n">
        <f aca="false" t="array" ref="BG39:BG39">IF(COLUMN() - ($E39 + 5) &lt; 0, 0,
  IF(COLUMN() - ($E39 + 5) = 0, $F39,
    BF39 * (1 - IFERROR(INDEX('Inputs &amp; Assuptions'!$C$13:$C$72, COLUMN() - ($E39 + 5)), 0))
  )
)</f>
        <v>959.01163220627</v>
      </c>
      <c r="BH39" s="80" t="n">
        <f aca="false" t="array" ref="BH39:BH39">IF(COLUMN() - ($E39 + 5) &lt; 0, 0,
  IF(COLUMN() - ($E39 + 5) = 0, $F39,
    BG39 * (1 - IFERROR(INDEX('Inputs &amp; Assuptions'!$C$13:$C$72, COLUMN() - ($E39 + 5)), 0))
  )
)</f>
        <v>954.216574045239</v>
      </c>
      <c r="BI39" s="80" t="n">
        <f aca="false" t="array" ref="BI39:BI39">IF(COLUMN() - ($E39 + 5) &lt; 0, 0,
  IF(COLUMN() - ($E39 + 5) = 0, $F39,
    BH39 * (1 - IFERROR(INDEX('Inputs &amp; Assuptions'!$C$13:$C$72, COLUMN() - ($E39 + 5)), 0))
  )
)</f>
        <v>949.445491175013</v>
      </c>
      <c r="BJ39" s="80" t="n">
        <f aca="false" t="array" ref="BJ39:BJ39">IF(COLUMN() - ($E39 + 5) &lt; 0, 0,
  IF(COLUMN() - ($E39 + 5) = 0, $F39,
    BI39 * (1 - IFERROR(INDEX('Inputs &amp; Assuptions'!$C$13:$C$72, COLUMN() - ($E39 + 5)), 0))
  )
)</f>
        <v>944.698263719138</v>
      </c>
      <c r="BK39" s="80" t="n">
        <f aca="false" t="array" ref="BK39:BK39">IF(COLUMN() - ($E39 + 5) &lt; 0, 0,
  IF(COLUMN() - ($E39 + 5) = 0, $F39,
    BJ39 * (1 - IFERROR(INDEX('Inputs &amp; Assuptions'!$C$13:$C$72, COLUMN() - ($E39 + 5)), 0))
  )
)</f>
        <v>939.974772400542</v>
      </c>
      <c r="BL39" s="80" t="n">
        <f aca="false" t="array" ref="BL39:BL39">IF(COLUMN() - ($E39 + 5) &lt; 0, 0,
  IF(COLUMN() - ($E39 + 5) = 0, $F39,
    BK39 * (1 - IFERROR(INDEX('Inputs &amp; Assuptions'!$C$13:$C$72, COLUMN() - ($E39 + 5)), 0))
  )
)</f>
        <v>935.274898538539</v>
      </c>
      <c r="BM39" s="81" t="n">
        <f aca="false" t="array" ref="BM39:BM39">IF(COLUMN() - ($E39 + 5) &lt; 0, 0,
  IF(COLUMN() - ($E39 + 5) = 0, $F39,
    BL39 * (1 - IFERROR(INDEX('Inputs &amp; Assuptions'!$C$13:$C$72, COLUMN() - ($E39 + 5)), 0))
  )
)</f>
        <v>930.598524045846</v>
      </c>
      <c r="BN39" s="76"/>
    </row>
    <row r="40" customFormat="false" ht="14.25" hidden="false" customHeight="false" outlineLevel="0" collapsed="false">
      <c r="A40" s="29" t="n">
        <f aca="false">A39+1</f>
        <v>35</v>
      </c>
      <c r="B40" s="77" t="n">
        <f aca="false">IF(MOD($A40-1, 12) = 0, $B39 * 1.05, $B39)</f>
        <v>1653.75</v>
      </c>
      <c r="C40" s="78" t="n">
        <f aca="false">$B40*(1-'Inputs &amp; Assuptions'!$C$12)</f>
        <v>1289.925</v>
      </c>
      <c r="E40" s="29" t="n">
        <f aca="false">E39+1</f>
        <v>35</v>
      </c>
      <c r="F40" s="79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 t="n">
        <f aca="false">$C40</f>
        <v>1289.925</v>
      </c>
      <c r="AO40" s="80" t="n">
        <f aca="false" t="array" ref="AO40:AO40">IF(COLUMN() - ($E40 + 5) &lt; 0, 0,
  IF(COLUMN() - ($E40 + 5) = 0, $F40,
    AN40 * (1 - IFERROR(INDEX('Inputs &amp; Assuptions'!$C$13:$C$72, COLUMN() - ($E40 + 5)), 0))
  )
)</f>
        <v>1222.2039375</v>
      </c>
      <c r="AP40" s="80" t="n">
        <f aca="false" t="array" ref="AP40:AP40">IF(COLUMN() - ($E40 + 5) &lt; 0, 0,
  IF(COLUMN() - ($E40 + 5) = 0, $F40,
    AO40 * (1 - IFERROR(INDEX('Inputs &amp; Assuptions'!$C$13:$C$72, COLUMN() - ($E40 + 5)), 0))
  )
)</f>
        <v>1173.31578</v>
      </c>
      <c r="AQ40" s="80" t="n">
        <f aca="false" t="array" ref="AQ40:AQ40">IF(COLUMN() - ($E40 + 5) &lt; 0, 0,
  IF(COLUMN() - ($E40 + 5) = 0, $F40,
    AP40 * (1 - IFERROR(INDEX('Inputs &amp; Assuptions'!$C$13:$C$72, COLUMN() - ($E40 + 5)), 0))
  )
)</f>
        <v>1141.04959605</v>
      </c>
      <c r="AR40" s="80" t="n">
        <f aca="false" t="array" ref="AR40:AR40">IF(COLUMN() - ($E40 + 5) &lt; 0, 0,
  IF(COLUMN() - ($E40 + 5) = 0, $F40,
    AQ40 * (1 - IFERROR(INDEX('Inputs &amp; Assuptions'!$C$13:$C$72, COLUMN() - ($E40 + 5)), 0))
  )
)</f>
        <v>1112.52335614875</v>
      </c>
      <c r="AS40" s="80" t="n">
        <f aca="false" t="array" ref="AS40:AS40">IF(COLUMN() - ($E40 + 5) &lt; 0, 0,
  IF(COLUMN() - ($E40 + 5) = 0, $F40,
    AR40 * (1 - IFERROR(INDEX('Inputs &amp; Assuptions'!$C$13:$C$72, COLUMN() - ($E40 + 5)), 0))
  )
)</f>
        <v>1087.4915806354</v>
      </c>
      <c r="AT40" s="80" t="n">
        <f aca="false" t="array" ref="AT40:AT40">IF(COLUMN() - ($E40 + 5) &lt; 0, 0,
  IF(COLUMN() - ($E40 + 5) = 0, $F40,
    AS40 * (1 - IFERROR(INDEX('Inputs &amp; Assuptions'!$C$13:$C$72, COLUMN() - ($E40 + 5)), 0))
  )
)</f>
        <v>1065.7417490227</v>
      </c>
      <c r="AU40" s="80" t="n">
        <f aca="false" t="array" ref="AU40:AU40">IF(COLUMN() - ($E40 + 5) &lt; 0, 0,
  IF(COLUMN() - ($E40 + 5) = 0, $F40,
    AT40 * (1 - IFERROR(INDEX('Inputs &amp; Assuptions'!$C$13:$C$72, COLUMN() - ($E40 + 5)), 0))
  )
)</f>
        <v>1047.0912684148</v>
      </c>
      <c r="AV40" s="80" t="n">
        <f aca="false" t="array" ref="AV40:AV40">IF(COLUMN() - ($E40 + 5) &lt; 0, 0,
  IF(COLUMN() - ($E40 + 5) = 0, $F40,
    AU40 * (1 - IFERROR(INDEX('Inputs &amp; Assuptions'!$C$13:$C$72, COLUMN() - ($E40 + 5)), 0))
  )
)</f>
        <v>1031.38489938858</v>
      </c>
      <c r="AW40" s="80" t="n">
        <f aca="false" t="array" ref="AW40:AW40">IF(COLUMN() - ($E40 + 5) &lt; 0, 0,
  IF(COLUMN() - ($E40 + 5) = 0, $F40,
    AV40 * (1 - IFERROR(INDEX('Inputs &amp; Assuptions'!$C$13:$C$72, COLUMN() - ($E40 + 5)), 0))
  )
)</f>
        <v>1018.49258814622</v>
      </c>
      <c r="AX40" s="80" t="n">
        <f aca="false" t="array" ref="AX40:AX40">IF(COLUMN() - ($E40 + 5) &lt; 0, 0,
  IF(COLUMN() - ($E40 + 5) = 0, $F40,
    AW40 * (1 - IFERROR(INDEX('Inputs &amp; Assuptions'!$C$13:$C$72, COLUMN() - ($E40 + 5)), 0))
  )
)</f>
        <v>1008.30766226476</v>
      </c>
      <c r="AY40" s="80" t="n">
        <f aca="false" t="array" ref="AY40:AY40">IF(COLUMN() - ($E40 + 5) &lt; 0, 0,
  IF(COLUMN() - ($E40 + 5) = 0, $F40,
    AX40 * (1 - IFERROR(INDEX('Inputs &amp; Assuptions'!$C$13:$C$72, COLUMN() - ($E40 + 5)), 0))
  )
)</f>
        <v>1003.26612395343</v>
      </c>
      <c r="AZ40" s="80" t="n">
        <f aca="false" t="array" ref="AZ40:AZ40">IF(COLUMN() - ($E40 + 5) &lt; 0, 0,
  IF(COLUMN() - ($E40 + 5) = 0, $F40,
    AY40 * (1 - IFERROR(INDEX('Inputs &amp; Assuptions'!$C$13:$C$72, COLUMN() - ($E40 + 5)), 0))
  )
)</f>
        <v>998.249793333666</v>
      </c>
      <c r="BA40" s="80" t="n">
        <f aca="false" t="array" ref="BA40:BA40">IF(COLUMN() - ($E40 + 5) &lt; 0, 0,
  IF(COLUMN() - ($E40 + 5) = 0, $F40,
    AZ40 * (1 - IFERROR(INDEX('Inputs &amp; Assuptions'!$C$13:$C$72, COLUMN() - ($E40 + 5)), 0))
  )
)</f>
        <v>993.258544366997</v>
      </c>
      <c r="BB40" s="80" t="n">
        <f aca="false" t="array" ref="BB40:BB40">IF(COLUMN() - ($E40 + 5) &lt; 0, 0,
  IF(COLUMN() - ($E40 + 5) = 0, $F40,
    BA40 * (1 - IFERROR(INDEX('Inputs &amp; Assuptions'!$C$13:$C$72, COLUMN() - ($E40 + 5)), 0))
  )
)</f>
        <v>988.292251645162</v>
      </c>
      <c r="BC40" s="80" t="n">
        <f aca="false" t="array" ref="BC40:BC40">IF(COLUMN() - ($E40 + 5) &lt; 0, 0,
  IF(COLUMN() - ($E40 + 5) = 0, $F40,
    BB40 * (1 - IFERROR(INDEX('Inputs &amp; Assuptions'!$C$13:$C$72, COLUMN() - ($E40 + 5)), 0))
  )
)</f>
        <v>983.350790386937</v>
      </c>
      <c r="BD40" s="80" t="n">
        <f aca="false" t="array" ref="BD40:BD40">IF(COLUMN() - ($E40 + 5) &lt; 0, 0,
  IF(COLUMN() - ($E40 + 5) = 0, $F40,
    BC40 * (1 - IFERROR(INDEX('Inputs &amp; Assuptions'!$C$13:$C$72, COLUMN() - ($E40 + 5)), 0))
  )
)</f>
        <v>978.434036435002</v>
      </c>
      <c r="BE40" s="80" t="n">
        <f aca="false" t="array" ref="BE40:BE40">IF(COLUMN() - ($E40 + 5) &lt; 0, 0,
  IF(COLUMN() - ($E40 + 5) = 0, $F40,
    BD40 * (1 - IFERROR(INDEX('Inputs &amp; Assuptions'!$C$13:$C$72, COLUMN() - ($E40 + 5)), 0))
  )
)</f>
        <v>973.541866252827</v>
      </c>
      <c r="BF40" s="80" t="n">
        <f aca="false" t="array" ref="BF40:BF40">IF(COLUMN() - ($E40 + 5) &lt; 0, 0,
  IF(COLUMN() - ($E40 + 5) = 0, $F40,
    BE40 * (1 - IFERROR(INDEX('Inputs &amp; Assuptions'!$C$13:$C$72, COLUMN() - ($E40 + 5)), 0))
  )
)</f>
        <v>968.674156921563</v>
      </c>
      <c r="BG40" s="80" t="n">
        <f aca="false" t="array" ref="BG40:BG40">IF(COLUMN() - ($E40 + 5) &lt; 0, 0,
  IF(COLUMN() - ($E40 + 5) = 0, $F40,
    BF40 * (1 - IFERROR(INDEX('Inputs &amp; Assuptions'!$C$13:$C$72, COLUMN() - ($E40 + 5)), 0))
  )
)</f>
        <v>963.830786136955</v>
      </c>
      <c r="BH40" s="80" t="n">
        <f aca="false" t="array" ref="BH40:BH40">IF(COLUMN() - ($E40 + 5) &lt; 0, 0,
  IF(COLUMN() - ($E40 + 5) = 0, $F40,
    BG40 * (1 - IFERROR(INDEX('Inputs &amp; Assuptions'!$C$13:$C$72, COLUMN() - ($E40 + 5)), 0))
  )
)</f>
        <v>959.01163220627</v>
      </c>
      <c r="BI40" s="80" t="n">
        <f aca="false" t="array" ref="BI40:BI40">IF(COLUMN() - ($E40 + 5) &lt; 0, 0,
  IF(COLUMN() - ($E40 + 5) = 0, $F40,
    BH40 * (1 - IFERROR(INDEX('Inputs &amp; Assuptions'!$C$13:$C$72, COLUMN() - ($E40 + 5)), 0))
  )
)</f>
        <v>954.216574045239</v>
      </c>
      <c r="BJ40" s="80" t="n">
        <f aca="false" t="array" ref="BJ40:BJ40">IF(COLUMN() - ($E40 + 5) &lt; 0, 0,
  IF(COLUMN() - ($E40 + 5) = 0, $F40,
    BI40 * (1 - IFERROR(INDEX('Inputs &amp; Assuptions'!$C$13:$C$72, COLUMN() - ($E40 + 5)), 0))
  )
)</f>
        <v>949.445491175013</v>
      </c>
      <c r="BK40" s="80" t="n">
        <f aca="false" t="array" ref="BK40:BK40">IF(COLUMN() - ($E40 + 5) &lt; 0, 0,
  IF(COLUMN() - ($E40 + 5) = 0, $F40,
    BJ40 * (1 - IFERROR(INDEX('Inputs &amp; Assuptions'!$C$13:$C$72, COLUMN() - ($E40 + 5)), 0))
  )
)</f>
        <v>944.698263719138</v>
      </c>
      <c r="BL40" s="80" t="n">
        <f aca="false" t="array" ref="BL40:BL40">IF(COLUMN() - ($E40 + 5) &lt; 0, 0,
  IF(COLUMN() - ($E40 + 5) = 0, $F40,
    BK40 * (1 - IFERROR(INDEX('Inputs &amp; Assuptions'!$C$13:$C$72, COLUMN() - ($E40 + 5)), 0))
  )
)</f>
        <v>939.974772400542</v>
      </c>
      <c r="BM40" s="81" t="n">
        <f aca="false" t="array" ref="BM40:BM40">IF(COLUMN() - ($E40 + 5) &lt; 0, 0,
  IF(COLUMN() - ($E40 + 5) = 0, $F40,
    BL40 * (1 - IFERROR(INDEX('Inputs &amp; Assuptions'!$C$13:$C$72, COLUMN() - ($E40 + 5)), 0))
  )
)</f>
        <v>935.274898538539</v>
      </c>
      <c r="BN40" s="76"/>
    </row>
    <row r="41" customFormat="false" ht="14.25" hidden="false" customHeight="false" outlineLevel="0" collapsed="false">
      <c r="A41" s="29" t="n">
        <f aca="false">A40+1</f>
        <v>36</v>
      </c>
      <c r="B41" s="77" t="n">
        <f aca="false">IF(MOD($A41-1, 12) = 0, $B40 * 1.05, $B40)</f>
        <v>1653.75</v>
      </c>
      <c r="C41" s="78" t="n">
        <f aca="false">$B41*(1-'Inputs &amp; Assuptions'!$C$12)</f>
        <v>1289.925</v>
      </c>
      <c r="E41" s="29" t="n">
        <f aca="false">E40+1</f>
        <v>36</v>
      </c>
      <c r="F41" s="7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 t="n">
        <f aca="false">$C41</f>
        <v>1289.925</v>
      </c>
      <c r="AP41" s="80" t="n">
        <f aca="false" t="array" ref="AP41:AP41">IF(COLUMN() - ($E41 + 5) &lt; 0, 0,
  IF(COLUMN() - ($E41 + 5) = 0, $F41,
    AO41 * (1 - IFERROR(INDEX('Inputs &amp; Assuptions'!$C$13:$C$72, COLUMN() - ($E41 + 5)), 0))
  )
)</f>
        <v>1222.2039375</v>
      </c>
      <c r="AQ41" s="80" t="n">
        <f aca="false" t="array" ref="AQ41:AQ41">IF(COLUMN() - ($E41 + 5) &lt; 0, 0,
  IF(COLUMN() - ($E41 + 5) = 0, $F41,
    AP41 * (1 - IFERROR(INDEX('Inputs &amp; Assuptions'!$C$13:$C$72, COLUMN() - ($E41 + 5)), 0))
  )
)</f>
        <v>1173.31578</v>
      </c>
      <c r="AR41" s="80" t="n">
        <f aca="false" t="array" ref="AR41:AR41">IF(COLUMN() - ($E41 + 5) &lt; 0, 0,
  IF(COLUMN() - ($E41 + 5) = 0, $F41,
    AQ41 * (1 - IFERROR(INDEX('Inputs &amp; Assuptions'!$C$13:$C$72, COLUMN() - ($E41 + 5)), 0))
  )
)</f>
        <v>1141.04959605</v>
      </c>
      <c r="AS41" s="80" t="n">
        <f aca="false" t="array" ref="AS41:AS41">IF(COLUMN() - ($E41 + 5) &lt; 0, 0,
  IF(COLUMN() - ($E41 + 5) = 0, $F41,
    AR41 * (1 - IFERROR(INDEX('Inputs &amp; Assuptions'!$C$13:$C$72, COLUMN() - ($E41 + 5)), 0))
  )
)</f>
        <v>1112.52335614875</v>
      </c>
      <c r="AT41" s="80" t="n">
        <f aca="false" t="array" ref="AT41:AT41">IF(COLUMN() - ($E41 + 5) &lt; 0, 0,
  IF(COLUMN() - ($E41 + 5) = 0, $F41,
    AS41 * (1 - IFERROR(INDEX('Inputs &amp; Assuptions'!$C$13:$C$72, COLUMN() - ($E41 + 5)), 0))
  )
)</f>
        <v>1087.4915806354</v>
      </c>
      <c r="AU41" s="80" t="n">
        <f aca="false" t="array" ref="AU41:AU41">IF(COLUMN() - ($E41 + 5) &lt; 0, 0,
  IF(COLUMN() - ($E41 + 5) = 0, $F41,
    AT41 * (1 - IFERROR(INDEX('Inputs &amp; Assuptions'!$C$13:$C$72, COLUMN() - ($E41 + 5)), 0))
  )
)</f>
        <v>1065.7417490227</v>
      </c>
      <c r="AV41" s="80" t="n">
        <f aca="false" t="array" ref="AV41:AV41">IF(COLUMN() - ($E41 + 5) &lt; 0, 0,
  IF(COLUMN() - ($E41 + 5) = 0, $F41,
    AU41 * (1 - IFERROR(INDEX('Inputs &amp; Assuptions'!$C$13:$C$72, COLUMN() - ($E41 + 5)), 0))
  )
)</f>
        <v>1047.0912684148</v>
      </c>
      <c r="AW41" s="80" t="n">
        <f aca="false" t="array" ref="AW41:AW41">IF(COLUMN() - ($E41 + 5) &lt; 0, 0,
  IF(COLUMN() - ($E41 + 5) = 0, $F41,
    AV41 * (1 - IFERROR(INDEX('Inputs &amp; Assuptions'!$C$13:$C$72, COLUMN() - ($E41 + 5)), 0))
  )
)</f>
        <v>1031.38489938858</v>
      </c>
      <c r="AX41" s="80" t="n">
        <f aca="false" t="array" ref="AX41:AX41">IF(COLUMN() - ($E41 + 5) &lt; 0, 0,
  IF(COLUMN() - ($E41 + 5) = 0, $F41,
    AW41 * (1 - IFERROR(INDEX('Inputs &amp; Assuptions'!$C$13:$C$72, COLUMN() - ($E41 + 5)), 0))
  )
)</f>
        <v>1018.49258814622</v>
      </c>
      <c r="AY41" s="80" t="n">
        <f aca="false" t="array" ref="AY41:AY41">IF(COLUMN() - ($E41 + 5) &lt; 0, 0,
  IF(COLUMN() - ($E41 + 5) = 0, $F41,
    AX41 * (1 - IFERROR(INDEX('Inputs &amp; Assuptions'!$C$13:$C$72, COLUMN() - ($E41 + 5)), 0))
  )
)</f>
        <v>1008.30766226476</v>
      </c>
      <c r="AZ41" s="80" t="n">
        <f aca="false" t="array" ref="AZ41:AZ41">IF(COLUMN() - ($E41 + 5) &lt; 0, 0,
  IF(COLUMN() - ($E41 + 5) = 0, $F41,
    AY41 * (1 - IFERROR(INDEX('Inputs &amp; Assuptions'!$C$13:$C$72, COLUMN() - ($E41 + 5)), 0))
  )
)</f>
        <v>1003.26612395343</v>
      </c>
      <c r="BA41" s="80" t="n">
        <f aca="false" t="array" ref="BA41:BA41">IF(COLUMN() - ($E41 + 5) &lt; 0, 0,
  IF(COLUMN() - ($E41 + 5) = 0, $F41,
    AZ41 * (1 - IFERROR(INDEX('Inputs &amp; Assuptions'!$C$13:$C$72, COLUMN() - ($E41 + 5)), 0))
  )
)</f>
        <v>998.249793333666</v>
      </c>
      <c r="BB41" s="80" t="n">
        <f aca="false" t="array" ref="BB41:BB41">IF(COLUMN() - ($E41 + 5) &lt; 0, 0,
  IF(COLUMN() - ($E41 + 5) = 0, $F41,
    BA41 * (1 - IFERROR(INDEX('Inputs &amp; Assuptions'!$C$13:$C$72, COLUMN() - ($E41 + 5)), 0))
  )
)</f>
        <v>993.258544366997</v>
      </c>
      <c r="BC41" s="80" t="n">
        <f aca="false" t="array" ref="BC41:BC41">IF(COLUMN() - ($E41 + 5) &lt; 0, 0,
  IF(COLUMN() - ($E41 + 5) = 0, $F41,
    BB41 * (1 - IFERROR(INDEX('Inputs &amp; Assuptions'!$C$13:$C$72, COLUMN() - ($E41 + 5)), 0))
  )
)</f>
        <v>988.292251645162</v>
      </c>
      <c r="BD41" s="80" t="n">
        <f aca="false" t="array" ref="BD41:BD41">IF(COLUMN() - ($E41 + 5) &lt; 0, 0,
  IF(COLUMN() - ($E41 + 5) = 0, $F41,
    BC41 * (1 - IFERROR(INDEX('Inputs &amp; Assuptions'!$C$13:$C$72, COLUMN() - ($E41 + 5)), 0))
  )
)</f>
        <v>983.350790386937</v>
      </c>
      <c r="BE41" s="80" t="n">
        <f aca="false" t="array" ref="BE41:BE41">IF(COLUMN() - ($E41 + 5) &lt; 0, 0,
  IF(COLUMN() - ($E41 + 5) = 0, $F41,
    BD41 * (1 - IFERROR(INDEX('Inputs &amp; Assuptions'!$C$13:$C$72, COLUMN() - ($E41 + 5)), 0))
  )
)</f>
        <v>978.434036435002</v>
      </c>
      <c r="BF41" s="80" t="n">
        <f aca="false" t="array" ref="BF41:BF41">IF(COLUMN() - ($E41 + 5) &lt; 0, 0,
  IF(COLUMN() - ($E41 + 5) = 0, $F41,
    BE41 * (1 - IFERROR(INDEX('Inputs &amp; Assuptions'!$C$13:$C$72, COLUMN() - ($E41 + 5)), 0))
  )
)</f>
        <v>973.541866252827</v>
      </c>
      <c r="BG41" s="80" t="n">
        <f aca="false" t="array" ref="BG41:BG41">IF(COLUMN() - ($E41 + 5) &lt; 0, 0,
  IF(COLUMN() - ($E41 + 5) = 0, $F41,
    BF41 * (1 - IFERROR(INDEX('Inputs &amp; Assuptions'!$C$13:$C$72, COLUMN() - ($E41 + 5)), 0))
  )
)</f>
        <v>968.674156921563</v>
      </c>
      <c r="BH41" s="80" t="n">
        <f aca="false" t="array" ref="BH41:BH41">IF(COLUMN() - ($E41 + 5) &lt; 0, 0,
  IF(COLUMN() - ($E41 + 5) = 0, $F41,
    BG41 * (1 - IFERROR(INDEX('Inputs &amp; Assuptions'!$C$13:$C$72, COLUMN() - ($E41 + 5)), 0))
  )
)</f>
        <v>963.830786136955</v>
      </c>
      <c r="BI41" s="80" t="n">
        <f aca="false" t="array" ref="BI41:BI41">IF(COLUMN() - ($E41 + 5) &lt; 0, 0,
  IF(COLUMN() - ($E41 + 5) = 0, $F41,
    BH41 * (1 - IFERROR(INDEX('Inputs &amp; Assuptions'!$C$13:$C$72, COLUMN() - ($E41 + 5)), 0))
  )
)</f>
        <v>959.01163220627</v>
      </c>
      <c r="BJ41" s="80" t="n">
        <f aca="false" t="array" ref="BJ41:BJ41">IF(COLUMN() - ($E41 + 5) &lt; 0, 0,
  IF(COLUMN() - ($E41 + 5) = 0, $F41,
    BI41 * (1 - IFERROR(INDEX('Inputs &amp; Assuptions'!$C$13:$C$72, COLUMN() - ($E41 + 5)), 0))
  )
)</f>
        <v>954.216574045239</v>
      </c>
      <c r="BK41" s="80" t="n">
        <f aca="false" t="array" ref="BK41:BK41">IF(COLUMN() - ($E41 + 5) &lt; 0, 0,
  IF(COLUMN() - ($E41 + 5) = 0, $F41,
    BJ41 * (1 - IFERROR(INDEX('Inputs &amp; Assuptions'!$C$13:$C$72, COLUMN() - ($E41 + 5)), 0))
  )
)</f>
        <v>949.445491175013</v>
      </c>
      <c r="BL41" s="80" t="n">
        <f aca="false" t="array" ref="BL41:BL41">IF(COLUMN() - ($E41 + 5) &lt; 0, 0,
  IF(COLUMN() - ($E41 + 5) = 0, $F41,
    BK41 * (1 - IFERROR(INDEX('Inputs &amp; Assuptions'!$C$13:$C$72, COLUMN() - ($E41 + 5)), 0))
  )
)</f>
        <v>944.698263719138</v>
      </c>
      <c r="BM41" s="81" t="n">
        <f aca="false" t="array" ref="BM41:BM41">IF(COLUMN() - ($E41 + 5) &lt; 0, 0,
  IF(COLUMN() - ($E41 + 5) = 0, $F41,
    BL41 * (1 - IFERROR(INDEX('Inputs &amp; Assuptions'!$C$13:$C$72, COLUMN() - ($E41 + 5)), 0))
  )
)</f>
        <v>939.974772400542</v>
      </c>
      <c r="BN41" s="76"/>
    </row>
    <row r="42" customFormat="false" ht="14.25" hidden="false" customHeight="false" outlineLevel="0" collapsed="false">
      <c r="A42" s="29" t="n">
        <f aca="false">A41+1</f>
        <v>37</v>
      </c>
      <c r="B42" s="77" t="n">
        <f aca="false">IF(MOD($A42-1, 12) = 0, $B41 * 1.05, $B41)</f>
        <v>1736.4375</v>
      </c>
      <c r="C42" s="78" t="n">
        <f aca="false">$B42*(1-'Inputs &amp; Assuptions'!$C$12)</f>
        <v>1354.42125</v>
      </c>
      <c r="E42" s="29" t="n">
        <f aca="false">E41+1</f>
        <v>37</v>
      </c>
      <c r="F42" s="79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 t="n">
        <f aca="false">$C42</f>
        <v>1354.42125</v>
      </c>
      <c r="AQ42" s="80" t="n">
        <f aca="false" t="array" ref="AQ42:AQ42">IF(COLUMN() - ($E42 + 5) &lt; 0, 0,
  IF(COLUMN() - ($E42 + 5) = 0, $F42,
    AP42 * (1 - IFERROR(INDEX('Inputs &amp; Assuptions'!$C$13:$C$72, COLUMN() - ($E42 + 5)), 0))
  )
)</f>
        <v>1283.314134375</v>
      </c>
      <c r="AR42" s="80" t="n">
        <f aca="false" t="array" ref="AR42:AR42">IF(COLUMN() - ($E42 + 5) &lt; 0, 0,
  IF(COLUMN() - ($E42 + 5) = 0, $F42,
    AQ42 * (1 - IFERROR(INDEX('Inputs &amp; Assuptions'!$C$13:$C$72, COLUMN() - ($E42 + 5)), 0))
  )
)</f>
        <v>1231.981569</v>
      </c>
      <c r="AS42" s="80" t="n">
        <f aca="false" t="array" ref="AS42:AS42">IF(COLUMN() - ($E42 + 5) &lt; 0, 0,
  IF(COLUMN() - ($E42 + 5) = 0, $F42,
    AR42 * (1 - IFERROR(INDEX('Inputs &amp; Assuptions'!$C$13:$C$72, COLUMN() - ($E42 + 5)), 0))
  )
)</f>
        <v>1198.1020758525</v>
      </c>
      <c r="AT42" s="80" t="n">
        <f aca="false" t="array" ref="AT42:AT42">IF(COLUMN() - ($E42 + 5) &lt; 0, 0,
  IF(COLUMN() - ($E42 + 5) = 0, $F42,
    AS42 * (1 - IFERROR(INDEX('Inputs &amp; Assuptions'!$C$13:$C$72, COLUMN() - ($E42 + 5)), 0))
  )
)</f>
        <v>1168.14952395619</v>
      </c>
      <c r="AU42" s="80" t="n">
        <f aca="false" t="array" ref="AU42:AU42">IF(COLUMN() - ($E42 + 5) &lt; 0, 0,
  IF(COLUMN() - ($E42 + 5) = 0, $F42,
    AT42 * (1 - IFERROR(INDEX('Inputs &amp; Assuptions'!$C$13:$C$72, COLUMN() - ($E42 + 5)), 0))
  )
)</f>
        <v>1141.86615966717</v>
      </c>
      <c r="AV42" s="80" t="n">
        <f aca="false" t="array" ref="AV42:AV42">IF(COLUMN() - ($E42 + 5) &lt; 0, 0,
  IF(COLUMN() - ($E42 + 5) = 0, $F42,
    AU42 * (1 - IFERROR(INDEX('Inputs &amp; Assuptions'!$C$13:$C$72, COLUMN() - ($E42 + 5)), 0))
  )
)</f>
        <v>1119.02883647383</v>
      </c>
      <c r="AW42" s="80" t="n">
        <f aca="false" t="array" ref="AW42:AW42">IF(COLUMN() - ($E42 + 5) &lt; 0, 0,
  IF(COLUMN() - ($E42 + 5) = 0, $F42,
    AV42 * (1 - IFERROR(INDEX('Inputs &amp; Assuptions'!$C$13:$C$72, COLUMN() - ($E42 + 5)), 0))
  )
)</f>
        <v>1099.44583183554</v>
      </c>
      <c r="AX42" s="80" t="n">
        <f aca="false" t="array" ref="AX42:AX42">IF(COLUMN() - ($E42 + 5) &lt; 0, 0,
  IF(COLUMN() - ($E42 + 5) = 0, $F42,
    AW42 * (1 - IFERROR(INDEX('Inputs &amp; Assuptions'!$C$13:$C$72, COLUMN() - ($E42 + 5)), 0))
  )
)</f>
        <v>1082.95414435801</v>
      </c>
      <c r="AY42" s="80" t="n">
        <f aca="false" t="array" ref="AY42:AY42">IF(COLUMN() - ($E42 + 5) &lt; 0, 0,
  IF(COLUMN() - ($E42 + 5) = 0, $F42,
    AX42 * (1 - IFERROR(INDEX('Inputs &amp; Assuptions'!$C$13:$C$72, COLUMN() - ($E42 + 5)), 0))
  )
)</f>
        <v>1069.41721755353</v>
      </c>
      <c r="AZ42" s="80" t="n">
        <f aca="false" t="array" ref="AZ42:AZ42">IF(COLUMN() - ($E42 + 5) &lt; 0, 0,
  IF(COLUMN() - ($E42 + 5) = 0, $F42,
    AY42 * (1 - IFERROR(INDEX('Inputs &amp; Assuptions'!$C$13:$C$72, COLUMN() - ($E42 + 5)), 0))
  )
)</f>
        <v>1058.72304537799</v>
      </c>
      <c r="BA42" s="80" t="n">
        <f aca="false" t="array" ref="BA42:BA42">IF(COLUMN() - ($E42 + 5) &lt; 0, 0,
  IF(COLUMN() - ($E42 + 5) = 0, $F42,
    AZ42 * (1 - IFERROR(INDEX('Inputs &amp; Assuptions'!$C$13:$C$72, COLUMN() - ($E42 + 5)), 0))
  )
)</f>
        <v>1053.4294301511</v>
      </c>
      <c r="BB42" s="80" t="n">
        <f aca="false" t="array" ref="BB42:BB42">IF(COLUMN() - ($E42 + 5) &lt; 0, 0,
  IF(COLUMN() - ($E42 + 5) = 0, $F42,
    BA42 * (1 - IFERROR(INDEX('Inputs &amp; Assuptions'!$C$13:$C$72, COLUMN() - ($E42 + 5)), 0))
  )
)</f>
        <v>1048.16228300035</v>
      </c>
      <c r="BC42" s="80" t="n">
        <f aca="false" t="array" ref="BC42:BC42">IF(COLUMN() - ($E42 + 5) &lt; 0, 0,
  IF(COLUMN() - ($E42 + 5) = 0, $F42,
    BB42 * (1 - IFERROR(INDEX('Inputs &amp; Assuptions'!$C$13:$C$72, COLUMN() - ($E42 + 5)), 0))
  )
)</f>
        <v>1042.92147158535</v>
      </c>
      <c r="BD42" s="80" t="n">
        <f aca="false" t="array" ref="BD42:BD42">IF(COLUMN() - ($E42 + 5) &lt; 0, 0,
  IF(COLUMN() - ($E42 + 5) = 0, $F42,
    BC42 * (1 - IFERROR(INDEX('Inputs &amp; Assuptions'!$C$13:$C$72, COLUMN() - ($E42 + 5)), 0))
  )
)</f>
        <v>1037.70686422742</v>
      </c>
      <c r="BE42" s="80" t="n">
        <f aca="false" t="array" ref="BE42:BE42">IF(COLUMN() - ($E42 + 5) &lt; 0, 0,
  IF(COLUMN() - ($E42 + 5) = 0, $F42,
    BD42 * (1 - IFERROR(INDEX('Inputs &amp; Assuptions'!$C$13:$C$72, COLUMN() - ($E42 + 5)), 0))
  )
)</f>
        <v>1032.51832990628</v>
      </c>
      <c r="BF42" s="80" t="n">
        <f aca="false" t="array" ref="BF42:BF42">IF(COLUMN() - ($E42 + 5) &lt; 0, 0,
  IF(COLUMN() - ($E42 + 5) = 0, $F42,
    BE42 * (1 - IFERROR(INDEX('Inputs &amp; Assuptions'!$C$13:$C$72, COLUMN() - ($E42 + 5)), 0))
  )
)</f>
        <v>1027.35573825675</v>
      </c>
      <c r="BG42" s="80" t="n">
        <f aca="false" t="array" ref="BG42:BG42">IF(COLUMN() - ($E42 + 5) &lt; 0, 0,
  IF(COLUMN() - ($E42 + 5) = 0, $F42,
    BF42 * (1 - IFERROR(INDEX('Inputs &amp; Assuptions'!$C$13:$C$72, COLUMN() - ($E42 + 5)), 0))
  )
)</f>
        <v>1022.21895956547</v>
      </c>
      <c r="BH42" s="80" t="n">
        <f aca="false" t="array" ref="BH42:BH42">IF(COLUMN() - ($E42 + 5) &lt; 0, 0,
  IF(COLUMN() - ($E42 + 5) = 0, $F42,
    BG42 * (1 - IFERROR(INDEX('Inputs &amp; Assuptions'!$C$13:$C$72, COLUMN() - ($E42 + 5)), 0))
  )
)</f>
        <v>1017.10786476764</v>
      </c>
      <c r="BI42" s="80" t="n">
        <f aca="false" t="array" ref="BI42:BI42">IF(COLUMN() - ($E42 + 5) &lt; 0, 0,
  IF(COLUMN() - ($E42 + 5) = 0, $F42,
    BH42 * (1 - IFERROR(INDEX('Inputs &amp; Assuptions'!$C$13:$C$72, COLUMN() - ($E42 + 5)), 0))
  )
)</f>
        <v>1012.0223254438</v>
      </c>
      <c r="BJ42" s="80" t="n">
        <f aca="false" t="array" ref="BJ42:BJ42">IF(COLUMN() - ($E42 + 5) &lt; 0, 0,
  IF(COLUMN() - ($E42 + 5) = 0, $F42,
    BI42 * (1 - IFERROR(INDEX('Inputs &amp; Assuptions'!$C$13:$C$72, COLUMN() - ($E42 + 5)), 0))
  )
)</f>
        <v>1006.96221381658</v>
      </c>
      <c r="BK42" s="80" t="n">
        <f aca="false" t="array" ref="BK42:BK42">IF(COLUMN() - ($E42 + 5) &lt; 0, 0,
  IF(COLUMN() - ($E42 + 5) = 0, $F42,
    BJ42 * (1 - IFERROR(INDEX('Inputs &amp; Assuptions'!$C$13:$C$72, COLUMN() - ($E42 + 5)), 0))
  )
)</f>
        <v>1001.9274027475</v>
      </c>
      <c r="BL42" s="80" t="n">
        <f aca="false" t="array" ref="BL42:BL42">IF(COLUMN() - ($E42 + 5) &lt; 0, 0,
  IF(COLUMN() - ($E42 + 5) = 0, $F42,
    BK42 * (1 - IFERROR(INDEX('Inputs &amp; Assuptions'!$C$13:$C$72, COLUMN() - ($E42 + 5)), 0))
  )
)</f>
        <v>996.917765733763</v>
      </c>
      <c r="BM42" s="81" t="n">
        <f aca="false" t="array" ref="BM42:BM42">IF(COLUMN() - ($E42 + 5) &lt; 0, 0,
  IF(COLUMN() - ($E42 + 5) = 0, $F42,
    BL42 * (1 - IFERROR(INDEX('Inputs &amp; Assuptions'!$C$13:$C$72, COLUMN() - ($E42 + 5)), 0))
  )
)</f>
        <v>991.933176905095</v>
      </c>
      <c r="BN42" s="76"/>
    </row>
    <row r="43" customFormat="false" ht="14.25" hidden="false" customHeight="false" outlineLevel="0" collapsed="false">
      <c r="A43" s="29" t="n">
        <f aca="false">A42+1</f>
        <v>38</v>
      </c>
      <c r="B43" s="77" t="n">
        <f aca="false">IF(MOD($A43-1, 12) = 0, $B42 * 1.05, $B42)</f>
        <v>1736.4375</v>
      </c>
      <c r="C43" s="78" t="n">
        <f aca="false">$B43*(1-'Inputs &amp; Assuptions'!$C$12)</f>
        <v>1354.42125</v>
      </c>
      <c r="E43" s="29" t="n">
        <f aca="false">E42+1</f>
        <v>38</v>
      </c>
      <c r="F43" s="79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 t="n">
        <f aca="false">$C43</f>
        <v>1354.42125</v>
      </c>
      <c r="AR43" s="80" t="n">
        <f aca="false" t="array" ref="AR43:AR43">IF(COLUMN() - ($E43 + 5) &lt; 0, 0,
  IF(COLUMN() - ($E43 + 5) = 0, $F43,
    AQ43 * (1 - IFERROR(INDEX('Inputs &amp; Assuptions'!$C$13:$C$72, COLUMN() - ($E43 + 5)), 0))
  )
)</f>
        <v>1283.314134375</v>
      </c>
      <c r="AS43" s="80" t="n">
        <f aca="false" t="array" ref="AS43:AS43">IF(COLUMN() - ($E43 + 5) &lt; 0, 0,
  IF(COLUMN() - ($E43 + 5) = 0, $F43,
    AR43 * (1 - IFERROR(INDEX('Inputs &amp; Assuptions'!$C$13:$C$72, COLUMN() - ($E43 + 5)), 0))
  )
)</f>
        <v>1231.981569</v>
      </c>
      <c r="AT43" s="80" t="n">
        <f aca="false" t="array" ref="AT43:AT43">IF(COLUMN() - ($E43 + 5) &lt; 0, 0,
  IF(COLUMN() - ($E43 + 5) = 0, $F43,
    AS43 * (1 - IFERROR(INDEX('Inputs &amp; Assuptions'!$C$13:$C$72, COLUMN() - ($E43 + 5)), 0))
  )
)</f>
        <v>1198.1020758525</v>
      </c>
      <c r="AU43" s="80" t="n">
        <f aca="false" t="array" ref="AU43:AU43">IF(COLUMN() - ($E43 + 5) &lt; 0, 0,
  IF(COLUMN() - ($E43 + 5) = 0, $F43,
    AT43 * (1 - IFERROR(INDEX('Inputs &amp; Assuptions'!$C$13:$C$72, COLUMN() - ($E43 + 5)), 0))
  )
)</f>
        <v>1168.14952395619</v>
      </c>
      <c r="AV43" s="80" t="n">
        <f aca="false" t="array" ref="AV43:AV43">IF(COLUMN() - ($E43 + 5) &lt; 0, 0,
  IF(COLUMN() - ($E43 + 5) = 0, $F43,
    AU43 * (1 - IFERROR(INDEX('Inputs &amp; Assuptions'!$C$13:$C$72, COLUMN() - ($E43 + 5)), 0))
  )
)</f>
        <v>1141.86615966717</v>
      </c>
      <c r="AW43" s="80" t="n">
        <f aca="false" t="array" ref="AW43:AW43">IF(COLUMN() - ($E43 + 5) &lt; 0, 0,
  IF(COLUMN() - ($E43 + 5) = 0, $F43,
    AV43 * (1 - IFERROR(INDEX('Inputs &amp; Assuptions'!$C$13:$C$72, COLUMN() - ($E43 + 5)), 0))
  )
)</f>
        <v>1119.02883647383</v>
      </c>
      <c r="AX43" s="80" t="n">
        <f aca="false" t="array" ref="AX43:AX43">IF(COLUMN() - ($E43 + 5) &lt; 0, 0,
  IF(COLUMN() - ($E43 + 5) = 0, $F43,
    AW43 * (1 - IFERROR(INDEX('Inputs &amp; Assuptions'!$C$13:$C$72, COLUMN() - ($E43 + 5)), 0))
  )
)</f>
        <v>1099.44583183554</v>
      </c>
      <c r="AY43" s="80" t="n">
        <f aca="false" t="array" ref="AY43:AY43">IF(COLUMN() - ($E43 + 5) &lt; 0, 0,
  IF(COLUMN() - ($E43 + 5) = 0, $F43,
    AX43 * (1 - IFERROR(INDEX('Inputs &amp; Assuptions'!$C$13:$C$72, COLUMN() - ($E43 + 5)), 0))
  )
)</f>
        <v>1082.95414435801</v>
      </c>
      <c r="AZ43" s="80" t="n">
        <f aca="false" t="array" ref="AZ43:AZ43">IF(COLUMN() - ($E43 + 5) &lt; 0, 0,
  IF(COLUMN() - ($E43 + 5) = 0, $F43,
    AY43 * (1 - IFERROR(INDEX('Inputs &amp; Assuptions'!$C$13:$C$72, COLUMN() - ($E43 + 5)), 0))
  )
)</f>
        <v>1069.41721755353</v>
      </c>
      <c r="BA43" s="80" t="n">
        <f aca="false" t="array" ref="BA43:BA43">IF(COLUMN() - ($E43 + 5) &lt; 0, 0,
  IF(COLUMN() - ($E43 + 5) = 0, $F43,
    AZ43 * (1 - IFERROR(INDEX('Inputs &amp; Assuptions'!$C$13:$C$72, COLUMN() - ($E43 + 5)), 0))
  )
)</f>
        <v>1058.72304537799</v>
      </c>
      <c r="BB43" s="80" t="n">
        <f aca="false" t="array" ref="BB43:BB43">IF(COLUMN() - ($E43 + 5) &lt; 0, 0,
  IF(COLUMN() - ($E43 + 5) = 0, $F43,
    BA43 * (1 - IFERROR(INDEX('Inputs &amp; Assuptions'!$C$13:$C$72, COLUMN() - ($E43 + 5)), 0))
  )
)</f>
        <v>1053.4294301511</v>
      </c>
      <c r="BC43" s="80" t="n">
        <f aca="false" t="array" ref="BC43:BC43">IF(COLUMN() - ($E43 + 5) &lt; 0, 0,
  IF(COLUMN() - ($E43 + 5) = 0, $F43,
    BB43 * (1 - IFERROR(INDEX('Inputs &amp; Assuptions'!$C$13:$C$72, COLUMN() - ($E43 + 5)), 0))
  )
)</f>
        <v>1048.16228300035</v>
      </c>
      <c r="BD43" s="80" t="n">
        <f aca="false" t="array" ref="BD43:BD43">IF(COLUMN() - ($E43 + 5) &lt; 0, 0,
  IF(COLUMN() - ($E43 + 5) = 0, $F43,
    BC43 * (1 - IFERROR(INDEX('Inputs &amp; Assuptions'!$C$13:$C$72, COLUMN() - ($E43 + 5)), 0))
  )
)</f>
        <v>1042.92147158535</v>
      </c>
      <c r="BE43" s="80" t="n">
        <f aca="false" t="array" ref="BE43:BE43">IF(COLUMN() - ($E43 + 5) &lt; 0, 0,
  IF(COLUMN() - ($E43 + 5) = 0, $F43,
    BD43 * (1 - IFERROR(INDEX('Inputs &amp; Assuptions'!$C$13:$C$72, COLUMN() - ($E43 + 5)), 0))
  )
)</f>
        <v>1037.70686422742</v>
      </c>
      <c r="BF43" s="80" t="n">
        <f aca="false" t="array" ref="BF43:BF43">IF(COLUMN() - ($E43 + 5) &lt; 0, 0,
  IF(COLUMN() - ($E43 + 5) = 0, $F43,
    BE43 * (1 - IFERROR(INDEX('Inputs &amp; Assuptions'!$C$13:$C$72, COLUMN() - ($E43 + 5)), 0))
  )
)</f>
        <v>1032.51832990628</v>
      </c>
      <c r="BG43" s="80" t="n">
        <f aca="false" t="array" ref="BG43:BG43">IF(COLUMN() - ($E43 + 5) &lt; 0, 0,
  IF(COLUMN() - ($E43 + 5) = 0, $F43,
    BF43 * (1 - IFERROR(INDEX('Inputs &amp; Assuptions'!$C$13:$C$72, COLUMN() - ($E43 + 5)), 0))
  )
)</f>
        <v>1027.35573825675</v>
      </c>
      <c r="BH43" s="80" t="n">
        <f aca="false" t="array" ref="BH43:BH43">IF(COLUMN() - ($E43 + 5) &lt; 0, 0,
  IF(COLUMN() - ($E43 + 5) = 0, $F43,
    BG43 * (1 - IFERROR(INDEX('Inputs &amp; Assuptions'!$C$13:$C$72, COLUMN() - ($E43 + 5)), 0))
  )
)</f>
        <v>1022.21895956547</v>
      </c>
      <c r="BI43" s="80" t="n">
        <f aca="false" t="array" ref="BI43:BI43">IF(COLUMN() - ($E43 + 5) &lt; 0, 0,
  IF(COLUMN() - ($E43 + 5) = 0, $F43,
    BH43 * (1 - IFERROR(INDEX('Inputs &amp; Assuptions'!$C$13:$C$72, COLUMN() - ($E43 + 5)), 0))
  )
)</f>
        <v>1017.10786476764</v>
      </c>
      <c r="BJ43" s="80" t="n">
        <f aca="false" t="array" ref="BJ43:BJ43">IF(COLUMN() - ($E43 + 5) &lt; 0, 0,
  IF(COLUMN() - ($E43 + 5) = 0, $F43,
    BI43 * (1 - IFERROR(INDEX('Inputs &amp; Assuptions'!$C$13:$C$72, COLUMN() - ($E43 + 5)), 0))
  )
)</f>
        <v>1012.0223254438</v>
      </c>
      <c r="BK43" s="80" t="n">
        <f aca="false" t="array" ref="BK43:BK43">IF(COLUMN() - ($E43 + 5) &lt; 0, 0,
  IF(COLUMN() - ($E43 + 5) = 0, $F43,
    BJ43 * (1 - IFERROR(INDEX('Inputs &amp; Assuptions'!$C$13:$C$72, COLUMN() - ($E43 + 5)), 0))
  )
)</f>
        <v>1006.96221381658</v>
      </c>
      <c r="BL43" s="80" t="n">
        <f aca="false" t="array" ref="BL43:BL43">IF(COLUMN() - ($E43 + 5) &lt; 0, 0,
  IF(COLUMN() - ($E43 + 5) = 0, $F43,
    BK43 * (1 - IFERROR(INDEX('Inputs &amp; Assuptions'!$C$13:$C$72, COLUMN() - ($E43 + 5)), 0))
  )
)</f>
        <v>1001.9274027475</v>
      </c>
      <c r="BM43" s="81" t="n">
        <f aca="false" t="array" ref="BM43:BM43">IF(COLUMN() - ($E43 + 5) &lt; 0, 0,
  IF(COLUMN() - ($E43 + 5) = 0, $F43,
    BL43 * (1 - IFERROR(INDEX('Inputs &amp; Assuptions'!$C$13:$C$72, COLUMN() - ($E43 + 5)), 0))
  )
)</f>
        <v>996.917765733763</v>
      </c>
      <c r="BN43" s="76"/>
    </row>
    <row r="44" customFormat="false" ht="14.25" hidden="false" customHeight="false" outlineLevel="0" collapsed="false">
      <c r="A44" s="29" t="n">
        <f aca="false">A43+1</f>
        <v>39</v>
      </c>
      <c r="B44" s="77" t="n">
        <f aca="false">IF(MOD($A44-1, 12) = 0, $B43 * 1.05, $B43)</f>
        <v>1736.4375</v>
      </c>
      <c r="C44" s="78" t="n">
        <f aca="false">$B44*(1-'Inputs &amp; Assuptions'!$C$12)</f>
        <v>1354.42125</v>
      </c>
      <c r="E44" s="29" t="n">
        <f aca="false">E43+1</f>
        <v>39</v>
      </c>
      <c r="F44" s="79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 t="n">
        <f aca="false">$C44</f>
        <v>1354.42125</v>
      </c>
      <c r="AS44" s="80" t="n">
        <f aca="false" t="array" ref="AS44:AS44">IF(COLUMN() - ($E44 + 5) &lt; 0, 0,
  IF(COLUMN() - ($E44 + 5) = 0, $F44,
    AR44 * (1 - IFERROR(INDEX('Inputs &amp; Assuptions'!$C$13:$C$72, COLUMN() - ($E44 + 5)), 0))
  )
)</f>
        <v>1283.314134375</v>
      </c>
      <c r="AT44" s="80" t="n">
        <f aca="false" t="array" ref="AT44:AT44">IF(COLUMN() - ($E44 + 5) &lt; 0, 0,
  IF(COLUMN() - ($E44 + 5) = 0, $F44,
    AS44 * (1 - IFERROR(INDEX('Inputs &amp; Assuptions'!$C$13:$C$72, COLUMN() - ($E44 + 5)), 0))
  )
)</f>
        <v>1231.981569</v>
      </c>
      <c r="AU44" s="80" t="n">
        <f aca="false" t="array" ref="AU44:AU44">IF(COLUMN() - ($E44 + 5) &lt; 0, 0,
  IF(COLUMN() - ($E44 + 5) = 0, $F44,
    AT44 * (1 - IFERROR(INDEX('Inputs &amp; Assuptions'!$C$13:$C$72, COLUMN() - ($E44 + 5)), 0))
  )
)</f>
        <v>1198.1020758525</v>
      </c>
      <c r="AV44" s="80" t="n">
        <f aca="false" t="array" ref="AV44:AV44">IF(COLUMN() - ($E44 + 5) &lt; 0, 0,
  IF(COLUMN() - ($E44 + 5) = 0, $F44,
    AU44 * (1 - IFERROR(INDEX('Inputs &amp; Assuptions'!$C$13:$C$72, COLUMN() - ($E44 + 5)), 0))
  )
)</f>
        <v>1168.14952395619</v>
      </c>
      <c r="AW44" s="80" t="n">
        <f aca="false" t="array" ref="AW44:AW44">IF(COLUMN() - ($E44 + 5) &lt; 0, 0,
  IF(COLUMN() - ($E44 + 5) = 0, $F44,
    AV44 * (1 - IFERROR(INDEX('Inputs &amp; Assuptions'!$C$13:$C$72, COLUMN() - ($E44 + 5)), 0))
  )
)</f>
        <v>1141.86615966717</v>
      </c>
      <c r="AX44" s="80" t="n">
        <f aca="false" t="array" ref="AX44:AX44">IF(COLUMN() - ($E44 + 5) &lt; 0, 0,
  IF(COLUMN() - ($E44 + 5) = 0, $F44,
    AW44 * (1 - IFERROR(INDEX('Inputs &amp; Assuptions'!$C$13:$C$72, COLUMN() - ($E44 + 5)), 0))
  )
)</f>
        <v>1119.02883647383</v>
      </c>
      <c r="AY44" s="80" t="n">
        <f aca="false" t="array" ref="AY44:AY44">IF(COLUMN() - ($E44 + 5) &lt; 0, 0,
  IF(COLUMN() - ($E44 + 5) = 0, $F44,
    AX44 * (1 - IFERROR(INDEX('Inputs &amp; Assuptions'!$C$13:$C$72, COLUMN() - ($E44 + 5)), 0))
  )
)</f>
        <v>1099.44583183554</v>
      </c>
      <c r="AZ44" s="80" t="n">
        <f aca="false" t="array" ref="AZ44:AZ44">IF(COLUMN() - ($E44 + 5) &lt; 0, 0,
  IF(COLUMN() - ($E44 + 5) = 0, $F44,
    AY44 * (1 - IFERROR(INDEX('Inputs &amp; Assuptions'!$C$13:$C$72, COLUMN() - ($E44 + 5)), 0))
  )
)</f>
        <v>1082.95414435801</v>
      </c>
      <c r="BA44" s="80" t="n">
        <f aca="false" t="array" ref="BA44:BA44">IF(COLUMN() - ($E44 + 5) &lt; 0, 0,
  IF(COLUMN() - ($E44 + 5) = 0, $F44,
    AZ44 * (1 - IFERROR(INDEX('Inputs &amp; Assuptions'!$C$13:$C$72, COLUMN() - ($E44 + 5)), 0))
  )
)</f>
        <v>1069.41721755353</v>
      </c>
      <c r="BB44" s="80" t="n">
        <f aca="false" t="array" ref="BB44:BB44">IF(COLUMN() - ($E44 + 5) &lt; 0, 0,
  IF(COLUMN() - ($E44 + 5) = 0, $F44,
    BA44 * (1 - IFERROR(INDEX('Inputs &amp; Assuptions'!$C$13:$C$72, COLUMN() - ($E44 + 5)), 0))
  )
)</f>
        <v>1058.72304537799</v>
      </c>
      <c r="BC44" s="80" t="n">
        <f aca="false" t="array" ref="BC44:BC44">IF(COLUMN() - ($E44 + 5) &lt; 0, 0,
  IF(COLUMN() - ($E44 + 5) = 0, $F44,
    BB44 * (1 - IFERROR(INDEX('Inputs &amp; Assuptions'!$C$13:$C$72, COLUMN() - ($E44 + 5)), 0))
  )
)</f>
        <v>1053.4294301511</v>
      </c>
      <c r="BD44" s="80" t="n">
        <f aca="false" t="array" ref="BD44:BD44">IF(COLUMN() - ($E44 + 5) &lt; 0, 0,
  IF(COLUMN() - ($E44 + 5) = 0, $F44,
    BC44 * (1 - IFERROR(INDEX('Inputs &amp; Assuptions'!$C$13:$C$72, COLUMN() - ($E44 + 5)), 0))
  )
)</f>
        <v>1048.16228300035</v>
      </c>
      <c r="BE44" s="80" t="n">
        <f aca="false" t="array" ref="BE44:BE44">IF(COLUMN() - ($E44 + 5) &lt; 0, 0,
  IF(COLUMN() - ($E44 + 5) = 0, $F44,
    BD44 * (1 - IFERROR(INDEX('Inputs &amp; Assuptions'!$C$13:$C$72, COLUMN() - ($E44 + 5)), 0))
  )
)</f>
        <v>1042.92147158535</v>
      </c>
      <c r="BF44" s="80" t="n">
        <f aca="false" t="array" ref="BF44:BF44">IF(COLUMN() - ($E44 + 5) &lt; 0, 0,
  IF(COLUMN() - ($E44 + 5) = 0, $F44,
    BE44 * (1 - IFERROR(INDEX('Inputs &amp; Assuptions'!$C$13:$C$72, COLUMN() - ($E44 + 5)), 0))
  )
)</f>
        <v>1037.70686422742</v>
      </c>
      <c r="BG44" s="80" t="n">
        <f aca="false" t="array" ref="BG44:BG44">IF(COLUMN() - ($E44 + 5) &lt; 0, 0,
  IF(COLUMN() - ($E44 + 5) = 0, $F44,
    BF44 * (1 - IFERROR(INDEX('Inputs &amp; Assuptions'!$C$13:$C$72, COLUMN() - ($E44 + 5)), 0))
  )
)</f>
        <v>1032.51832990628</v>
      </c>
      <c r="BH44" s="80" t="n">
        <f aca="false" t="array" ref="BH44:BH44">IF(COLUMN() - ($E44 + 5) &lt; 0, 0,
  IF(COLUMN() - ($E44 + 5) = 0, $F44,
    BG44 * (1 - IFERROR(INDEX('Inputs &amp; Assuptions'!$C$13:$C$72, COLUMN() - ($E44 + 5)), 0))
  )
)</f>
        <v>1027.35573825675</v>
      </c>
      <c r="BI44" s="80" t="n">
        <f aca="false" t="array" ref="BI44:BI44">IF(COLUMN() - ($E44 + 5) &lt; 0, 0,
  IF(COLUMN() - ($E44 + 5) = 0, $F44,
    BH44 * (1 - IFERROR(INDEX('Inputs &amp; Assuptions'!$C$13:$C$72, COLUMN() - ($E44 + 5)), 0))
  )
)</f>
        <v>1022.21895956547</v>
      </c>
      <c r="BJ44" s="80" t="n">
        <f aca="false" t="array" ref="BJ44:BJ44">IF(COLUMN() - ($E44 + 5) &lt; 0, 0,
  IF(COLUMN() - ($E44 + 5) = 0, $F44,
    BI44 * (1 - IFERROR(INDEX('Inputs &amp; Assuptions'!$C$13:$C$72, COLUMN() - ($E44 + 5)), 0))
  )
)</f>
        <v>1017.10786476764</v>
      </c>
      <c r="BK44" s="80" t="n">
        <f aca="false" t="array" ref="BK44:BK44">IF(COLUMN() - ($E44 + 5) &lt; 0, 0,
  IF(COLUMN() - ($E44 + 5) = 0, $F44,
    BJ44 * (1 - IFERROR(INDEX('Inputs &amp; Assuptions'!$C$13:$C$72, COLUMN() - ($E44 + 5)), 0))
  )
)</f>
        <v>1012.0223254438</v>
      </c>
      <c r="BL44" s="80" t="n">
        <f aca="false" t="array" ref="BL44:BL44">IF(COLUMN() - ($E44 + 5) &lt; 0, 0,
  IF(COLUMN() - ($E44 + 5) = 0, $F44,
    BK44 * (1 - IFERROR(INDEX('Inputs &amp; Assuptions'!$C$13:$C$72, COLUMN() - ($E44 + 5)), 0))
  )
)</f>
        <v>1006.96221381658</v>
      </c>
      <c r="BM44" s="81" t="n">
        <f aca="false" t="array" ref="BM44:BM44">IF(COLUMN() - ($E44 + 5) &lt; 0, 0,
  IF(COLUMN() - ($E44 + 5) = 0, $F44,
    BL44 * (1 - IFERROR(INDEX('Inputs &amp; Assuptions'!$C$13:$C$72, COLUMN() - ($E44 + 5)), 0))
  )
)</f>
        <v>1001.9274027475</v>
      </c>
      <c r="BN44" s="76"/>
    </row>
    <row r="45" customFormat="false" ht="14.25" hidden="false" customHeight="false" outlineLevel="0" collapsed="false">
      <c r="A45" s="29" t="n">
        <f aca="false">A44+1</f>
        <v>40</v>
      </c>
      <c r="B45" s="77" t="n">
        <f aca="false">IF(MOD($A45-1, 12) = 0, $B44 * 1.05, $B44)</f>
        <v>1736.4375</v>
      </c>
      <c r="C45" s="78" t="n">
        <f aca="false">$B45*(1-'Inputs &amp; Assuptions'!$C$12)</f>
        <v>1354.42125</v>
      </c>
      <c r="E45" s="29" t="n">
        <f aca="false">E44+1</f>
        <v>40</v>
      </c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 t="n">
        <f aca="false">$C45</f>
        <v>1354.42125</v>
      </c>
      <c r="AT45" s="80" t="n">
        <f aca="false" t="array" ref="AT45:AT45">IF(COLUMN() - ($E45 + 5) &lt; 0, 0,
  IF(COLUMN() - ($E45 + 5) = 0, $F45,
    AS45 * (1 - IFERROR(INDEX('Inputs &amp; Assuptions'!$C$13:$C$72, COLUMN() - ($E45 + 5)), 0))
  )
)</f>
        <v>1283.314134375</v>
      </c>
      <c r="AU45" s="80" t="n">
        <f aca="false" t="array" ref="AU45:AU45">IF(COLUMN() - ($E45 + 5) &lt; 0, 0,
  IF(COLUMN() - ($E45 + 5) = 0, $F45,
    AT45 * (1 - IFERROR(INDEX('Inputs &amp; Assuptions'!$C$13:$C$72, COLUMN() - ($E45 + 5)), 0))
  )
)</f>
        <v>1231.981569</v>
      </c>
      <c r="AV45" s="80" t="n">
        <f aca="false" t="array" ref="AV45:AV45">IF(COLUMN() - ($E45 + 5) &lt; 0, 0,
  IF(COLUMN() - ($E45 + 5) = 0, $F45,
    AU45 * (1 - IFERROR(INDEX('Inputs &amp; Assuptions'!$C$13:$C$72, COLUMN() - ($E45 + 5)), 0))
  )
)</f>
        <v>1198.1020758525</v>
      </c>
      <c r="AW45" s="80" t="n">
        <f aca="false" t="array" ref="AW45:AW45">IF(COLUMN() - ($E45 + 5) &lt; 0, 0,
  IF(COLUMN() - ($E45 + 5) = 0, $F45,
    AV45 * (1 - IFERROR(INDEX('Inputs &amp; Assuptions'!$C$13:$C$72, COLUMN() - ($E45 + 5)), 0))
  )
)</f>
        <v>1168.14952395619</v>
      </c>
      <c r="AX45" s="80" t="n">
        <f aca="false" t="array" ref="AX45:AX45">IF(COLUMN() - ($E45 + 5) &lt; 0, 0,
  IF(COLUMN() - ($E45 + 5) = 0, $F45,
    AW45 * (1 - IFERROR(INDEX('Inputs &amp; Assuptions'!$C$13:$C$72, COLUMN() - ($E45 + 5)), 0))
  )
)</f>
        <v>1141.86615966717</v>
      </c>
      <c r="AY45" s="80" t="n">
        <f aca="false" t="array" ref="AY45:AY45">IF(COLUMN() - ($E45 + 5) &lt; 0, 0,
  IF(COLUMN() - ($E45 + 5) = 0, $F45,
    AX45 * (1 - IFERROR(INDEX('Inputs &amp; Assuptions'!$C$13:$C$72, COLUMN() - ($E45 + 5)), 0))
  )
)</f>
        <v>1119.02883647383</v>
      </c>
      <c r="AZ45" s="80" t="n">
        <f aca="false" t="array" ref="AZ45:AZ45">IF(COLUMN() - ($E45 + 5) &lt; 0, 0,
  IF(COLUMN() - ($E45 + 5) = 0, $F45,
    AY45 * (1 - IFERROR(INDEX('Inputs &amp; Assuptions'!$C$13:$C$72, COLUMN() - ($E45 + 5)), 0))
  )
)</f>
        <v>1099.44583183554</v>
      </c>
      <c r="BA45" s="80" t="n">
        <f aca="false" t="array" ref="BA45:BA45">IF(COLUMN() - ($E45 + 5) &lt; 0, 0,
  IF(COLUMN() - ($E45 + 5) = 0, $F45,
    AZ45 * (1 - IFERROR(INDEX('Inputs &amp; Assuptions'!$C$13:$C$72, COLUMN() - ($E45 + 5)), 0))
  )
)</f>
        <v>1082.95414435801</v>
      </c>
      <c r="BB45" s="80" t="n">
        <f aca="false" t="array" ref="BB45:BB45">IF(COLUMN() - ($E45 + 5) &lt; 0, 0,
  IF(COLUMN() - ($E45 + 5) = 0, $F45,
    BA45 * (1 - IFERROR(INDEX('Inputs &amp; Assuptions'!$C$13:$C$72, COLUMN() - ($E45 + 5)), 0))
  )
)</f>
        <v>1069.41721755353</v>
      </c>
      <c r="BC45" s="80" t="n">
        <f aca="false" t="array" ref="BC45:BC45">IF(COLUMN() - ($E45 + 5) &lt; 0, 0,
  IF(COLUMN() - ($E45 + 5) = 0, $F45,
    BB45 * (1 - IFERROR(INDEX('Inputs &amp; Assuptions'!$C$13:$C$72, COLUMN() - ($E45 + 5)), 0))
  )
)</f>
        <v>1058.72304537799</v>
      </c>
      <c r="BD45" s="80" t="n">
        <f aca="false" t="array" ref="BD45:BD45">IF(COLUMN() - ($E45 + 5) &lt; 0, 0,
  IF(COLUMN() - ($E45 + 5) = 0, $F45,
    BC45 * (1 - IFERROR(INDEX('Inputs &amp; Assuptions'!$C$13:$C$72, COLUMN() - ($E45 + 5)), 0))
  )
)</f>
        <v>1053.4294301511</v>
      </c>
      <c r="BE45" s="80" t="n">
        <f aca="false" t="array" ref="BE45:BE45">IF(COLUMN() - ($E45 + 5) &lt; 0, 0,
  IF(COLUMN() - ($E45 + 5) = 0, $F45,
    BD45 * (1 - IFERROR(INDEX('Inputs &amp; Assuptions'!$C$13:$C$72, COLUMN() - ($E45 + 5)), 0))
  )
)</f>
        <v>1048.16228300035</v>
      </c>
      <c r="BF45" s="80" t="n">
        <f aca="false" t="array" ref="BF45:BF45">IF(COLUMN() - ($E45 + 5) &lt; 0, 0,
  IF(COLUMN() - ($E45 + 5) = 0, $F45,
    BE45 * (1 - IFERROR(INDEX('Inputs &amp; Assuptions'!$C$13:$C$72, COLUMN() - ($E45 + 5)), 0))
  )
)</f>
        <v>1042.92147158535</v>
      </c>
      <c r="BG45" s="80" t="n">
        <f aca="false" t="array" ref="BG45:BG45">IF(COLUMN() - ($E45 + 5) &lt; 0, 0,
  IF(COLUMN() - ($E45 + 5) = 0, $F45,
    BF45 * (1 - IFERROR(INDEX('Inputs &amp; Assuptions'!$C$13:$C$72, COLUMN() - ($E45 + 5)), 0))
  )
)</f>
        <v>1037.70686422742</v>
      </c>
      <c r="BH45" s="80" t="n">
        <f aca="false" t="array" ref="BH45:BH45">IF(COLUMN() - ($E45 + 5) &lt; 0, 0,
  IF(COLUMN() - ($E45 + 5) = 0, $F45,
    BG45 * (1 - IFERROR(INDEX('Inputs &amp; Assuptions'!$C$13:$C$72, COLUMN() - ($E45 + 5)), 0))
  )
)</f>
        <v>1032.51832990628</v>
      </c>
      <c r="BI45" s="80" t="n">
        <f aca="false" t="array" ref="BI45:BI45">IF(COLUMN() - ($E45 + 5) &lt; 0, 0,
  IF(COLUMN() - ($E45 + 5) = 0, $F45,
    BH45 * (1 - IFERROR(INDEX('Inputs &amp; Assuptions'!$C$13:$C$72, COLUMN() - ($E45 + 5)), 0))
  )
)</f>
        <v>1027.35573825675</v>
      </c>
      <c r="BJ45" s="80" t="n">
        <f aca="false" t="array" ref="BJ45:BJ45">IF(COLUMN() - ($E45 + 5) &lt; 0, 0,
  IF(COLUMN() - ($E45 + 5) = 0, $F45,
    BI45 * (1 - IFERROR(INDEX('Inputs &amp; Assuptions'!$C$13:$C$72, COLUMN() - ($E45 + 5)), 0))
  )
)</f>
        <v>1022.21895956547</v>
      </c>
      <c r="BK45" s="80" t="n">
        <f aca="false" t="array" ref="BK45:BK45">IF(COLUMN() - ($E45 + 5) &lt; 0, 0,
  IF(COLUMN() - ($E45 + 5) = 0, $F45,
    BJ45 * (1 - IFERROR(INDEX('Inputs &amp; Assuptions'!$C$13:$C$72, COLUMN() - ($E45 + 5)), 0))
  )
)</f>
        <v>1017.10786476764</v>
      </c>
      <c r="BL45" s="80" t="n">
        <f aca="false" t="array" ref="BL45:BL45">IF(COLUMN() - ($E45 + 5) &lt; 0, 0,
  IF(COLUMN() - ($E45 + 5) = 0, $F45,
    BK45 * (1 - IFERROR(INDEX('Inputs &amp; Assuptions'!$C$13:$C$72, COLUMN() - ($E45 + 5)), 0))
  )
)</f>
        <v>1012.0223254438</v>
      </c>
      <c r="BM45" s="81" t="n">
        <f aca="false" t="array" ref="BM45:BM45">IF(COLUMN() - ($E45 + 5) &lt; 0, 0,
  IF(COLUMN() - ($E45 + 5) = 0, $F45,
    BL45 * (1 - IFERROR(INDEX('Inputs &amp; Assuptions'!$C$13:$C$72, COLUMN() - ($E45 + 5)), 0))
  )
)</f>
        <v>1006.96221381658</v>
      </c>
      <c r="BN45" s="76"/>
    </row>
    <row r="46" customFormat="false" ht="14.25" hidden="false" customHeight="false" outlineLevel="0" collapsed="false">
      <c r="A46" s="29" t="n">
        <f aca="false">A45+1</f>
        <v>41</v>
      </c>
      <c r="B46" s="77" t="n">
        <f aca="false">IF(MOD($A46-1, 12) = 0, $B45 * 1.05, $B45)</f>
        <v>1736.4375</v>
      </c>
      <c r="C46" s="78" t="n">
        <f aca="false">$B46*(1-'Inputs &amp; Assuptions'!$C$12)</f>
        <v>1354.42125</v>
      </c>
      <c r="E46" s="29" t="n">
        <f aca="false">E45+1</f>
        <v>41</v>
      </c>
      <c r="F46" s="7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 t="n">
        <f aca="false">$C46</f>
        <v>1354.42125</v>
      </c>
      <c r="AU46" s="80" t="n">
        <f aca="false" t="array" ref="AU46:AU46">IF(COLUMN() - ($E46 + 5) &lt; 0, 0,
  IF(COLUMN() - ($E46 + 5) = 0, $F46,
    AT46 * (1 - IFERROR(INDEX('Inputs &amp; Assuptions'!$C$13:$C$72, COLUMN() - ($E46 + 5)), 0))
  )
)</f>
        <v>1283.314134375</v>
      </c>
      <c r="AV46" s="80" t="n">
        <f aca="false" t="array" ref="AV46:AV46">IF(COLUMN() - ($E46 + 5) &lt; 0, 0,
  IF(COLUMN() - ($E46 + 5) = 0, $F46,
    AU46 * (1 - IFERROR(INDEX('Inputs &amp; Assuptions'!$C$13:$C$72, COLUMN() - ($E46 + 5)), 0))
  )
)</f>
        <v>1231.981569</v>
      </c>
      <c r="AW46" s="80" t="n">
        <f aca="false" t="array" ref="AW46:AW46">IF(COLUMN() - ($E46 + 5) &lt; 0, 0,
  IF(COLUMN() - ($E46 + 5) = 0, $F46,
    AV46 * (1 - IFERROR(INDEX('Inputs &amp; Assuptions'!$C$13:$C$72, COLUMN() - ($E46 + 5)), 0))
  )
)</f>
        <v>1198.1020758525</v>
      </c>
      <c r="AX46" s="80" t="n">
        <f aca="false" t="array" ref="AX46:AX46">IF(COLUMN() - ($E46 + 5) &lt; 0, 0,
  IF(COLUMN() - ($E46 + 5) = 0, $F46,
    AW46 * (1 - IFERROR(INDEX('Inputs &amp; Assuptions'!$C$13:$C$72, COLUMN() - ($E46 + 5)), 0))
  )
)</f>
        <v>1168.14952395619</v>
      </c>
      <c r="AY46" s="80" t="n">
        <f aca="false" t="array" ref="AY46:AY46">IF(COLUMN() - ($E46 + 5) &lt; 0, 0,
  IF(COLUMN() - ($E46 + 5) = 0, $F46,
    AX46 * (1 - IFERROR(INDEX('Inputs &amp; Assuptions'!$C$13:$C$72, COLUMN() - ($E46 + 5)), 0))
  )
)</f>
        <v>1141.86615966717</v>
      </c>
      <c r="AZ46" s="80" t="n">
        <f aca="false" t="array" ref="AZ46:AZ46">IF(COLUMN() - ($E46 + 5) &lt; 0, 0,
  IF(COLUMN() - ($E46 + 5) = 0, $F46,
    AY46 * (1 - IFERROR(INDEX('Inputs &amp; Assuptions'!$C$13:$C$72, COLUMN() - ($E46 + 5)), 0))
  )
)</f>
        <v>1119.02883647383</v>
      </c>
      <c r="BA46" s="80" t="n">
        <f aca="false" t="array" ref="BA46:BA46">IF(COLUMN() - ($E46 + 5) &lt; 0, 0,
  IF(COLUMN() - ($E46 + 5) = 0, $F46,
    AZ46 * (1 - IFERROR(INDEX('Inputs &amp; Assuptions'!$C$13:$C$72, COLUMN() - ($E46 + 5)), 0))
  )
)</f>
        <v>1099.44583183554</v>
      </c>
      <c r="BB46" s="80" t="n">
        <f aca="false" t="array" ref="BB46:BB46">IF(COLUMN() - ($E46 + 5) &lt; 0, 0,
  IF(COLUMN() - ($E46 + 5) = 0, $F46,
    BA46 * (1 - IFERROR(INDEX('Inputs &amp; Assuptions'!$C$13:$C$72, COLUMN() - ($E46 + 5)), 0))
  )
)</f>
        <v>1082.95414435801</v>
      </c>
      <c r="BC46" s="80" t="n">
        <f aca="false" t="array" ref="BC46:BC46">IF(COLUMN() - ($E46 + 5) &lt; 0, 0,
  IF(COLUMN() - ($E46 + 5) = 0, $F46,
    BB46 * (1 - IFERROR(INDEX('Inputs &amp; Assuptions'!$C$13:$C$72, COLUMN() - ($E46 + 5)), 0))
  )
)</f>
        <v>1069.41721755353</v>
      </c>
      <c r="BD46" s="80" t="n">
        <f aca="false" t="array" ref="BD46:BD46">IF(COLUMN() - ($E46 + 5) &lt; 0, 0,
  IF(COLUMN() - ($E46 + 5) = 0, $F46,
    BC46 * (1 - IFERROR(INDEX('Inputs &amp; Assuptions'!$C$13:$C$72, COLUMN() - ($E46 + 5)), 0))
  )
)</f>
        <v>1058.72304537799</v>
      </c>
      <c r="BE46" s="80" t="n">
        <f aca="false" t="array" ref="BE46:BE46">IF(COLUMN() - ($E46 + 5) &lt; 0, 0,
  IF(COLUMN() - ($E46 + 5) = 0, $F46,
    BD46 * (1 - IFERROR(INDEX('Inputs &amp; Assuptions'!$C$13:$C$72, COLUMN() - ($E46 + 5)), 0))
  )
)</f>
        <v>1053.4294301511</v>
      </c>
      <c r="BF46" s="80" t="n">
        <f aca="false" t="array" ref="BF46:BF46">IF(COLUMN() - ($E46 + 5) &lt; 0, 0,
  IF(COLUMN() - ($E46 + 5) = 0, $F46,
    BE46 * (1 - IFERROR(INDEX('Inputs &amp; Assuptions'!$C$13:$C$72, COLUMN() - ($E46 + 5)), 0))
  )
)</f>
        <v>1048.16228300035</v>
      </c>
      <c r="BG46" s="80" t="n">
        <f aca="false" t="array" ref="BG46:BG46">IF(COLUMN() - ($E46 + 5) &lt; 0, 0,
  IF(COLUMN() - ($E46 + 5) = 0, $F46,
    BF46 * (1 - IFERROR(INDEX('Inputs &amp; Assuptions'!$C$13:$C$72, COLUMN() - ($E46 + 5)), 0))
  )
)</f>
        <v>1042.92147158535</v>
      </c>
      <c r="BH46" s="80" t="n">
        <f aca="false" t="array" ref="BH46:BH46">IF(COLUMN() - ($E46 + 5) &lt; 0, 0,
  IF(COLUMN() - ($E46 + 5) = 0, $F46,
    BG46 * (1 - IFERROR(INDEX('Inputs &amp; Assuptions'!$C$13:$C$72, COLUMN() - ($E46 + 5)), 0))
  )
)</f>
        <v>1037.70686422742</v>
      </c>
      <c r="BI46" s="80" t="n">
        <f aca="false" t="array" ref="BI46:BI46">IF(COLUMN() - ($E46 + 5) &lt; 0, 0,
  IF(COLUMN() - ($E46 + 5) = 0, $F46,
    BH46 * (1 - IFERROR(INDEX('Inputs &amp; Assuptions'!$C$13:$C$72, COLUMN() - ($E46 + 5)), 0))
  )
)</f>
        <v>1032.51832990628</v>
      </c>
      <c r="BJ46" s="80" t="n">
        <f aca="false" t="array" ref="BJ46:BJ46">IF(COLUMN() - ($E46 + 5) &lt; 0, 0,
  IF(COLUMN() - ($E46 + 5) = 0, $F46,
    BI46 * (1 - IFERROR(INDEX('Inputs &amp; Assuptions'!$C$13:$C$72, COLUMN() - ($E46 + 5)), 0))
  )
)</f>
        <v>1027.35573825675</v>
      </c>
      <c r="BK46" s="80" t="n">
        <f aca="false" t="array" ref="BK46:BK46">IF(COLUMN() - ($E46 + 5) &lt; 0, 0,
  IF(COLUMN() - ($E46 + 5) = 0, $F46,
    BJ46 * (1 - IFERROR(INDEX('Inputs &amp; Assuptions'!$C$13:$C$72, COLUMN() - ($E46 + 5)), 0))
  )
)</f>
        <v>1022.21895956547</v>
      </c>
      <c r="BL46" s="80" t="n">
        <f aca="false" t="array" ref="BL46:BL46">IF(COLUMN() - ($E46 + 5) &lt; 0, 0,
  IF(COLUMN() - ($E46 + 5) = 0, $F46,
    BK46 * (1 - IFERROR(INDEX('Inputs &amp; Assuptions'!$C$13:$C$72, COLUMN() - ($E46 + 5)), 0))
  )
)</f>
        <v>1017.10786476764</v>
      </c>
      <c r="BM46" s="81" t="n">
        <f aca="false" t="array" ref="BM46:BM46">IF(COLUMN() - ($E46 + 5) &lt; 0, 0,
  IF(COLUMN() - ($E46 + 5) = 0, $F46,
    BL46 * (1 - IFERROR(INDEX('Inputs &amp; Assuptions'!$C$13:$C$72, COLUMN() - ($E46 + 5)), 0))
  )
)</f>
        <v>1012.0223254438</v>
      </c>
      <c r="BN46" s="76"/>
    </row>
    <row r="47" customFormat="false" ht="14.25" hidden="false" customHeight="false" outlineLevel="0" collapsed="false">
      <c r="A47" s="29" t="n">
        <f aca="false">A46+1</f>
        <v>42</v>
      </c>
      <c r="B47" s="77" t="n">
        <f aca="false">IF(MOD($A47-1, 12) = 0, $B46 * 1.05, $B46)</f>
        <v>1736.4375</v>
      </c>
      <c r="C47" s="78" t="n">
        <f aca="false">$B47*(1-'Inputs &amp; Assuptions'!$C$12)</f>
        <v>1354.42125</v>
      </c>
      <c r="E47" s="29" t="n">
        <f aca="false">E46+1</f>
        <v>42</v>
      </c>
      <c r="F47" s="7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 t="n">
        <f aca="false">$C47</f>
        <v>1354.42125</v>
      </c>
      <c r="AV47" s="80" t="n">
        <f aca="false" t="array" ref="AV47:AV47">IF(COLUMN() - ($E47 + 5) &lt; 0, 0,
  IF(COLUMN() - ($E47 + 5) = 0, $F47,
    AU47 * (1 - IFERROR(INDEX('Inputs &amp; Assuptions'!$C$13:$C$72, COLUMN() - ($E47 + 5)), 0))
  )
)</f>
        <v>1283.314134375</v>
      </c>
      <c r="AW47" s="80" t="n">
        <f aca="false" t="array" ref="AW47:AW47">IF(COLUMN() - ($E47 + 5) &lt; 0, 0,
  IF(COLUMN() - ($E47 + 5) = 0, $F47,
    AV47 * (1 - IFERROR(INDEX('Inputs &amp; Assuptions'!$C$13:$C$72, COLUMN() - ($E47 + 5)), 0))
  )
)</f>
        <v>1231.981569</v>
      </c>
      <c r="AX47" s="80" t="n">
        <f aca="false" t="array" ref="AX47:AX47">IF(COLUMN() - ($E47 + 5) &lt; 0, 0,
  IF(COLUMN() - ($E47 + 5) = 0, $F47,
    AW47 * (1 - IFERROR(INDEX('Inputs &amp; Assuptions'!$C$13:$C$72, COLUMN() - ($E47 + 5)), 0))
  )
)</f>
        <v>1198.1020758525</v>
      </c>
      <c r="AY47" s="80" t="n">
        <f aca="false" t="array" ref="AY47:AY47">IF(COLUMN() - ($E47 + 5) &lt; 0, 0,
  IF(COLUMN() - ($E47 + 5) = 0, $F47,
    AX47 * (1 - IFERROR(INDEX('Inputs &amp; Assuptions'!$C$13:$C$72, COLUMN() - ($E47 + 5)), 0))
  )
)</f>
        <v>1168.14952395619</v>
      </c>
      <c r="AZ47" s="80" t="n">
        <f aca="false" t="array" ref="AZ47:AZ47">IF(COLUMN() - ($E47 + 5) &lt; 0, 0,
  IF(COLUMN() - ($E47 + 5) = 0, $F47,
    AY47 * (1 - IFERROR(INDEX('Inputs &amp; Assuptions'!$C$13:$C$72, COLUMN() - ($E47 + 5)), 0))
  )
)</f>
        <v>1141.86615966717</v>
      </c>
      <c r="BA47" s="80" t="n">
        <f aca="false" t="array" ref="BA47:BA47">IF(COLUMN() - ($E47 + 5) &lt; 0, 0,
  IF(COLUMN() - ($E47 + 5) = 0, $F47,
    AZ47 * (1 - IFERROR(INDEX('Inputs &amp; Assuptions'!$C$13:$C$72, COLUMN() - ($E47 + 5)), 0))
  )
)</f>
        <v>1119.02883647383</v>
      </c>
      <c r="BB47" s="80" t="n">
        <f aca="false" t="array" ref="BB47:BB47">IF(COLUMN() - ($E47 + 5) &lt; 0, 0,
  IF(COLUMN() - ($E47 + 5) = 0, $F47,
    BA47 * (1 - IFERROR(INDEX('Inputs &amp; Assuptions'!$C$13:$C$72, COLUMN() - ($E47 + 5)), 0))
  )
)</f>
        <v>1099.44583183554</v>
      </c>
      <c r="BC47" s="80" t="n">
        <f aca="false" t="array" ref="BC47:BC47">IF(COLUMN() - ($E47 + 5) &lt; 0, 0,
  IF(COLUMN() - ($E47 + 5) = 0, $F47,
    BB47 * (1 - IFERROR(INDEX('Inputs &amp; Assuptions'!$C$13:$C$72, COLUMN() - ($E47 + 5)), 0))
  )
)</f>
        <v>1082.95414435801</v>
      </c>
      <c r="BD47" s="80" t="n">
        <f aca="false" t="array" ref="BD47:BD47">IF(COLUMN() - ($E47 + 5) &lt; 0, 0,
  IF(COLUMN() - ($E47 + 5) = 0, $F47,
    BC47 * (1 - IFERROR(INDEX('Inputs &amp; Assuptions'!$C$13:$C$72, COLUMN() - ($E47 + 5)), 0))
  )
)</f>
        <v>1069.41721755353</v>
      </c>
      <c r="BE47" s="80" t="n">
        <f aca="false" t="array" ref="BE47:BE47">IF(COLUMN() - ($E47 + 5) &lt; 0, 0,
  IF(COLUMN() - ($E47 + 5) = 0, $F47,
    BD47 * (1 - IFERROR(INDEX('Inputs &amp; Assuptions'!$C$13:$C$72, COLUMN() - ($E47 + 5)), 0))
  )
)</f>
        <v>1058.72304537799</v>
      </c>
      <c r="BF47" s="80" t="n">
        <f aca="false" t="array" ref="BF47:BF47">IF(COLUMN() - ($E47 + 5) &lt; 0, 0,
  IF(COLUMN() - ($E47 + 5) = 0, $F47,
    BE47 * (1 - IFERROR(INDEX('Inputs &amp; Assuptions'!$C$13:$C$72, COLUMN() - ($E47 + 5)), 0))
  )
)</f>
        <v>1053.4294301511</v>
      </c>
      <c r="BG47" s="80" t="n">
        <f aca="false" t="array" ref="BG47:BG47">IF(COLUMN() - ($E47 + 5) &lt; 0, 0,
  IF(COLUMN() - ($E47 + 5) = 0, $F47,
    BF47 * (1 - IFERROR(INDEX('Inputs &amp; Assuptions'!$C$13:$C$72, COLUMN() - ($E47 + 5)), 0))
  )
)</f>
        <v>1048.16228300035</v>
      </c>
      <c r="BH47" s="80" t="n">
        <f aca="false" t="array" ref="BH47:BH47">IF(COLUMN() - ($E47 + 5) &lt; 0, 0,
  IF(COLUMN() - ($E47 + 5) = 0, $F47,
    BG47 * (1 - IFERROR(INDEX('Inputs &amp; Assuptions'!$C$13:$C$72, COLUMN() - ($E47 + 5)), 0))
  )
)</f>
        <v>1042.92147158535</v>
      </c>
      <c r="BI47" s="80" t="n">
        <f aca="false" t="array" ref="BI47:BI47">IF(COLUMN() - ($E47 + 5) &lt; 0, 0,
  IF(COLUMN() - ($E47 + 5) = 0, $F47,
    BH47 * (1 - IFERROR(INDEX('Inputs &amp; Assuptions'!$C$13:$C$72, COLUMN() - ($E47 + 5)), 0))
  )
)</f>
        <v>1037.70686422742</v>
      </c>
      <c r="BJ47" s="80" t="n">
        <f aca="false" t="array" ref="BJ47:BJ47">IF(COLUMN() - ($E47 + 5) &lt; 0, 0,
  IF(COLUMN() - ($E47 + 5) = 0, $F47,
    BI47 * (1 - IFERROR(INDEX('Inputs &amp; Assuptions'!$C$13:$C$72, COLUMN() - ($E47 + 5)), 0))
  )
)</f>
        <v>1032.51832990628</v>
      </c>
      <c r="BK47" s="80" t="n">
        <f aca="false" t="array" ref="BK47:BK47">IF(COLUMN() - ($E47 + 5) &lt; 0, 0,
  IF(COLUMN() - ($E47 + 5) = 0, $F47,
    BJ47 * (1 - IFERROR(INDEX('Inputs &amp; Assuptions'!$C$13:$C$72, COLUMN() - ($E47 + 5)), 0))
  )
)</f>
        <v>1027.35573825675</v>
      </c>
      <c r="BL47" s="80" t="n">
        <f aca="false" t="array" ref="BL47:BL47">IF(COLUMN() - ($E47 + 5) &lt; 0, 0,
  IF(COLUMN() - ($E47 + 5) = 0, $F47,
    BK47 * (1 - IFERROR(INDEX('Inputs &amp; Assuptions'!$C$13:$C$72, COLUMN() - ($E47 + 5)), 0))
  )
)</f>
        <v>1022.21895956547</v>
      </c>
      <c r="BM47" s="81" t="n">
        <f aca="false" t="array" ref="BM47:BM47">IF(COLUMN() - ($E47 + 5) &lt; 0, 0,
  IF(COLUMN() - ($E47 + 5) = 0, $F47,
    BL47 * (1 - IFERROR(INDEX('Inputs &amp; Assuptions'!$C$13:$C$72, COLUMN() - ($E47 + 5)), 0))
  )
)</f>
        <v>1017.10786476764</v>
      </c>
      <c r="BN47" s="76"/>
    </row>
    <row r="48" customFormat="false" ht="14.25" hidden="false" customHeight="false" outlineLevel="0" collapsed="false">
      <c r="A48" s="29" t="n">
        <f aca="false">A47+1</f>
        <v>43</v>
      </c>
      <c r="B48" s="77" t="n">
        <f aca="false">IF(MOD($A48-1, 12) = 0, $B47 * 1.05, $B47)</f>
        <v>1736.4375</v>
      </c>
      <c r="C48" s="78" t="n">
        <f aca="false">$B48*(1-'Inputs &amp; Assuptions'!$C$12)</f>
        <v>1354.42125</v>
      </c>
      <c r="E48" s="29" t="n">
        <f aca="false">E47+1</f>
        <v>43</v>
      </c>
      <c r="F48" s="7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 t="n">
        <f aca="false">$C48</f>
        <v>1354.42125</v>
      </c>
      <c r="AW48" s="80" t="n">
        <f aca="false" t="array" ref="AW48:AW48">IF(COLUMN() - ($E48 + 5) &lt; 0, 0,
  IF(COLUMN() - ($E48 + 5) = 0, $F48,
    AV48 * (1 - IFERROR(INDEX('Inputs &amp; Assuptions'!$C$13:$C$72, COLUMN() - ($E48 + 5)), 0))
  )
)</f>
        <v>1283.314134375</v>
      </c>
      <c r="AX48" s="80" t="n">
        <f aca="false" t="array" ref="AX48:AX48">IF(COLUMN() - ($E48 + 5) &lt; 0, 0,
  IF(COLUMN() - ($E48 + 5) = 0, $F48,
    AW48 * (1 - IFERROR(INDEX('Inputs &amp; Assuptions'!$C$13:$C$72, COLUMN() - ($E48 + 5)), 0))
  )
)</f>
        <v>1231.981569</v>
      </c>
      <c r="AY48" s="80" t="n">
        <f aca="false" t="array" ref="AY48:AY48">IF(COLUMN() - ($E48 + 5) &lt; 0, 0,
  IF(COLUMN() - ($E48 + 5) = 0, $F48,
    AX48 * (1 - IFERROR(INDEX('Inputs &amp; Assuptions'!$C$13:$C$72, COLUMN() - ($E48 + 5)), 0))
  )
)</f>
        <v>1198.1020758525</v>
      </c>
      <c r="AZ48" s="80" t="n">
        <f aca="false" t="array" ref="AZ48:AZ48">IF(COLUMN() - ($E48 + 5) &lt; 0, 0,
  IF(COLUMN() - ($E48 + 5) = 0, $F48,
    AY48 * (1 - IFERROR(INDEX('Inputs &amp; Assuptions'!$C$13:$C$72, COLUMN() - ($E48 + 5)), 0))
  )
)</f>
        <v>1168.14952395619</v>
      </c>
      <c r="BA48" s="80" t="n">
        <f aca="false" t="array" ref="BA48:BA48">IF(COLUMN() - ($E48 + 5) &lt; 0, 0,
  IF(COLUMN() - ($E48 + 5) = 0, $F48,
    AZ48 * (1 - IFERROR(INDEX('Inputs &amp; Assuptions'!$C$13:$C$72, COLUMN() - ($E48 + 5)), 0))
  )
)</f>
        <v>1141.86615966717</v>
      </c>
      <c r="BB48" s="80" t="n">
        <f aca="false" t="array" ref="BB48:BB48">IF(COLUMN() - ($E48 + 5) &lt; 0, 0,
  IF(COLUMN() - ($E48 + 5) = 0, $F48,
    BA48 * (1 - IFERROR(INDEX('Inputs &amp; Assuptions'!$C$13:$C$72, COLUMN() - ($E48 + 5)), 0))
  )
)</f>
        <v>1119.02883647383</v>
      </c>
      <c r="BC48" s="80" t="n">
        <f aca="false" t="array" ref="BC48:BC48">IF(COLUMN() - ($E48 + 5) &lt; 0, 0,
  IF(COLUMN() - ($E48 + 5) = 0, $F48,
    BB48 * (1 - IFERROR(INDEX('Inputs &amp; Assuptions'!$C$13:$C$72, COLUMN() - ($E48 + 5)), 0))
  )
)</f>
        <v>1099.44583183554</v>
      </c>
      <c r="BD48" s="80" t="n">
        <f aca="false" t="array" ref="BD48:BD48">IF(COLUMN() - ($E48 + 5) &lt; 0, 0,
  IF(COLUMN() - ($E48 + 5) = 0, $F48,
    BC48 * (1 - IFERROR(INDEX('Inputs &amp; Assuptions'!$C$13:$C$72, COLUMN() - ($E48 + 5)), 0))
  )
)</f>
        <v>1082.95414435801</v>
      </c>
      <c r="BE48" s="80" t="n">
        <f aca="false" t="array" ref="BE48:BE48">IF(COLUMN() - ($E48 + 5) &lt; 0, 0,
  IF(COLUMN() - ($E48 + 5) = 0, $F48,
    BD48 * (1 - IFERROR(INDEX('Inputs &amp; Assuptions'!$C$13:$C$72, COLUMN() - ($E48 + 5)), 0))
  )
)</f>
        <v>1069.41721755353</v>
      </c>
      <c r="BF48" s="80" t="n">
        <f aca="false" t="array" ref="BF48:BF48">IF(COLUMN() - ($E48 + 5) &lt; 0, 0,
  IF(COLUMN() - ($E48 + 5) = 0, $F48,
    BE48 * (1 - IFERROR(INDEX('Inputs &amp; Assuptions'!$C$13:$C$72, COLUMN() - ($E48 + 5)), 0))
  )
)</f>
        <v>1058.72304537799</v>
      </c>
      <c r="BG48" s="80" t="n">
        <f aca="false" t="array" ref="BG48:BG48">IF(COLUMN() - ($E48 + 5) &lt; 0, 0,
  IF(COLUMN() - ($E48 + 5) = 0, $F48,
    BF48 * (1 - IFERROR(INDEX('Inputs &amp; Assuptions'!$C$13:$C$72, COLUMN() - ($E48 + 5)), 0))
  )
)</f>
        <v>1053.4294301511</v>
      </c>
      <c r="BH48" s="80" t="n">
        <f aca="false" t="array" ref="BH48:BH48">IF(COLUMN() - ($E48 + 5) &lt; 0, 0,
  IF(COLUMN() - ($E48 + 5) = 0, $F48,
    BG48 * (1 - IFERROR(INDEX('Inputs &amp; Assuptions'!$C$13:$C$72, COLUMN() - ($E48 + 5)), 0))
  )
)</f>
        <v>1048.16228300035</v>
      </c>
      <c r="BI48" s="80" t="n">
        <f aca="false" t="array" ref="BI48:BI48">IF(COLUMN() - ($E48 + 5) &lt; 0, 0,
  IF(COLUMN() - ($E48 + 5) = 0, $F48,
    BH48 * (1 - IFERROR(INDEX('Inputs &amp; Assuptions'!$C$13:$C$72, COLUMN() - ($E48 + 5)), 0))
  )
)</f>
        <v>1042.92147158535</v>
      </c>
      <c r="BJ48" s="80" t="n">
        <f aca="false" t="array" ref="BJ48:BJ48">IF(COLUMN() - ($E48 + 5) &lt; 0, 0,
  IF(COLUMN() - ($E48 + 5) = 0, $F48,
    BI48 * (1 - IFERROR(INDEX('Inputs &amp; Assuptions'!$C$13:$C$72, COLUMN() - ($E48 + 5)), 0))
  )
)</f>
        <v>1037.70686422742</v>
      </c>
      <c r="BK48" s="80" t="n">
        <f aca="false" t="array" ref="BK48:BK48">IF(COLUMN() - ($E48 + 5) &lt; 0, 0,
  IF(COLUMN() - ($E48 + 5) = 0, $F48,
    BJ48 * (1 - IFERROR(INDEX('Inputs &amp; Assuptions'!$C$13:$C$72, COLUMN() - ($E48 + 5)), 0))
  )
)</f>
        <v>1032.51832990628</v>
      </c>
      <c r="BL48" s="80" t="n">
        <f aca="false" t="array" ref="BL48:BL48">IF(COLUMN() - ($E48 + 5) &lt; 0, 0,
  IF(COLUMN() - ($E48 + 5) = 0, $F48,
    BK48 * (1 - IFERROR(INDEX('Inputs &amp; Assuptions'!$C$13:$C$72, COLUMN() - ($E48 + 5)), 0))
  )
)</f>
        <v>1027.35573825675</v>
      </c>
      <c r="BM48" s="81" t="n">
        <f aca="false" t="array" ref="BM48:BM48">IF(COLUMN() - ($E48 + 5) &lt; 0, 0,
  IF(COLUMN() - ($E48 + 5) = 0, $F48,
    BL48 * (1 - IFERROR(INDEX('Inputs &amp; Assuptions'!$C$13:$C$72, COLUMN() - ($E48 + 5)), 0))
  )
)</f>
        <v>1022.21895956547</v>
      </c>
      <c r="BN48" s="76"/>
    </row>
    <row r="49" customFormat="false" ht="14.25" hidden="false" customHeight="false" outlineLevel="0" collapsed="false">
      <c r="A49" s="29" t="n">
        <f aca="false">A48+1</f>
        <v>44</v>
      </c>
      <c r="B49" s="77" t="n">
        <f aca="false">IF(MOD($A49-1, 12) = 0, $B48 * 1.05, $B48)</f>
        <v>1736.4375</v>
      </c>
      <c r="C49" s="78" t="n">
        <f aca="false">$B49*(1-'Inputs &amp; Assuptions'!$C$12)</f>
        <v>1354.42125</v>
      </c>
      <c r="E49" s="29" t="n">
        <f aca="false">E48+1</f>
        <v>44</v>
      </c>
      <c r="F49" s="7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 t="n">
        <f aca="false">$C49</f>
        <v>1354.42125</v>
      </c>
      <c r="AX49" s="80" t="n">
        <f aca="false" t="array" ref="AX49:AX49">IF(COLUMN() - ($E49 + 5) &lt; 0, 0,
  IF(COLUMN() - ($E49 + 5) = 0, $F49,
    AW49 * (1 - IFERROR(INDEX('Inputs &amp; Assuptions'!$C$13:$C$72, COLUMN() - ($E49 + 5)), 0))
  )
)</f>
        <v>1283.314134375</v>
      </c>
      <c r="AY49" s="80" t="n">
        <f aca="false" t="array" ref="AY49:AY49">IF(COLUMN() - ($E49 + 5) &lt; 0, 0,
  IF(COLUMN() - ($E49 + 5) = 0, $F49,
    AX49 * (1 - IFERROR(INDEX('Inputs &amp; Assuptions'!$C$13:$C$72, COLUMN() - ($E49 + 5)), 0))
  )
)</f>
        <v>1231.981569</v>
      </c>
      <c r="AZ49" s="80" t="n">
        <f aca="false" t="array" ref="AZ49:AZ49">IF(COLUMN() - ($E49 + 5) &lt; 0, 0,
  IF(COLUMN() - ($E49 + 5) = 0, $F49,
    AY49 * (1 - IFERROR(INDEX('Inputs &amp; Assuptions'!$C$13:$C$72, COLUMN() - ($E49 + 5)), 0))
  )
)</f>
        <v>1198.1020758525</v>
      </c>
      <c r="BA49" s="80" t="n">
        <f aca="false" t="array" ref="BA49:BA49">IF(COLUMN() - ($E49 + 5) &lt; 0, 0,
  IF(COLUMN() - ($E49 + 5) = 0, $F49,
    AZ49 * (1 - IFERROR(INDEX('Inputs &amp; Assuptions'!$C$13:$C$72, COLUMN() - ($E49 + 5)), 0))
  )
)</f>
        <v>1168.14952395619</v>
      </c>
      <c r="BB49" s="80" t="n">
        <f aca="false" t="array" ref="BB49:BB49">IF(COLUMN() - ($E49 + 5) &lt; 0, 0,
  IF(COLUMN() - ($E49 + 5) = 0, $F49,
    BA49 * (1 - IFERROR(INDEX('Inputs &amp; Assuptions'!$C$13:$C$72, COLUMN() - ($E49 + 5)), 0))
  )
)</f>
        <v>1141.86615966717</v>
      </c>
      <c r="BC49" s="80" t="n">
        <f aca="false" t="array" ref="BC49:BC49">IF(COLUMN() - ($E49 + 5) &lt; 0, 0,
  IF(COLUMN() - ($E49 + 5) = 0, $F49,
    BB49 * (1 - IFERROR(INDEX('Inputs &amp; Assuptions'!$C$13:$C$72, COLUMN() - ($E49 + 5)), 0))
  )
)</f>
        <v>1119.02883647383</v>
      </c>
      <c r="BD49" s="80" t="n">
        <f aca="false" t="array" ref="BD49:BD49">IF(COLUMN() - ($E49 + 5) &lt; 0, 0,
  IF(COLUMN() - ($E49 + 5) = 0, $F49,
    BC49 * (1 - IFERROR(INDEX('Inputs &amp; Assuptions'!$C$13:$C$72, COLUMN() - ($E49 + 5)), 0))
  )
)</f>
        <v>1099.44583183554</v>
      </c>
      <c r="BE49" s="80" t="n">
        <f aca="false" t="array" ref="BE49:BE49">IF(COLUMN() - ($E49 + 5) &lt; 0, 0,
  IF(COLUMN() - ($E49 + 5) = 0, $F49,
    BD49 * (1 - IFERROR(INDEX('Inputs &amp; Assuptions'!$C$13:$C$72, COLUMN() - ($E49 + 5)), 0))
  )
)</f>
        <v>1082.95414435801</v>
      </c>
      <c r="BF49" s="80" t="n">
        <f aca="false" t="array" ref="BF49:BF49">IF(COLUMN() - ($E49 + 5) &lt; 0, 0,
  IF(COLUMN() - ($E49 + 5) = 0, $F49,
    BE49 * (1 - IFERROR(INDEX('Inputs &amp; Assuptions'!$C$13:$C$72, COLUMN() - ($E49 + 5)), 0))
  )
)</f>
        <v>1069.41721755353</v>
      </c>
      <c r="BG49" s="80" t="n">
        <f aca="false" t="array" ref="BG49:BG49">IF(COLUMN() - ($E49 + 5) &lt; 0, 0,
  IF(COLUMN() - ($E49 + 5) = 0, $F49,
    BF49 * (1 - IFERROR(INDEX('Inputs &amp; Assuptions'!$C$13:$C$72, COLUMN() - ($E49 + 5)), 0))
  )
)</f>
        <v>1058.72304537799</v>
      </c>
      <c r="BH49" s="80" t="n">
        <f aca="false" t="array" ref="BH49:BH49">IF(COLUMN() - ($E49 + 5) &lt; 0, 0,
  IF(COLUMN() - ($E49 + 5) = 0, $F49,
    BG49 * (1 - IFERROR(INDEX('Inputs &amp; Assuptions'!$C$13:$C$72, COLUMN() - ($E49 + 5)), 0))
  )
)</f>
        <v>1053.4294301511</v>
      </c>
      <c r="BI49" s="80" t="n">
        <f aca="false" t="array" ref="BI49:BI49">IF(COLUMN() - ($E49 + 5) &lt; 0, 0,
  IF(COLUMN() - ($E49 + 5) = 0, $F49,
    BH49 * (1 - IFERROR(INDEX('Inputs &amp; Assuptions'!$C$13:$C$72, COLUMN() - ($E49 + 5)), 0))
  )
)</f>
        <v>1048.16228300035</v>
      </c>
      <c r="BJ49" s="80" t="n">
        <f aca="false" t="array" ref="BJ49:BJ49">IF(COLUMN() - ($E49 + 5) &lt; 0, 0,
  IF(COLUMN() - ($E49 + 5) = 0, $F49,
    BI49 * (1 - IFERROR(INDEX('Inputs &amp; Assuptions'!$C$13:$C$72, COLUMN() - ($E49 + 5)), 0))
  )
)</f>
        <v>1042.92147158535</v>
      </c>
      <c r="BK49" s="80" t="n">
        <f aca="false" t="array" ref="BK49:BK49">IF(COLUMN() - ($E49 + 5) &lt; 0, 0,
  IF(COLUMN() - ($E49 + 5) = 0, $F49,
    BJ49 * (1 - IFERROR(INDEX('Inputs &amp; Assuptions'!$C$13:$C$72, COLUMN() - ($E49 + 5)), 0))
  )
)</f>
        <v>1037.70686422742</v>
      </c>
      <c r="BL49" s="80" t="n">
        <f aca="false" t="array" ref="BL49:BL49">IF(COLUMN() - ($E49 + 5) &lt; 0, 0,
  IF(COLUMN() - ($E49 + 5) = 0, $F49,
    BK49 * (1 - IFERROR(INDEX('Inputs &amp; Assuptions'!$C$13:$C$72, COLUMN() - ($E49 + 5)), 0))
  )
)</f>
        <v>1032.51832990628</v>
      </c>
      <c r="BM49" s="81" t="n">
        <f aca="false" t="array" ref="BM49:BM49">IF(COLUMN() - ($E49 + 5) &lt; 0, 0,
  IF(COLUMN() - ($E49 + 5) = 0, $F49,
    BL49 * (1 - IFERROR(INDEX('Inputs &amp; Assuptions'!$C$13:$C$72, COLUMN() - ($E49 + 5)), 0))
  )
)</f>
        <v>1027.35573825675</v>
      </c>
      <c r="BN49" s="76"/>
    </row>
    <row r="50" customFormat="false" ht="14.25" hidden="false" customHeight="false" outlineLevel="0" collapsed="false">
      <c r="A50" s="29" t="n">
        <f aca="false">A49+1</f>
        <v>45</v>
      </c>
      <c r="B50" s="77" t="n">
        <f aca="false">IF(MOD($A50-1, 12) = 0, $B49 * 1.05, $B49)</f>
        <v>1736.4375</v>
      </c>
      <c r="C50" s="78" t="n">
        <f aca="false">$B50*(1-'Inputs &amp; Assuptions'!$C$12)</f>
        <v>1354.42125</v>
      </c>
      <c r="E50" s="29" t="n">
        <f aca="false">E49+1</f>
        <v>45</v>
      </c>
      <c r="F50" s="79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 t="n">
        <f aca="false">$C50</f>
        <v>1354.42125</v>
      </c>
      <c r="AY50" s="80" t="n">
        <f aca="false" t="array" ref="AY50:AY50">IF(COLUMN() - ($E50 + 5) &lt; 0, 0,
  IF(COLUMN() - ($E50 + 5) = 0, $F50,
    AX50 * (1 - IFERROR(INDEX('Inputs &amp; Assuptions'!$C$13:$C$72, COLUMN() - ($E50 + 5)), 0))
  )
)</f>
        <v>1283.314134375</v>
      </c>
      <c r="AZ50" s="80" t="n">
        <f aca="false" t="array" ref="AZ50:AZ50">IF(COLUMN() - ($E50 + 5) &lt; 0, 0,
  IF(COLUMN() - ($E50 + 5) = 0, $F50,
    AY50 * (1 - IFERROR(INDEX('Inputs &amp; Assuptions'!$C$13:$C$72, COLUMN() - ($E50 + 5)), 0))
  )
)</f>
        <v>1231.981569</v>
      </c>
      <c r="BA50" s="80" t="n">
        <f aca="false" t="array" ref="BA50:BA50">IF(COLUMN() - ($E50 + 5) &lt; 0, 0,
  IF(COLUMN() - ($E50 + 5) = 0, $F50,
    AZ50 * (1 - IFERROR(INDEX('Inputs &amp; Assuptions'!$C$13:$C$72, COLUMN() - ($E50 + 5)), 0))
  )
)</f>
        <v>1198.1020758525</v>
      </c>
      <c r="BB50" s="80" t="n">
        <f aca="false" t="array" ref="BB50:BB50">IF(COLUMN() - ($E50 + 5) &lt; 0, 0,
  IF(COLUMN() - ($E50 + 5) = 0, $F50,
    BA50 * (1 - IFERROR(INDEX('Inputs &amp; Assuptions'!$C$13:$C$72, COLUMN() - ($E50 + 5)), 0))
  )
)</f>
        <v>1168.14952395619</v>
      </c>
      <c r="BC50" s="80" t="n">
        <f aca="false" t="array" ref="BC50:BC50">IF(COLUMN() - ($E50 + 5) &lt; 0, 0,
  IF(COLUMN() - ($E50 + 5) = 0, $F50,
    BB50 * (1 - IFERROR(INDEX('Inputs &amp; Assuptions'!$C$13:$C$72, COLUMN() - ($E50 + 5)), 0))
  )
)</f>
        <v>1141.86615966717</v>
      </c>
      <c r="BD50" s="80" t="n">
        <f aca="false" t="array" ref="BD50:BD50">IF(COLUMN() - ($E50 + 5) &lt; 0, 0,
  IF(COLUMN() - ($E50 + 5) = 0, $F50,
    BC50 * (1 - IFERROR(INDEX('Inputs &amp; Assuptions'!$C$13:$C$72, COLUMN() - ($E50 + 5)), 0))
  )
)</f>
        <v>1119.02883647383</v>
      </c>
      <c r="BE50" s="80" t="n">
        <f aca="false" t="array" ref="BE50:BE50">IF(COLUMN() - ($E50 + 5) &lt; 0, 0,
  IF(COLUMN() - ($E50 + 5) = 0, $F50,
    BD50 * (1 - IFERROR(INDEX('Inputs &amp; Assuptions'!$C$13:$C$72, COLUMN() - ($E50 + 5)), 0))
  )
)</f>
        <v>1099.44583183554</v>
      </c>
      <c r="BF50" s="80" t="n">
        <f aca="false" t="array" ref="BF50:BF50">IF(COLUMN() - ($E50 + 5) &lt; 0, 0,
  IF(COLUMN() - ($E50 + 5) = 0, $F50,
    BE50 * (1 - IFERROR(INDEX('Inputs &amp; Assuptions'!$C$13:$C$72, COLUMN() - ($E50 + 5)), 0))
  )
)</f>
        <v>1082.95414435801</v>
      </c>
      <c r="BG50" s="80" t="n">
        <f aca="false" t="array" ref="BG50:BG50">IF(COLUMN() - ($E50 + 5) &lt; 0, 0,
  IF(COLUMN() - ($E50 + 5) = 0, $F50,
    BF50 * (1 - IFERROR(INDEX('Inputs &amp; Assuptions'!$C$13:$C$72, COLUMN() - ($E50 + 5)), 0))
  )
)</f>
        <v>1069.41721755353</v>
      </c>
      <c r="BH50" s="80" t="n">
        <f aca="false" t="array" ref="BH50:BH50">IF(COLUMN() - ($E50 + 5) &lt; 0, 0,
  IF(COLUMN() - ($E50 + 5) = 0, $F50,
    BG50 * (1 - IFERROR(INDEX('Inputs &amp; Assuptions'!$C$13:$C$72, COLUMN() - ($E50 + 5)), 0))
  )
)</f>
        <v>1058.72304537799</v>
      </c>
      <c r="BI50" s="80" t="n">
        <f aca="false" t="array" ref="BI50:BI50">IF(COLUMN() - ($E50 + 5) &lt; 0, 0,
  IF(COLUMN() - ($E50 + 5) = 0, $F50,
    BH50 * (1 - IFERROR(INDEX('Inputs &amp; Assuptions'!$C$13:$C$72, COLUMN() - ($E50 + 5)), 0))
  )
)</f>
        <v>1053.4294301511</v>
      </c>
      <c r="BJ50" s="80" t="n">
        <f aca="false" t="array" ref="BJ50:BJ50">IF(COLUMN() - ($E50 + 5) &lt; 0, 0,
  IF(COLUMN() - ($E50 + 5) = 0, $F50,
    BI50 * (1 - IFERROR(INDEX('Inputs &amp; Assuptions'!$C$13:$C$72, COLUMN() - ($E50 + 5)), 0))
  )
)</f>
        <v>1048.16228300035</v>
      </c>
      <c r="BK50" s="80" t="n">
        <f aca="false" t="array" ref="BK50:BK50">IF(COLUMN() - ($E50 + 5) &lt; 0, 0,
  IF(COLUMN() - ($E50 + 5) = 0, $F50,
    BJ50 * (1 - IFERROR(INDEX('Inputs &amp; Assuptions'!$C$13:$C$72, COLUMN() - ($E50 + 5)), 0))
  )
)</f>
        <v>1042.92147158535</v>
      </c>
      <c r="BL50" s="80" t="n">
        <f aca="false" t="array" ref="BL50:BL50">IF(COLUMN() - ($E50 + 5) &lt; 0, 0,
  IF(COLUMN() - ($E50 + 5) = 0, $F50,
    BK50 * (1 - IFERROR(INDEX('Inputs &amp; Assuptions'!$C$13:$C$72, COLUMN() - ($E50 + 5)), 0))
  )
)</f>
        <v>1037.70686422742</v>
      </c>
      <c r="BM50" s="81" t="n">
        <f aca="false" t="array" ref="BM50:BM50">IF(COLUMN() - ($E50 + 5) &lt; 0, 0,
  IF(COLUMN() - ($E50 + 5) = 0, $F50,
    BL50 * (1 - IFERROR(INDEX('Inputs &amp; Assuptions'!$C$13:$C$72, COLUMN() - ($E50 + 5)), 0))
  )
)</f>
        <v>1032.51832990628</v>
      </c>
      <c r="BN50" s="76"/>
    </row>
    <row r="51" customFormat="false" ht="14.25" hidden="false" customHeight="false" outlineLevel="0" collapsed="false">
      <c r="A51" s="29" t="n">
        <f aca="false">A50+1</f>
        <v>46</v>
      </c>
      <c r="B51" s="77" t="n">
        <f aca="false">IF(MOD($A51-1, 12) = 0, $B50 * 1.05, $B50)</f>
        <v>1736.4375</v>
      </c>
      <c r="C51" s="78" t="n">
        <f aca="false">$B51*(1-'Inputs &amp; Assuptions'!$C$12)</f>
        <v>1354.42125</v>
      </c>
      <c r="E51" s="29" t="n">
        <f aca="false">E50+1</f>
        <v>46</v>
      </c>
      <c r="F51" s="79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 t="n">
        <f aca="false">$C51</f>
        <v>1354.42125</v>
      </c>
      <c r="AZ51" s="80" t="n">
        <f aca="false" t="array" ref="AZ51:AZ51">IF(COLUMN() - ($E51 + 5) &lt; 0, 0,
  IF(COLUMN() - ($E51 + 5) = 0, $F51,
    AY51 * (1 - IFERROR(INDEX('Inputs &amp; Assuptions'!$C$13:$C$72, COLUMN() - ($E51 + 5)), 0))
  )
)</f>
        <v>1283.314134375</v>
      </c>
      <c r="BA51" s="80" t="n">
        <f aca="false" t="array" ref="BA51:BA51">IF(COLUMN() - ($E51 + 5) &lt; 0, 0,
  IF(COLUMN() - ($E51 + 5) = 0, $F51,
    AZ51 * (1 - IFERROR(INDEX('Inputs &amp; Assuptions'!$C$13:$C$72, COLUMN() - ($E51 + 5)), 0))
  )
)</f>
        <v>1231.981569</v>
      </c>
      <c r="BB51" s="80" t="n">
        <f aca="false" t="array" ref="BB51:BB51">IF(COLUMN() - ($E51 + 5) &lt; 0, 0,
  IF(COLUMN() - ($E51 + 5) = 0, $F51,
    BA51 * (1 - IFERROR(INDEX('Inputs &amp; Assuptions'!$C$13:$C$72, COLUMN() - ($E51 + 5)), 0))
  )
)</f>
        <v>1198.1020758525</v>
      </c>
      <c r="BC51" s="80" t="n">
        <f aca="false" t="array" ref="BC51:BC51">IF(COLUMN() - ($E51 + 5) &lt; 0, 0,
  IF(COLUMN() - ($E51 + 5) = 0, $F51,
    BB51 * (1 - IFERROR(INDEX('Inputs &amp; Assuptions'!$C$13:$C$72, COLUMN() - ($E51 + 5)), 0))
  )
)</f>
        <v>1168.14952395619</v>
      </c>
      <c r="BD51" s="80" t="n">
        <f aca="false" t="array" ref="BD51:BD51">IF(COLUMN() - ($E51 + 5) &lt; 0, 0,
  IF(COLUMN() - ($E51 + 5) = 0, $F51,
    BC51 * (1 - IFERROR(INDEX('Inputs &amp; Assuptions'!$C$13:$C$72, COLUMN() - ($E51 + 5)), 0))
  )
)</f>
        <v>1141.86615966717</v>
      </c>
      <c r="BE51" s="80" t="n">
        <f aca="false" t="array" ref="BE51:BE51">IF(COLUMN() - ($E51 + 5) &lt; 0, 0,
  IF(COLUMN() - ($E51 + 5) = 0, $F51,
    BD51 * (1 - IFERROR(INDEX('Inputs &amp; Assuptions'!$C$13:$C$72, COLUMN() - ($E51 + 5)), 0))
  )
)</f>
        <v>1119.02883647383</v>
      </c>
      <c r="BF51" s="80" t="n">
        <f aca="false" t="array" ref="BF51:BF51">IF(COLUMN() - ($E51 + 5) &lt; 0, 0,
  IF(COLUMN() - ($E51 + 5) = 0, $F51,
    BE51 * (1 - IFERROR(INDEX('Inputs &amp; Assuptions'!$C$13:$C$72, COLUMN() - ($E51 + 5)), 0))
  )
)</f>
        <v>1099.44583183554</v>
      </c>
      <c r="BG51" s="80" t="n">
        <f aca="false" t="array" ref="BG51:BG51">IF(COLUMN() - ($E51 + 5) &lt; 0, 0,
  IF(COLUMN() - ($E51 + 5) = 0, $F51,
    BF51 * (1 - IFERROR(INDEX('Inputs &amp; Assuptions'!$C$13:$C$72, COLUMN() - ($E51 + 5)), 0))
  )
)</f>
        <v>1082.95414435801</v>
      </c>
      <c r="BH51" s="80" t="n">
        <f aca="false" t="array" ref="BH51:BH51">IF(COLUMN() - ($E51 + 5) &lt; 0, 0,
  IF(COLUMN() - ($E51 + 5) = 0, $F51,
    BG51 * (1 - IFERROR(INDEX('Inputs &amp; Assuptions'!$C$13:$C$72, COLUMN() - ($E51 + 5)), 0))
  )
)</f>
        <v>1069.41721755353</v>
      </c>
      <c r="BI51" s="80" t="n">
        <f aca="false" t="array" ref="BI51:BI51">IF(COLUMN() - ($E51 + 5) &lt; 0, 0,
  IF(COLUMN() - ($E51 + 5) = 0, $F51,
    BH51 * (1 - IFERROR(INDEX('Inputs &amp; Assuptions'!$C$13:$C$72, COLUMN() - ($E51 + 5)), 0))
  )
)</f>
        <v>1058.72304537799</v>
      </c>
      <c r="BJ51" s="80" t="n">
        <f aca="false" t="array" ref="BJ51:BJ51">IF(COLUMN() - ($E51 + 5) &lt; 0, 0,
  IF(COLUMN() - ($E51 + 5) = 0, $F51,
    BI51 * (1 - IFERROR(INDEX('Inputs &amp; Assuptions'!$C$13:$C$72, COLUMN() - ($E51 + 5)), 0))
  )
)</f>
        <v>1053.4294301511</v>
      </c>
      <c r="BK51" s="80" t="n">
        <f aca="false" t="array" ref="BK51:BK51">IF(COLUMN() - ($E51 + 5) &lt; 0, 0,
  IF(COLUMN() - ($E51 + 5) = 0, $F51,
    BJ51 * (1 - IFERROR(INDEX('Inputs &amp; Assuptions'!$C$13:$C$72, COLUMN() - ($E51 + 5)), 0))
  )
)</f>
        <v>1048.16228300035</v>
      </c>
      <c r="BL51" s="80" t="n">
        <f aca="false" t="array" ref="BL51:BL51">IF(COLUMN() - ($E51 + 5) &lt; 0, 0,
  IF(COLUMN() - ($E51 + 5) = 0, $F51,
    BK51 * (1 - IFERROR(INDEX('Inputs &amp; Assuptions'!$C$13:$C$72, COLUMN() - ($E51 + 5)), 0))
  )
)</f>
        <v>1042.92147158535</v>
      </c>
      <c r="BM51" s="81" t="n">
        <f aca="false" t="array" ref="BM51:BM51">IF(COLUMN() - ($E51 + 5) &lt; 0, 0,
  IF(COLUMN() - ($E51 + 5) = 0, $F51,
    BL51 * (1 - IFERROR(INDEX('Inputs &amp; Assuptions'!$C$13:$C$72, COLUMN() - ($E51 + 5)), 0))
  )
)</f>
        <v>1037.70686422742</v>
      </c>
      <c r="BN51" s="76"/>
    </row>
    <row r="52" customFormat="false" ht="14.25" hidden="false" customHeight="false" outlineLevel="0" collapsed="false">
      <c r="A52" s="29" t="n">
        <f aca="false">A51+1</f>
        <v>47</v>
      </c>
      <c r="B52" s="77" t="n">
        <f aca="false">IF(MOD($A52-1, 12) = 0, $B51 * 1.05, $B51)</f>
        <v>1736.4375</v>
      </c>
      <c r="C52" s="78" t="n">
        <f aca="false">$B52*(1-'Inputs &amp; Assuptions'!$C$12)</f>
        <v>1354.42125</v>
      </c>
      <c r="E52" s="29" t="n">
        <f aca="false">E51+1</f>
        <v>47</v>
      </c>
      <c r="F52" s="79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 t="n">
        <f aca="false">$C52</f>
        <v>1354.42125</v>
      </c>
      <c r="BA52" s="80" t="n">
        <f aca="false" t="array" ref="BA52:BA52">IF(COLUMN() - ($E52 + 5) &lt; 0, 0,
  IF(COLUMN() - ($E52 + 5) = 0, $F52,
    AZ52 * (1 - IFERROR(INDEX('Inputs &amp; Assuptions'!$C$13:$C$72, COLUMN() - ($E52 + 5)), 0))
  )
)</f>
        <v>1283.314134375</v>
      </c>
      <c r="BB52" s="80" t="n">
        <f aca="false" t="array" ref="BB52:BB52">IF(COLUMN() - ($E52 + 5) &lt; 0, 0,
  IF(COLUMN() - ($E52 + 5) = 0, $F52,
    BA52 * (1 - IFERROR(INDEX('Inputs &amp; Assuptions'!$C$13:$C$72, COLUMN() - ($E52 + 5)), 0))
  )
)</f>
        <v>1231.981569</v>
      </c>
      <c r="BC52" s="80" t="n">
        <f aca="false" t="array" ref="BC52:BC52">IF(COLUMN() - ($E52 + 5) &lt; 0, 0,
  IF(COLUMN() - ($E52 + 5) = 0, $F52,
    BB52 * (1 - IFERROR(INDEX('Inputs &amp; Assuptions'!$C$13:$C$72, COLUMN() - ($E52 + 5)), 0))
  )
)</f>
        <v>1198.1020758525</v>
      </c>
      <c r="BD52" s="80" t="n">
        <f aca="false" t="array" ref="BD52:BD52">IF(COLUMN() - ($E52 + 5) &lt; 0, 0,
  IF(COLUMN() - ($E52 + 5) = 0, $F52,
    BC52 * (1 - IFERROR(INDEX('Inputs &amp; Assuptions'!$C$13:$C$72, COLUMN() - ($E52 + 5)), 0))
  )
)</f>
        <v>1168.14952395619</v>
      </c>
      <c r="BE52" s="80" t="n">
        <f aca="false" t="array" ref="BE52:BE52">IF(COLUMN() - ($E52 + 5) &lt; 0, 0,
  IF(COLUMN() - ($E52 + 5) = 0, $F52,
    BD52 * (1 - IFERROR(INDEX('Inputs &amp; Assuptions'!$C$13:$C$72, COLUMN() - ($E52 + 5)), 0))
  )
)</f>
        <v>1141.86615966717</v>
      </c>
      <c r="BF52" s="80" t="n">
        <f aca="false" t="array" ref="BF52:BF52">IF(COLUMN() - ($E52 + 5) &lt; 0, 0,
  IF(COLUMN() - ($E52 + 5) = 0, $F52,
    BE52 * (1 - IFERROR(INDEX('Inputs &amp; Assuptions'!$C$13:$C$72, COLUMN() - ($E52 + 5)), 0))
  )
)</f>
        <v>1119.02883647383</v>
      </c>
      <c r="BG52" s="80" t="n">
        <f aca="false" t="array" ref="BG52:BG52">IF(COLUMN() - ($E52 + 5) &lt; 0, 0,
  IF(COLUMN() - ($E52 + 5) = 0, $F52,
    BF52 * (1 - IFERROR(INDEX('Inputs &amp; Assuptions'!$C$13:$C$72, COLUMN() - ($E52 + 5)), 0))
  )
)</f>
        <v>1099.44583183554</v>
      </c>
      <c r="BH52" s="80" t="n">
        <f aca="false" t="array" ref="BH52:BH52">IF(COLUMN() - ($E52 + 5) &lt; 0, 0,
  IF(COLUMN() - ($E52 + 5) = 0, $F52,
    BG52 * (1 - IFERROR(INDEX('Inputs &amp; Assuptions'!$C$13:$C$72, COLUMN() - ($E52 + 5)), 0))
  )
)</f>
        <v>1082.95414435801</v>
      </c>
      <c r="BI52" s="80" t="n">
        <f aca="false" t="array" ref="BI52:BI52">IF(COLUMN() - ($E52 + 5) &lt; 0, 0,
  IF(COLUMN() - ($E52 + 5) = 0, $F52,
    BH52 * (1 - IFERROR(INDEX('Inputs &amp; Assuptions'!$C$13:$C$72, COLUMN() - ($E52 + 5)), 0))
  )
)</f>
        <v>1069.41721755353</v>
      </c>
      <c r="BJ52" s="80" t="n">
        <f aca="false" t="array" ref="BJ52:BJ52">IF(COLUMN() - ($E52 + 5) &lt; 0, 0,
  IF(COLUMN() - ($E52 + 5) = 0, $F52,
    BI52 * (1 - IFERROR(INDEX('Inputs &amp; Assuptions'!$C$13:$C$72, COLUMN() - ($E52 + 5)), 0))
  )
)</f>
        <v>1058.72304537799</v>
      </c>
      <c r="BK52" s="80" t="n">
        <f aca="false" t="array" ref="BK52:BK52">IF(COLUMN() - ($E52 + 5) &lt; 0, 0,
  IF(COLUMN() - ($E52 + 5) = 0, $F52,
    BJ52 * (1 - IFERROR(INDEX('Inputs &amp; Assuptions'!$C$13:$C$72, COLUMN() - ($E52 + 5)), 0))
  )
)</f>
        <v>1053.4294301511</v>
      </c>
      <c r="BL52" s="80" t="n">
        <f aca="false" t="array" ref="BL52:BL52">IF(COLUMN() - ($E52 + 5) &lt; 0, 0,
  IF(COLUMN() - ($E52 + 5) = 0, $F52,
    BK52 * (1 - IFERROR(INDEX('Inputs &amp; Assuptions'!$C$13:$C$72, COLUMN() - ($E52 + 5)), 0))
  )
)</f>
        <v>1048.16228300035</v>
      </c>
      <c r="BM52" s="81" t="n">
        <f aca="false" t="array" ref="BM52:BM52">IF(COLUMN() - ($E52 + 5) &lt; 0, 0,
  IF(COLUMN() - ($E52 + 5) = 0, $F52,
    BL52 * (1 - IFERROR(INDEX('Inputs &amp; Assuptions'!$C$13:$C$72, COLUMN() - ($E52 + 5)), 0))
  )
)</f>
        <v>1042.92147158535</v>
      </c>
      <c r="BN52" s="76"/>
    </row>
    <row r="53" customFormat="false" ht="14.25" hidden="false" customHeight="false" outlineLevel="0" collapsed="false">
      <c r="A53" s="29" t="n">
        <f aca="false">A52+1</f>
        <v>48</v>
      </c>
      <c r="B53" s="77" t="n">
        <f aca="false">IF(MOD($A53-1, 12) = 0, $B52 * 1.05, $B52)</f>
        <v>1736.4375</v>
      </c>
      <c r="C53" s="78" t="n">
        <f aca="false">$B53*(1-'Inputs &amp; Assuptions'!$C$12)</f>
        <v>1354.42125</v>
      </c>
      <c r="E53" s="29" t="n">
        <f aca="false">E52+1</f>
        <v>48</v>
      </c>
      <c r="F53" s="79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 t="n">
        <f aca="false">$C53</f>
        <v>1354.42125</v>
      </c>
      <c r="BB53" s="80" t="n">
        <f aca="false" t="array" ref="BB53:BB53">IF(COLUMN() - ($E53 + 5) &lt; 0, 0,
  IF(COLUMN() - ($E53 + 5) = 0, $F53,
    BA53 * (1 - IFERROR(INDEX('Inputs &amp; Assuptions'!$C$13:$C$72, COLUMN() - ($E53 + 5)), 0))
  )
)</f>
        <v>1283.314134375</v>
      </c>
      <c r="BC53" s="80" t="n">
        <f aca="false" t="array" ref="BC53:BC53">IF(COLUMN() - ($E53 + 5) &lt; 0, 0,
  IF(COLUMN() - ($E53 + 5) = 0, $F53,
    BB53 * (1 - IFERROR(INDEX('Inputs &amp; Assuptions'!$C$13:$C$72, COLUMN() - ($E53 + 5)), 0))
  )
)</f>
        <v>1231.981569</v>
      </c>
      <c r="BD53" s="80" t="n">
        <f aca="false" t="array" ref="BD53:BD53">IF(COLUMN() - ($E53 + 5) &lt; 0, 0,
  IF(COLUMN() - ($E53 + 5) = 0, $F53,
    BC53 * (1 - IFERROR(INDEX('Inputs &amp; Assuptions'!$C$13:$C$72, COLUMN() - ($E53 + 5)), 0))
  )
)</f>
        <v>1198.1020758525</v>
      </c>
      <c r="BE53" s="80" t="n">
        <f aca="false" t="array" ref="BE53:BE53">IF(COLUMN() - ($E53 + 5) &lt; 0, 0,
  IF(COLUMN() - ($E53 + 5) = 0, $F53,
    BD53 * (1 - IFERROR(INDEX('Inputs &amp; Assuptions'!$C$13:$C$72, COLUMN() - ($E53 + 5)), 0))
  )
)</f>
        <v>1168.14952395619</v>
      </c>
      <c r="BF53" s="80" t="n">
        <f aca="false" t="array" ref="BF53:BF53">IF(COLUMN() - ($E53 + 5) &lt; 0, 0,
  IF(COLUMN() - ($E53 + 5) = 0, $F53,
    BE53 * (1 - IFERROR(INDEX('Inputs &amp; Assuptions'!$C$13:$C$72, COLUMN() - ($E53 + 5)), 0))
  )
)</f>
        <v>1141.86615966717</v>
      </c>
      <c r="BG53" s="80" t="n">
        <f aca="false" t="array" ref="BG53:BG53">IF(COLUMN() - ($E53 + 5) &lt; 0, 0,
  IF(COLUMN() - ($E53 + 5) = 0, $F53,
    BF53 * (1 - IFERROR(INDEX('Inputs &amp; Assuptions'!$C$13:$C$72, COLUMN() - ($E53 + 5)), 0))
  )
)</f>
        <v>1119.02883647383</v>
      </c>
      <c r="BH53" s="80" t="n">
        <f aca="false" t="array" ref="BH53:BH53">IF(COLUMN() - ($E53 + 5) &lt; 0, 0,
  IF(COLUMN() - ($E53 + 5) = 0, $F53,
    BG53 * (1 - IFERROR(INDEX('Inputs &amp; Assuptions'!$C$13:$C$72, COLUMN() - ($E53 + 5)), 0))
  )
)</f>
        <v>1099.44583183554</v>
      </c>
      <c r="BI53" s="80" t="n">
        <f aca="false" t="array" ref="BI53:BI53">IF(COLUMN() - ($E53 + 5) &lt; 0, 0,
  IF(COLUMN() - ($E53 + 5) = 0, $F53,
    BH53 * (1 - IFERROR(INDEX('Inputs &amp; Assuptions'!$C$13:$C$72, COLUMN() - ($E53 + 5)), 0))
  )
)</f>
        <v>1082.95414435801</v>
      </c>
      <c r="BJ53" s="80" t="n">
        <f aca="false" t="array" ref="BJ53:BJ53">IF(COLUMN() - ($E53 + 5) &lt; 0, 0,
  IF(COLUMN() - ($E53 + 5) = 0, $F53,
    BI53 * (1 - IFERROR(INDEX('Inputs &amp; Assuptions'!$C$13:$C$72, COLUMN() - ($E53 + 5)), 0))
  )
)</f>
        <v>1069.41721755353</v>
      </c>
      <c r="BK53" s="80" t="n">
        <f aca="false" t="array" ref="BK53:BK53">IF(COLUMN() - ($E53 + 5) &lt; 0, 0,
  IF(COLUMN() - ($E53 + 5) = 0, $F53,
    BJ53 * (1 - IFERROR(INDEX('Inputs &amp; Assuptions'!$C$13:$C$72, COLUMN() - ($E53 + 5)), 0))
  )
)</f>
        <v>1058.72304537799</v>
      </c>
      <c r="BL53" s="80" t="n">
        <f aca="false" t="array" ref="BL53:BL53">IF(COLUMN() - ($E53 + 5) &lt; 0, 0,
  IF(COLUMN() - ($E53 + 5) = 0, $F53,
    BK53 * (1 - IFERROR(INDEX('Inputs &amp; Assuptions'!$C$13:$C$72, COLUMN() - ($E53 + 5)), 0))
  )
)</f>
        <v>1053.4294301511</v>
      </c>
      <c r="BM53" s="81" t="n">
        <f aca="false" t="array" ref="BM53:BM53">IF(COLUMN() - ($E53 + 5) &lt; 0, 0,
  IF(COLUMN() - ($E53 + 5) = 0, $F53,
    BL53 * (1 - IFERROR(INDEX('Inputs &amp; Assuptions'!$C$13:$C$72, COLUMN() - ($E53 + 5)), 0))
  )
)</f>
        <v>1048.16228300035</v>
      </c>
      <c r="BN53" s="76"/>
    </row>
    <row r="54" customFormat="false" ht="14.25" hidden="false" customHeight="false" outlineLevel="0" collapsed="false">
      <c r="A54" s="29" t="n">
        <f aca="false">A53+1</f>
        <v>49</v>
      </c>
      <c r="B54" s="77" t="n">
        <f aca="false">IF(MOD($A54-1, 12) = 0, $B53 * 1.05, $B53)</f>
        <v>1823.259375</v>
      </c>
      <c r="C54" s="78" t="n">
        <f aca="false">$B54*(1-'Inputs &amp; Assuptions'!$C$12)</f>
        <v>1422.1423125</v>
      </c>
      <c r="E54" s="29" t="n">
        <f aca="false">E53+1</f>
        <v>49</v>
      </c>
      <c r="F54" s="79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 t="n">
        <f aca="false">$C54</f>
        <v>1422.1423125</v>
      </c>
      <c r="BC54" s="80" t="n">
        <f aca="false" t="array" ref="BC54:BC54">IF(COLUMN() - ($E54 + 5) &lt; 0, 0,
  IF(COLUMN() - ($E54 + 5) = 0, $F54,
    BB54 * (1 - IFERROR(INDEX('Inputs &amp; Assuptions'!$C$13:$C$72, COLUMN() - ($E54 + 5)), 0))
  )
)</f>
        <v>1347.47984109375</v>
      </c>
      <c r="BD54" s="80" t="n">
        <f aca="false" t="array" ref="BD54:BD54">IF(COLUMN() - ($E54 + 5) &lt; 0, 0,
  IF(COLUMN() - ($E54 + 5) = 0, $F54,
    BC54 * (1 - IFERROR(INDEX('Inputs &amp; Assuptions'!$C$13:$C$72, COLUMN() - ($E54 + 5)), 0))
  )
)</f>
        <v>1293.58064745</v>
      </c>
      <c r="BE54" s="80" t="n">
        <f aca="false" t="array" ref="BE54:BE54">IF(COLUMN() - ($E54 + 5) &lt; 0, 0,
  IF(COLUMN() - ($E54 + 5) = 0, $F54,
    BD54 * (1 - IFERROR(INDEX('Inputs &amp; Assuptions'!$C$13:$C$72, COLUMN() - ($E54 + 5)), 0))
  )
)</f>
        <v>1258.00717964513</v>
      </c>
      <c r="BF54" s="80" t="n">
        <f aca="false" t="array" ref="BF54:BF54">IF(COLUMN() - ($E54 + 5) &lt; 0, 0,
  IF(COLUMN() - ($E54 + 5) = 0, $F54,
    BE54 * (1 - IFERROR(INDEX('Inputs &amp; Assuptions'!$C$13:$C$72, COLUMN() - ($E54 + 5)), 0))
  )
)</f>
        <v>1226.557000154</v>
      </c>
      <c r="BG54" s="80" t="n">
        <f aca="false" t="array" ref="BG54:BG54">IF(COLUMN() - ($E54 + 5) &lt; 0, 0,
  IF(COLUMN() - ($E54 + 5) = 0, $F54,
    BF54 * (1 - IFERROR(INDEX('Inputs &amp; Assuptions'!$C$13:$C$72, COLUMN() - ($E54 + 5)), 0))
  )
)</f>
        <v>1198.95946765053</v>
      </c>
      <c r="BH54" s="80" t="n">
        <f aca="false" t="array" ref="BH54:BH54">IF(COLUMN() - ($E54 + 5) &lt; 0, 0,
  IF(COLUMN() - ($E54 + 5) = 0, $F54,
    BG54 * (1 - IFERROR(INDEX('Inputs &amp; Assuptions'!$C$13:$C$72, COLUMN() - ($E54 + 5)), 0))
  )
)</f>
        <v>1174.98027829752</v>
      </c>
      <c r="BI54" s="80" t="n">
        <f aca="false" t="array" ref="BI54:BI54">IF(COLUMN() - ($E54 + 5) &lt; 0, 0,
  IF(COLUMN() - ($E54 + 5) = 0, $F54,
    BH54 * (1 - IFERROR(INDEX('Inputs &amp; Assuptions'!$C$13:$C$72, COLUMN() - ($E54 + 5)), 0))
  )
)</f>
        <v>1154.41812342731</v>
      </c>
      <c r="BJ54" s="80" t="n">
        <f aca="false" t="array" ref="BJ54:BJ54">IF(COLUMN() - ($E54 + 5) &lt; 0, 0,
  IF(COLUMN() - ($E54 + 5) = 0, $F54,
    BI54 * (1 - IFERROR(INDEX('Inputs &amp; Assuptions'!$C$13:$C$72, COLUMN() - ($E54 + 5)), 0))
  )
)</f>
        <v>1137.10185157591</v>
      </c>
      <c r="BK54" s="80" t="n">
        <f aca="false" t="array" ref="BK54:BK54">IF(COLUMN() - ($E54 + 5) &lt; 0, 0,
  IF(COLUMN() - ($E54 + 5) = 0, $F54,
    BJ54 * (1 - IFERROR(INDEX('Inputs &amp; Assuptions'!$C$13:$C$72, COLUMN() - ($E54 + 5)), 0))
  )
)</f>
        <v>1122.88807843121</v>
      </c>
      <c r="BL54" s="80" t="n">
        <f aca="false" t="array" ref="BL54:BL54">IF(COLUMN() - ($E54 + 5) &lt; 0, 0,
  IF(COLUMN() - ($E54 + 5) = 0, $F54,
    BK54 * (1 - IFERROR(INDEX('Inputs &amp; Assuptions'!$C$13:$C$72, COLUMN() - ($E54 + 5)), 0))
  )
)</f>
        <v>1111.65919764689</v>
      </c>
      <c r="BM54" s="81" t="n">
        <f aca="false" t="array" ref="BM54:BM54">IF(COLUMN() - ($E54 + 5) &lt; 0, 0,
  IF(COLUMN() - ($E54 + 5) = 0, $F54,
    BL54 * (1 - IFERROR(INDEX('Inputs &amp; Assuptions'!$C$13:$C$72, COLUMN() - ($E54 + 5)), 0))
  )
)</f>
        <v>1106.10090165866</v>
      </c>
      <c r="BN54" s="76"/>
    </row>
    <row r="55" customFormat="false" ht="14.25" hidden="false" customHeight="false" outlineLevel="0" collapsed="false">
      <c r="A55" s="29" t="n">
        <f aca="false">A54+1</f>
        <v>50</v>
      </c>
      <c r="B55" s="77" t="n">
        <f aca="false">IF(MOD($A55-1, 12) = 0, $B54 * 1.05, $B54)</f>
        <v>1823.259375</v>
      </c>
      <c r="C55" s="78" t="n">
        <f aca="false">$B55*(1-'Inputs &amp; Assuptions'!$C$12)</f>
        <v>1422.1423125</v>
      </c>
      <c r="E55" s="29" t="n">
        <f aca="false">E54+1</f>
        <v>50</v>
      </c>
      <c r="F55" s="79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 t="n">
        <f aca="false">$C55</f>
        <v>1422.1423125</v>
      </c>
      <c r="BD55" s="80" t="n">
        <f aca="false" t="array" ref="BD55:BD55">IF(COLUMN() - ($E55 + 5) &lt; 0, 0,
  IF(COLUMN() - ($E55 + 5) = 0, $F55,
    BC55 * (1 - IFERROR(INDEX('Inputs &amp; Assuptions'!$C$13:$C$72, COLUMN() - ($E55 + 5)), 0))
  )
)</f>
        <v>1347.47984109375</v>
      </c>
      <c r="BE55" s="80" t="n">
        <f aca="false" t="array" ref="BE55:BE55">IF(COLUMN() - ($E55 + 5) &lt; 0, 0,
  IF(COLUMN() - ($E55 + 5) = 0, $F55,
    BD55 * (1 - IFERROR(INDEX('Inputs &amp; Assuptions'!$C$13:$C$72, COLUMN() - ($E55 + 5)), 0))
  )
)</f>
        <v>1293.58064745</v>
      </c>
      <c r="BF55" s="80" t="n">
        <f aca="false" t="array" ref="BF55:BF55">IF(COLUMN() - ($E55 + 5) &lt; 0, 0,
  IF(COLUMN() - ($E55 + 5) = 0, $F55,
    BE55 * (1 - IFERROR(INDEX('Inputs &amp; Assuptions'!$C$13:$C$72, COLUMN() - ($E55 + 5)), 0))
  )
)</f>
        <v>1258.00717964513</v>
      </c>
      <c r="BG55" s="80" t="n">
        <f aca="false" t="array" ref="BG55:BG55">IF(COLUMN() - ($E55 + 5) &lt; 0, 0,
  IF(COLUMN() - ($E55 + 5) = 0, $F55,
    BF55 * (1 - IFERROR(INDEX('Inputs &amp; Assuptions'!$C$13:$C$72, COLUMN() - ($E55 + 5)), 0))
  )
)</f>
        <v>1226.557000154</v>
      </c>
      <c r="BH55" s="80" t="n">
        <f aca="false" t="array" ref="BH55:BH55">IF(COLUMN() - ($E55 + 5) &lt; 0, 0,
  IF(COLUMN() - ($E55 + 5) = 0, $F55,
    BG55 * (1 - IFERROR(INDEX('Inputs &amp; Assuptions'!$C$13:$C$72, COLUMN() - ($E55 + 5)), 0))
  )
)</f>
        <v>1198.95946765053</v>
      </c>
      <c r="BI55" s="80" t="n">
        <f aca="false" t="array" ref="BI55:BI55">IF(COLUMN() - ($E55 + 5) &lt; 0, 0,
  IF(COLUMN() - ($E55 + 5) = 0, $F55,
    BH55 * (1 - IFERROR(INDEX('Inputs &amp; Assuptions'!$C$13:$C$72, COLUMN() - ($E55 + 5)), 0))
  )
)</f>
        <v>1174.98027829752</v>
      </c>
      <c r="BJ55" s="80" t="n">
        <f aca="false" t="array" ref="BJ55:BJ55">IF(COLUMN() - ($E55 + 5) &lt; 0, 0,
  IF(COLUMN() - ($E55 + 5) = 0, $F55,
    BI55 * (1 - IFERROR(INDEX('Inputs &amp; Assuptions'!$C$13:$C$72, COLUMN() - ($E55 + 5)), 0))
  )
)</f>
        <v>1154.41812342731</v>
      </c>
      <c r="BK55" s="80" t="n">
        <f aca="false" t="array" ref="BK55:BK55">IF(COLUMN() - ($E55 + 5) &lt; 0, 0,
  IF(COLUMN() - ($E55 + 5) = 0, $F55,
    BJ55 * (1 - IFERROR(INDEX('Inputs &amp; Assuptions'!$C$13:$C$72, COLUMN() - ($E55 + 5)), 0))
  )
)</f>
        <v>1137.10185157591</v>
      </c>
      <c r="BL55" s="80" t="n">
        <f aca="false" t="array" ref="BL55:BL55">IF(COLUMN() - ($E55 + 5) &lt; 0, 0,
  IF(COLUMN() - ($E55 + 5) = 0, $F55,
    BK55 * (1 - IFERROR(INDEX('Inputs &amp; Assuptions'!$C$13:$C$72, COLUMN() - ($E55 + 5)), 0))
  )
)</f>
        <v>1122.88807843121</v>
      </c>
      <c r="BM55" s="81" t="n">
        <f aca="false" t="array" ref="BM55:BM55">IF(COLUMN() - ($E55 + 5) &lt; 0, 0,
  IF(COLUMN() - ($E55 + 5) = 0, $F55,
    BL55 * (1 - IFERROR(INDEX('Inputs &amp; Assuptions'!$C$13:$C$72, COLUMN() - ($E55 + 5)), 0))
  )
)</f>
        <v>1111.65919764689</v>
      </c>
      <c r="BN55" s="76"/>
    </row>
    <row r="56" customFormat="false" ht="14.25" hidden="false" customHeight="false" outlineLevel="0" collapsed="false">
      <c r="A56" s="29" t="n">
        <f aca="false">A55+1</f>
        <v>51</v>
      </c>
      <c r="B56" s="77" t="n">
        <f aca="false">IF(MOD($A56-1, 12) = 0, $B55 * 1.05, $B55)</f>
        <v>1823.259375</v>
      </c>
      <c r="C56" s="78" t="n">
        <f aca="false">$B56*(1-'Inputs &amp; Assuptions'!$C$12)</f>
        <v>1422.1423125</v>
      </c>
      <c r="E56" s="29" t="n">
        <f aca="false">E55+1</f>
        <v>51</v>
      </c>
      <c r="F56" s="79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 t="n">
        <f aca="false">$C56</f>
        <v>1422.1423125</v>
      </c>
      <c r="BE56" s="80" t="n">
        <f aca="false" t="array" ref="BE56:BE56">IF(COLUMN() - ($E56 + 5) &lt; 0, 0,
  IF(COLUMN() - ($E56 + 5) = 0, $F56,
    BD56 * (1 - IFERROR(INDEX('Inputs &amp; Assuptions'!$C$13:$C$72, COLUMN() - ($E56 + 5)), 0))
  )
)</f>
        <v>1347.47984109375</v>
      </c>
      <c r="BF56" s="80" t="n">
        <f aca="false" t="array" ref="BF56:BF56">IF(COLUMN() - ($E56 + 5) &lt; 0, 0,
  IF(COLUMN() - ($E56 + 5) = 0, $F56,
    BE56 * (1 - IFERROR(INDEX('Inputs &amp; Assuptions'!$C$13:$C$72, COLUMN() - ($E56 + 5)), 0))
  )
)</f>
        <v>1293.58064745</v>
      </c>
      <c r="BG56" s="80" t="n">
        <f aca="false" t="array" ref="BG56:BG56">IF(COLUMN() - ($E56 + 5) &lt; 0, 0,
  IF(COLUMN() - ($E56 + 5) = 0, $F56,
    BF56 * (1 - IFERROR(INDEX('Inputs &amp; Assuptions'!$C$13:$C$72, COLUMN() - ($E56 + 5)), 0))
  )
)</f>
        <v>1258.00717964513</v>
      </c>
      <c r="BH56" s="80" t="n">
        <f aca="false" t="array" ref="BH56:BH56">IF(COLUMN() - ($E56 + 5) &lt; 0, 0,
  IF(COLUMN() - ($E56 + 5) = 0, $F56,
    BG56 * (1 - IFERROR(INDEX('Inputs &amp; Assuptions'!$C$13:$C$72, COLUMN() - ($E56 + 5)), 0))
  )
)</f>
        <v>1226.557000154</v>
      </c>
      <c r="BI56" s="80" t="n">
        <f aca="false" t="array" ref="BI56:BI56">IF(COLUMN() - ($E56 + 5) &lt; 0, 0,
  IF(COLUMN() - ($E56 + 5) = 0, $F56,
    BH56 * (1 - IFERROR(INDEX('Inputs &amp; Assuptions'!$C$13:$C$72, COLUMN() - ($E56 + 5)), 0))
  )
)</f>
        <v>1198.95946765053</v>
      </c>
      <c r="BJ56" s="80" t="n">
        <f aca="false" t="array" ref="BJ56:BJ56">IF(COLUMN() - ($E56 + 5) &lt; 0, 0,
  IF(COLUMN() - ($E56 + 5) = 0, $F56,
    BI56 * (1 - IFERROR(INDEX('Inputs &amp; Assuptions'!$C$13:$C$72, COLUMN() - ($E56 + 5)), 0))
  )
)</f>
        <v>1174.98027829752</v>
      </c>
      <c r="BK56" s="80" t="n">
        <f aca="false" t="array" ref="BK56:BK56">IF(COLUMN() - ($E56 + 5) &lt; 0, 0,
  IF(COLUMN() - ($E56 + 5) = 0, $F56,
    BJ56 * (1 - IFERROR(INDEX('Inputs &amp; Assuptions'!$C$13:$C$72, COLUMN() - ($E56 + 5)), 0))
  )
)</f>
        <v>1154.41812342731</v>
      </c>
      <c r="BL56" s="80" t="n">
        <f aca="false" t="array" ref="BL56:BL56">IF(COLUMN() - ($E56 + 5) &lt; 0, 0,
  IF(COLUMN() - ($E56 + 5) = 0, $F56,
    BK56 * (1 - IFERROR(INDEX('Inputs &amp; Assuptions'!$C$13:$C$72, COLUMN() - ($E56 + 5)), 0))
  )
)</f>
        <v>1137.10185157591</v>
      </c>
      <c r="BM56" s="81" t="n">
        <f aca="false" t="array" ref="BM56:BM56">IF(COLUMN() - ($E56 + 5) &lt; 0, 0,
  IF(COLUMN() - ($E56 + 5) = 0, $F56,
    BL56 * (1 - IFERROR(INDEX('Inputs &amp; Assuptions'!$C$13:$C$72, COLUMN() - ($E56 + 5)), 0))
  )
)</f>
        <v>1122.88807843121</v>
      </c>
      <c r="BN56" s="76"/>
    </row>
    <row r="57" customFormat="false" ht="14.25" hidden="false" customHeight="false" outlineLevel="0" collapsed="false">
      <c r="A57" s="29" t="n">
        <f aca="false">A56+1</f>
        <v>52</v>
      </c>
      <c r="B57" s="77" t="n">
        <f aca="false">IF(MOD($A57-1, 12) = 0, $B56 * 1.05, $B56)</f>
        <v>1823.259375</v>
      </c>
      <c r="C57" s="78" t="n">
        <f aca="false">$B57*(1-'Inputs &amp; Assuptions'!$C$12)</f>
        <v>1422.1423125</v>
      </c>
      <c r="E57" s="29" t="n">
        <f aca="false">E56+1</f>
        <v>52</v>
      </c>
      <c r="F57" s="7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 t="n">
        <f aca="false">$C57</f>
        <v>1422.1423125</v>
      </c>
      <c r="BF57" s="80" t="n">
        <f aca="false" t="array" ref="BF57:BF57">IF(COLUMN() - ($E57 + 5) &lt; 0, 0,
  IF(COLUMN() - ($E57 + 5) = 0, $F57,
    BE57 * (1 - IFERROR(INDEX('Inputs &amp; Assuptions'!$C$13:$C$72, COLUMN() - ($E57 + 5)), 0))
  )
)</f>
        <v>1347.47984109375</v>
      </c>
      <c r="BG57" s="80" t="n">
        <f aca="false" t="array" ref="BG57:BG57">IF(COLUMN() - ($E57 + 5) &lt; 0, 0,
  IF(COLUMN() - ($E57 + 5) = 0, $F57,
    BF57 * (1 - IFERROR(INDEX('Inputs &amp; Assuptions'!$C$13:$C$72, COLUMN() - ($E57 + 5)), 0))
  )
)</f>
        <v>1293.58064745</v>
      </c>
      <c r="BH57" s="80" t="n">
        <f aca="false" t="array" ref="BH57:BH57">IF(COLUMN() - ($E57 + 5) &lt; 0, 0,
  IF(COLUMN() - ($E57 + 5) = 0, $F57,
    BG57 * (1 - IFERROR(INDEX('Inputs &amp; Assuptions'!$C$13:$C$72, COLUMN() - ($E57 + 5)), 0))
  )
)</f>
        <v>1258.00717964513</v>
      </c>
      <c r="BI57" s="80" t="n">
        <f aca="false" t="array" ref="BI57:BI57">IF(COLUMN() - ($E57 + 5) &lt; 0, 0,
  IF(COLUMN() - ($E57 + 5) = 0, $F57,
    BH57 * (1 - IFERROR(INDEX('Inputs &amp; Assuptions'!$C$13:$C$72, COLUMN() - ($E57 + 5)), 0))
  )
)</f>
        <v>1226.557000154</v>
      </c>
      <c r="BJ57" s="80" t="n">
        <f aca="false" t="array" ref="BJ57:BJ57">IF(COLUMN() - ($E57 + 5) &lt; 0, 0,
  IF(COLUMN() - ($E57 + 5) = 0, $F57,
    BI57 * (1 - IFERROR(INDEX('Inputs &amp; Assuptions'!$C$13:$C$72, COLUMN() - ($E57 + 5)), 0))
  )
)</f>
        <v>1198.95946765053</v>
      </c>
      <c r="BK57" s="80" t="n">
        <f aca="false" t="array" ref="BK57:BK57">IF(COLUMN() - ($E57 + 5) &lt; 0, 0,
  IF(COLUMN() - ($E57 + 5) = 0, $F57,
    BJ57 * (1 - IFERROR(INDEX('Inputs &amp; Assuptions'!$C$13:$C$72, COLUMN() - ($E57 + 5)), 0))
  )
)</f>
        <v>1174.98027829752</v>
      </c>
      <c r="BL57" s="80" t="n">
        <f aca="false" t="array" ref="BL57:BL57">IF(COLUMN() - ($E57 + 5) &lt; 0, 0,
  IF(COLUMN() - ($E57 + 5) = 0, $F57,
    BK57 * (1 - IFERROR(INDEX('Inputs &amp; Assuptions'!$C$13:$C$72, COLUMN() - ($E57 + 5)), 0))
  )
)</f>
        <v>1154.41812342731</v>
      </c>
      <c r="BM57" s="81" t="n">
        <f aca="false" t="array" ref="BM57:BM57">IF(COLUMN() - ($E57 + 5) &lt; 0, 0,
  IF(COLUMN() - ($E57 + 5) = 0, $F57,
    BL57 * (1 - IFERROR(INDEX('Inputs &amp; Assuptions'!$C$13:$C$72, COLUMN() - ($E57 + 5)), 0))
  )
)</f>
        <v>1137.10185157591</v>
      </c>
      <c r="BN57" s="76"/>
    </row>
    <row r="58" customFormat="false" ht="14.25" hidden="false" customHeight="false" outlineLevel="0" collapsed="false">
      <c r="A58" s="29" t="n">
        <f aca="false">A57+1</f>
        <v>53</v>
      </c>
      <c r="B58" s="77" t="n">
        <f aca="false">IF(MOD($A58-1, 12) = 0, $B57 * 1.05, $B57)</f>
        <v>1823.259375</v>
      </c>
      <c r="C58" s="78" t="n">
        <f aca="false">$B58*(1-'Inputs &amp; Assuptions'!$C$12)</f>
        <v>1422.1423125</v>
      </c>
      <c r="E58" s="29" t="n">
        <f aca="false">E57+1</f>
        <v>53</v>
      </c>
      <c r="F58" s="79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 t="n">
        <f aca="false">$C58</f>
        <v>1422.1423125</v>
      </c>
      <c r="BG58" s="80" t="n">
        <f aca="false" t="array" ref="BG58:BG58">IF(COLUMN() - ($E58 + 5) &lt; 0, 0,
  IF(COLUMN() - ($E58 + 5) = 0, $F58,
    BF58 * (1 - IFERROR(INDEX('Inputs &amp; Assuptions'!$C$13:$C$72, COLUMN() - ($E58 + 5)), 0))
  )
)</f>
        <v>1347.47984109375</v>
      </c>
      <c r="BH58" s="80" t="n">
        <f aca="false" t="array" ref="BH58:BH58">IF(COLUMN() - ($E58 + 5) &lt; 0, 0,
  IF(COLUMN() - ($E58 + 5) = 0, $F58,
    BG58 * (1 - IFERROR(INDEX('Inputs &amp; Assuptions'!$C$13:$C$72, COLUMN() - ($E58 + 5)), 0))
  )
)</f>
        <v>1293.58064745</v>
      </c>
      <c r="BI58" s="80" t="n">
        <f aca="false" t="array" ref="BI58:BI58">IF(COLUMN() - ($E58 + 5) &lt; 0, 0,
  IF(COLUMN() - ($E58 + 5) = 0, $F58,
    BH58 * (1 - IFERROR(INDEX('Inputs &amp; Assuptions'!$C$13:$C$72, COLUMN() - ($E58 + 5)), 0))
  )
)</f>
        <v>1258.00717964513</v>
      </c>
      <c r="BJ58" s="80" t="n">
        <f aca="false" t="array" ref="BJ58:BJ58">IF(COLUMN() - ($E58 + 5) &lt; 0, 0,
  IF(COLUMN() - ($E58 + 5) = 0, $F58,
    BI58 * (1 - IFERROR(INDEX('Inputs &amp; Assuptions'!$C$13:$C$72, COLUMN() - ($E58 + 5)), 0))
  )
)</f>
        <v>1226.557000154</v>
      </c>
      <c r="BK58" s="80" t="n">
        <f aca="false" t="array" ref="BK58:BK58">IF(COLUMN() - ($E58 + 5) &lt; 0, 0,
  IF(COLUMN() - ($E58 + 5) = 0, $F58,
    BJ58 * (1 - IFERROR(INDEX('Inputs &amp; Assuptions'!$C$13:$C$72, COLUMN() - ($E58 + 5)), 0))
  )
)</f>
        <v>1198.95946765053</v>
      </c>
      <c r="BL58" s="80" t="n">
        <f aca="false" t="array" ref="BL58:BL58">IF(COLUMN() - ($E58 + 5) &lt; 0, 0,
  IF(COLUMN() - ($E58 + 5) = 0, $F58,
    BK58 * (1 - IFERROR(INDEX('Inputs &amp; Assuptions'!$C$13:$C$72, COLUMN() - ($E58 + 5)), 0))
  )
)</f>
        <v>1174.98027829752</v>
      </c>
      <c r="BM58" s="81" t="n">
        <f aca="false" t="array" ref="BM58:BM58">IF(COLUMN() - ($E58 + 5) &lt; 0, 0,
  IF(COLUMN() - ($E58 + 5) = 0, $F58,
    BL58 * (1 - IFERROR(INDEX('Inputs &amp; Assuptions'!$C$13:$C$72, COLUMN() - ($E58 + 5)), 0))
  )
)</f>
        <v>1154.41812342731</v>
      </c>
      <c r="BN58" s="76"/>
    </row>
    <row r="59" customFormat="false" ht="14.25" hidden="false" customHeight="false" outlineLevel="0" collapsed="false">
      <c r="A59" s="29" t="n">
        <f aca="false">A58+1</f>
        <v>54</v>
      </c>
      <c r="B59" s="77" t="n">
        <f aca="false">IF(MOD($A59-1, 12) = 0, $B58 * 1.05, $B58)</f>
        <v>1823.259375</v>
      </c>
      <c r="C59" s="78" t="n">
        <f aca="false">$B59*(1-'Inputs &amp; Assuptions'!$C$12)</f>
        <v>1422.1423125</v>
      </c>
      <c r="E59" s="29" t="n">
        <f aca="false">E58+1</f>
        <v>54</v>
      </c>
      <c r="F59" s="79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 t="n">
        <f aca="false">$C59</f>
        <v>1422.1423125</v>
      </c>
      <c r="BH59" s="80" t="n">
        <f aca="false" t="array" ref="BH59:BH59">IF(COLUMN() - ($E59 + 5) &lt; 0, 0,
  IF(COLUMN() - ($E59 + 5) = 0, $F59,
    BG59 * (1 - IFERROR(INDEX('Inputs &amp; Assuptions'!$C$13:$C$72, COLUMN() - ($E59 + 5)), 0))
  )
)</f>
        <v>1347.47984109375</v>
      </c>
      <c r="BI59" s="80" t="n">
        <f aca="false" t="array" ref="BI59:BI59">IF(COLUMN() - ($E59 + 5) &lt; 0, 0,
  IF(COLUMN() - ($E59 + 5) = 0, $F59,
    BH59 * (1 - IFERROR(INDEX('Inputs &amp; Assuptions'!$C$13:$C$72, COLUMN() - ($E59 + 5)), 0))
  )
)</f>
        <v>1293.58064745</v>
      </c>
      <c r="BJ59" s="80" t="n">
        <f aca="false" t="array" ref="BJ59:BJ59">IF(COLUMN() - ($E59 + 5) &lt; 0, 0,
  IF(COLUMN() - ($E59 + 5) = 0, $F59,
    BI59 * (1 - IFERROR(INDEX('Inputs &amp; Assuptions'!$C$13:$C$72, COLUMN() - ($E59 + 5)), 0))
  )
)</f>
        <v>1258.00717964513</v>
      </c>
      <c r="BK59" s="80" t="n">
        <f aca="false" t="array" ref="BK59:BK59">IF(COLUMN() - ($E59 + 5) &lt; 0, 0,
  IF(COLUMN() - ($E59 + 5) = 0, $F59,
    BJ59 * (1 - IFERROR(INDEX('Inputs &amp; Assuptions'!$C$13:$C$72, COLUMN() - ($E59 + 5)), 0))
  )
)</f>
        <v>1226.557000154</v>
      </c>
      <c r="BL59" s="80" t="n">
        <f aca="false" t="array" ref="BL59:BL59">IF(COLUMN() - ($E59 + 5) &lt; 0, 0,
  IF(COLUMN() - ($E59 + 5) = 0, $F59,
    BK59 * (1 - IFERROR(INDEX('Inputs &amp; Assuptions'!$C$13:$C$72, COLUMN() - ($E59 + 5)), 0))
  )
)</f>
        <v>1198.95946765053</v>
      </c>
      <c r="BM59" s="81" t="n">
        <f aca="false" t="array" ref="BM59:BM59">IF(COLUMN() - ($E59 + 5) &lt; 0, 0,
  IF(COLUMN() - ($E59 + 5) = 0, $F59,
    BL59 * (1 - IFERROR(INDEX('Inputs &amp; Assuptions'!$C$13:$C$72, COLUMN() - ($E59 + 5)), 0))
  )
)</f>
        <v>1174.98027829752</v>
      </c>
      <c r="BN59" s="76"/>
    </row>
    <row r="60" customFormat="false" ht="14.25" hidden="false" customHeight="false" outlineLevel="0" collapsed="false">
      <c r="A60" s="29" t="n">
        <f aca="false">A59+1</f>
        <v>55</v>
      </c>
      <c r="B60" s="77" t="n">
        <f aca="false">IF(MOD($A60-1, 12) = 0, $B59 * 1.05, $B59)</f>
        <v>1823.259375</v>
      </c>
      <c r="C60" s="78" t="n">
        <f aca="false">$B60*(1-'Inputs &amp; Assuptions'!$C$12)</f>
        <v>1422.1423125</v>
      </c>
      <c r="E60" s="29" t="n">
        <f aca="false">E59+1</f>
        <v>55</v>
      </c>
      <c r="F60" s="79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 t="n">
        <f aca="false">$C60</f>
        <v>1422.1423125</v>
      </c>
      <c r="BI60" s="80" t="n">
        <f aca="false" t="array" ref="BI60:BI60">IF(COLUMN() - ($E60 + 5) &lt; 0, 0,
  IF(COLUMN() - ($E60 + 5) = 0, $F60,
    BH60 * (1 - IFERROR(INDEX('Inputs &amp; Assuptions'!$C$13:$C$72, COLUMN() - ($E60 + 5)), 0))
  )
)</f>
        <v>1347.47984109375</v>
      </c>
      <c r="BJ60" s="80" t="n">
        <f aca="false" t="array" ref="BJ60:BJ60">IF(COLUMN() - ($E60 + 5) &lt; 0, 0,
  IF(COLUMN() - ($E60 + 5) = 0, $F60,
    BI60 * (1 - IFERROR(INDEX('Inputs &amp; Assuptions'!$C$13:$C$72, COLUMN() - ($E60 + 5)), 0))
  )
)</f>
        <v>1293.58064745</v>
      </c>
      <c r="BK60" s="80" t="n">
        <f aca="false" t="array" ref="BK60:BK60">IF(COLUMN() - ($E60 + 5) &lt; 0, 0,
  IF(COLUMN() - ($E60 + 5) = 0, $F60,
    BJ60 * (1 - IFERROR(INDEX('Inputs &amp; Assuptions'!$C$13:$C$72, COLUMN() - ($E60 + 5)), 0))
  )
)</f>
        <v>1258.00717964513</v>
      </c>
      <c r="BL60" s="80" t="n">
        <f aca="false" t="array" ref="BL60:BL60">IF(COLUMN() - ($E60 + 5) &lt; 0, 0,
  IF(COLUMN() - ($E60 + 5) = 0, $F60,
    BK60 * (1 - IFERROR(INDEX('Inputs &amp; Assuptions'!$C$13:$C$72, COLUMN() - ($E60 + 5)), 0))
  )
)</f>
        <v>1226.557000154</v>
      </c>
      <c r="BM60" s="81" t="n">
        <f aca="false" t="array" ref="BM60:BM60">IF(COLUMN() - ($E60 + 5) &lt; 0, 0,
  IF(COLUMN() - ($E60 + 5) = 0, $F60,
    BL60 * (1 - IFERROR(INDEX('Inputs &amp; Assuptions'!$C$13:$C$72, COLUMN() - ($E60 + 5)), 0))
  )
)</f>
        <v>1198.95946765053</v>
      </c>
      <c r="BN60" s="76"/>
    </row>
    <row r="61" customFormat="false" ht="14.25" hidden="false" customHeight="false" outlineLevel="0" collapsed="false">
      <c r="A61" s="29" t="n">
        <f aca="false">A60+1</f>
        <v>56</v>
      </c>
      <c r="B61" s="77" t="n">
        <f aca="false">IF(MOD($A61-1, 12) = 0, $B60 * 1.05, $B60)</f>
        <v>1823.259375</v>
      </c>
      <c r="C61" s="78" t="n">
        <f aca="false">$B61*(1-'Inputs &amp; Assuptions'!$C$12)</f>
        <v>1422.1423125</v>
      </c>
      <c r="E61" s="29" t="n">
        <f aca="false">E60+1</f>
        <v>56</v>
      </c>
      <c r="F61" s="79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 t="n">
        <f aca="false">$C61</f>
        <v>1422.1423125</v>
      </c>
      <c r="BJ61" s="80" t="n">
        <f aca="false" t="array" ref="BJ61:BJ61">IF(COLUMN() - ($E61 + 5) &lt; 0, 0,
  IF(COLUMN() - ($E61 + 5) = 0, $F61,
    BI61 * (1 - IFERROR(INDEX('Inputs &amp; Assuptions'!$C$13:$C$72, COLUMN() - ($E61 + 5)), 0))
  )
)</f>
        <v>1347.47984109375</v>
      </c>
      <c r="BK61" s="80" t="n">
        <f aca="false" t="array" ref="BK61:BK61">IF(COLUMN() - ($E61 + 5) &lt; 0, 0,
  IF(COLUMN() - ($E61 + 5) = 0, $F61,
    BJ61 * (1 - IFERROR(INDEX('Inputs &amp; Assuptions'!$C$13:$C$72, COLUMN() - ($E61 + 5)), 0))
  )
)</f>
        <v>1293.58064745</v>
      </c>
      <c r="BL61" s="80" t="n">
        <f aca="false" t="array" ref="BL61:BL61">IF(COLUMN() - ($E61 + 5) &lt; 0, 0,
  IF(COLUMN() - ($E61 + 5) = 0, $F61,
    BK61 * (1 - IFERROR(INDEX('Inputs &amp; Assuptions'!$C$13:$C$72, COLUMN() - ($E61 + 5)), 0))
  )
)</f>
        <v>1258.00717964513</v>
      </c>
      <c r="BM61" s="81" t="n">
        <f aca="false" t="array" ref="BM61:BM61">IF(COLUMN() - ($E61 + 5) &lt; 0, 0,
  IF(COLUMN() - ($E61 + 5) = 0, $F61,
    BL61 * (1 - IFERROR(INDEX('Inputs &amp; Assuptions'!$C$13:$C$72, COLUMN() - ($E61 + 5)), 0))
  )
)</f>
        <v>1226.557000154</v>
      </c>
      <c r="BN61" s="76"/>
    </row>
    <row r="62" customFormat="false" ht="14.25" hidden="false" customHeight="false" outlineLevel="0" collapsed="false">
      <c r="A62" s="29" t="n">
        <f aca="false">A61+1</f>
        <v>57</v>
      </c>
      <c r="B62" s="77" t="n">
        <f aca="false">IF(MOD($A62-1, 12) = 0, $B61 * 1.05, $B61)</f>
        <v>1823.259375</v>
      </c>
      <c r="C62" s="78" t="n">
        <f aca="false">$B62*(1-'Inputs &amp; Assuptions'!$C$12)</f>
        <v>1422.1423125</v>
      </c>
      <c r="E62" s="29" t="n">
        <f aca="false">E61+1</f>
        <v>57</v>
      </c>
      <c r="F62" s="79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 t="n">
        <f aca="false">$C62</f>
        <v>1422.1423125</v>
      </c>
      <c r="BK62" s="80" t="n">
        <f aca="false" t="array" ref="BK62:BK62">IF(COLUMN() - ($E62 + 5) &lt; 0, 0,
  IF(COLUMN() - ($E62 + 5) = 0, $F62,
    BJ62 * (1 - IFERROR(INDEX('Inputs &amp; Assuptions'!$C$13:$C$72, COLUMN() - ($E62 + 5)), 0))
  )
)</f>
        <v>1347.47984109375</v>
      </c>
      <c r="BL62" s="80" t="n">
        <f aca="false" t="array" ref="BL62:BL62">IF(COLUMN() - ($E62 + 5) &lt; 0, 0,
  IF(COLUMN() - ($E62 + 5) = 0, $F62,
    BK62 * (1 - IFERROR(INDEX('Inputs &amp; Assuptions'!$C$13:$C$72, COLUMN() - ($E62 + 5)), 0))
  )
)</f>
        <v>1293.58064745</v>
      </c>
      <c r="BM62" s="81" t="n">
        <f aca="false" t="array" ref="BM62:BM62">IF(COLUMN() - ($E62 + 5) &lt; 0, 0,
  IF(COLUMN() - ($E62 + 5) = 0, $F62,
    BL62 * (1 - IFERROR(INDEX('Inputs &amp; Assuptions'!$C$13:$C$72, COLUMN() - ($E62 + 5)), 0))
  )
)</f>
        <v>1258.00717964513</v>
      </c>
      <c r="BN62" s="76"/>
    </row>
    <row r="63" customFormat="false" ht="14.25" hidden="false" customHeight="false" outlineLevel="0" collapsed="false">
      <c r="A63" s="29" t="n">
        <f aca="false">A62+1</f>
        <v>58</v>
      </c>
      <c r="B63" s="77" t="n">
        <f aca="false">IF(MOD($A63-1, 12) = 0, $B62 * 1.05, $B62)</f>
        <v>1823.259375</v>
      </c>
      <c r="C63" s="78" t="n">
        <f aca="false">$B63*(1-'Inputs &amp; Assuptions'!$C$12)</f>
        <v>1422.1423125</v>
      </c>
      <c r="E63" s="29" t="n">
        <f aca="false">E62+1</f>
        <v>58</v>
      </c>
      <c r="F63" s="79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 t="n">
        <f aca="false">$C63</f>
        <v>1422.1423125</v>
      </c>
      <c r="BL63" s="80" t="n">
        <f aca="false" t="array" ref="BL63:BL63">IF(COLUMN() - ($E63 + 5) &lt; 0, 0,
  IF(COLUMN() - ($E63 + 5) = 0, $F63,
    BK63 * (1 - IFERROR(INDEX('Inputs &amp; Assuptions'!$C$13:$C$72, COLUMN() - ($E63 + 5)), 0))
  )
)</f>
        <v>1347.47984109375</v>
      </c>
      <c r="BM63" s="81" t="n">
        <f aca="false" t="array" ref="BM63:BM63">IF(COLUMN() - ($E63 + 5) &lt; 0, 0,
  IF(COLUMN() - ($E63 + 5) = 0, $F63,
    BL63 * (1 - IFERROR(INDEX('Inputs &amp; Assuptions'!$C$13:$C$72, COLUMN() - ($E63 + 5)), 0))
  )
)</f>
        <v>1293.58064745</v>
      </c>
      <c r="BN63" s="76"/>
    </row>
    <row r="64" customFormat="false" ht="14.25" hidden="false" customHeight="false" outlineLevel="0" collapsed="false">
      <c r="A64" s="29" t="n">
        <f aca="false">A63+1</f>
        <v>59</v>
      </c>
      <c r="B64" s="77" t="n">
        <f aca="false">IF(MOD($A64-1, 12) = 0, $B63 * 1.05, $B63)</f>
        <v>1823.259375</v>
      </c>
      <c r="C64" s="78" t="n">
        <f aca="false">$B64*(1-'Inputs &amp; Assuptions'!$C$12)</f>
        <v>1422.1423125</v>
      </c>
      <c r="E64" s="29" t="n">
        <f aca="false">E63+1</f>
        <v>59</v>
      </c>
      <c r="F64" s="79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 t="n">
        <f aca="false">$C64</f>
        <v>1422.1423125</v>
      </c>
      <c r="BM64" s="81" t="n">
        <f aca="false" t="array" ref="BM64:BM64">IF(COLUMN() - ($E64 + 5) &lt; 0, 0,
  IF(COLUMN() - ($E64 + 5) = 0, $F64,
    BL64 * (1 - IFERROR(INDEX('Inputs &amp; Assuptions'!$C$13:$C$72, COLUMN() - ($E64 + 5)), 0))
  )
)</f>
        <v>1347.47984109375</v>
      </c>
      <c r="BN64" s="76"/>
    </row>
    <row r="65" customFormat="false" ht="14.25" hidden="false" customHeight="false" outlineLevel="0" collapsed="false">
      <c r="A65" s="91" t="n">
        <f aca="false">A64+1</f>
        <v>60</v>
      </c>
      <c r="B65" s="82" t="n">
        <f aca="false">IF(MOD($A65-1, 12) = 0, $B64 * 1.05, $B64)</f>
        <v>1823.259375</v>
      </c>
      <c r="C65" s="83" t="n">
        <f aca="false">$B65*(1-'Inputs &amp; Assuptions'!$C$12)</f>
        <v>1422.1423125</v>
      </c>
      <c r="E65" s="29" t="n">
        <f aca="false">E64+1</f>
        <v>60</v>
      </c>
      <c r="F65" s="84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6" t="n">
        <f aca="false">$C65</f>
        <v>1422.1423125</v>
      </c>
    </row>
    <row r="66" s="16" customFormat="true" ht="14.25" hidden="false" customHeight="false" outlineLevel="0" collapsed="false"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7"/>
    </row>
    <row r="67" customFormat="false" ht="14.25" hidden="false" customHeight="false" outlineLevel="0" collapsed="false">
      <c r="A67" s="17" t="s">
        <v>90</v>
      </c>
      <c r="F67" s="80" t="n">
        <f aca="false">+SUM(F6:F65)</f>
        <v>1170</v>
      </c>
      <c r="G67" s="80" t="n">
        <f aca="false">+SUM(G6:G65)</f>
        <v>2278.575</v>
      </c>
      <c r="H67" s="80" t="n">
        <f aca="false">+SUM(H6:H65)</f>
        <v>3342.807</v>
      </c>
      <c r="I67" s="80" t="n">
        <f aca="false">+SUM(I6:I65)</f>
        <v>5547.77262</v>
      </c>
      <c r="J67" s="80" t="n">
        <f aca="false">+SUM(J6:J65)</f>
        <v>5448.2890995</v>
      </c>
      <c r="K67" s="80" t="n">
        <f aca="false">+SUM(K6:K65)</f>
        <v>6432.21902071125</v>
      </c>
      <c r="L67" s="80" t="n">
        <f aca="false">+SUM(L6:L65)</f>
        <v>7397.25658349828</v>
      </c>
      <c r="M67" s="80" t="n">
        <f aca="false">+SUM(M6:M65)</f>
        <v>8345.56557108653</v>
      </c>
      <c r="N67" s="80" t="n">
        <f aca="false">+SUM(N6:N65)</f>
        <v>9279.80404225721</v>
      </c>
      <c r="O67" s="80" t="n">
        <f aca="false">+SUM(O6:O65)</f>
        <v>10202.5137496111</v>
      </c>
      <c r="P67" s="80" t="n">
        <f aca="false">+SUM(P6:P65)</f>
        <v>11116.1411948048</v>
      </c>
      <c r="Q67" s="80" t="n">
        <f aca="false">+SUM(Q6:Q65)</f>
        <v>12025.3437800274</v>
      </c>
      <c r="R67" s="80" t="n">
        <f aca="false">+SUM(R6:R65)</f>
        <v>12988.6378332104</v>
      </c>
      <c r="S67" s="80" t="n">
        <f aca="false">+SUM(S6:S65)</f>
        <v>13944.4694930557</v>
      </c>
      <c r="T67" s="80" t="n">
        <f aca="false">+SUM(T6:T65)</f>
        <v>14893.8379231647</v>
      </c>
      <c r="U67" s="80" t="n">
        <f aca="false">+SUM(U6:U65)</f>
        <v>15837.2622501231</v>
      </c>
      <c r="V67" s="80" t="n">
        <f aca="false">+SUM(V6:V65)</f>
        <v>16774.9344898268</v>
      </c>
      <c r="W67" s="80" t="n">
        <f aca="false">+SUM(W6:W65)</f>
        <v>17707.0354132874</v>
      </c>
      <c r="X67" s="80" t="n">
        <f aca="false">+SUM(X6:X65)</f>
        <v>18633.7360419398</v>
      </c>
      <c r="Y67" s="80" t="n">
        <f aca="false">+SUM(Y6:Y65)</f>
        <v>19555.1990054597</v>
      </c>
      <c r="Z67" s="80" t="n">
        <f aca="false">+SUM(Z6:Z65)</f>
        <v>20471.5797828385</v>
      </c>
      <c r="AA67" s="80" t="n">
        <f aca="false">+SUM(AA6:AA65)</f>
        <v>21383.02784514</v>
      </c>
      <c r="AB67" s="80" t="n">
        <f aca="false">+SUM(AB6:AB65)</f>
        <v>22289.6877164298</v>
      </c>
      <c r="AC67" s="80" t="n">
        <f aca="false">+SUM(AC6:AC65)</f>
        <v>23191.8142883632</v>
      </c>
      <c r="AD67" s="80" t="n">
        <f aca="false">+SUM(AD6:AD65)</f>
        <v>24150.8552274369</v>
      </c>
      <c r="AE67" s="80" t="n">
        <f aca="false">+SUM(AE6:AE65)</f>
        <v>25102.1832743152</v>
      </c>
      <c r="AF67" s="80" t="n">
        <f aca="false">+SUM(AF6:AF65)</f>
        <v>26046.7176743967</v>
      </c>
      <c r="AG67" s="80" t="n">
        <f aca="false">+SUM(AG6:AG65)</f>
        <v>26985.2722784277</v>
      </c>
      <c r="AH67" s="80" t="n">
        <f aca="false">+SUM(AH6:AH65)</f>
        <v>27918.0473955376</v>
      </c>
      <c r="AI67" s="80" t="n">
        <f aca="false">+SUM(AI6:AI65)</f>
        <v>28845.2315342651</v>
      </c>
      <c r="AJ67" s="80" t="n">
        <f aca="false">+SUM(AJ6:AJ65)</f>
        <v>29767.0029725985</v>
      </c>
      <c r="AK67" s="80" t="n">
        <f aca="false">+SUM(AK6:AK65)</f>
        <v>30683.5311836516</v>
      </c>
      <c r="AL67" s="80" t="n">
        <f aca="false">+SUM(AL6:AL65)</f>
        <v>31594.9781387597</v>
      </c>
      <c r="AM67" s="80" t="n">
        <f aca="false">+SUM(AM6:AM65)</f>
        <v>32501.4995073425</v>
      </c>
      <c r="AN67" s="80" t="n">
        <f aca="false">+SUM(AN6:AN65)</f>
        <v>33403.2457708471</v>
      </c>
      <c r="AO67" s="80" t="n">
        <f aca="false">+SUM(AO6:AO65)</f>
        <v>34300.4833030341</v>
      </c>
      <c r="AP67" s="80" t="n">
        <f aca="false">+SUM(AP6:AP65)</f>
        <v>35257.7308975602</v>
      </c>
      <c r="AQ67" s="80" t="n">
        <f aca="false">+SUM(AQ6:AQ65)</f>
        <v>36207.1286822387</v>
      </c>
      <c r="AR67" s="80" t="n">
        <f aca="false">+SUM(AR6:AR65)</f>
        <v>37149.6406211032</v>
      </c>
      <c r="AS67" s="80" t="n">
        <f aca="false">+SUM(AS6:AS65)</f>
        <v>38086.1200200208</v>
      </c>
      <c r="AT67" s="80" t="n">
        <f aca="false">+SUM(AT6:AT65)</f>
        <v>39016.7759723478</v>
      </c>
      <c r="AU67" s="80" t="n">
        <f aca="false">+SUM(AU6:AU65)</f>
        <v>39941.8051869766</v>
      </c>
      <c r="AV67" s="80" t="n">
        <f aca="false">+SUM(AV6:AV65)</f>
        <v>40861.3936368467</v>
      </c>
      <c r="AW67" s="80" t="n">
        <f aca="false">+SUM(AW6:AW65)</f>
        <v>41775.7180558743</v>
      </c>
      <c r="AX67" s="80" t="n">
        <f aca="false">+SUM(AX6:AX65)</f>
        <v>42684.9473071726</v>
      </c>
      <c r="AY67" s="80" t="n">
        <f aca="false">+SUM(AY6:AY65)</f>
        <v>43589.2436428772</v>
      </c>
      <c r="AZ67" s="80" t="n">
        <f aca="false">+SUM(AZ6:AZ65)</f>
        <v>44488.7638737561</v>
      </c>
      <c r="BA67" s="80" t="n">
        <f aca="false">+SUM(BA6:BA65)</f>
        <v>45383.7865034807</v>
      </c>
      <c r="BB67" s="80" t="n">
        <f aca="false">+SUM(BB6:BB65)</f>
        <v>46342.0550825566</v>
      </c>
      <c r="BC67" s="80" t="n">
        <f aca="false">+SUM(BC6:BC65)</f>
        <v>47292.3155682685</v>
      </c>
      <c r="BD67" s="80" t="n">
        <f aca="false">+SUM(BD6:BD65)</f>
        <v>48235.5789518166</v>
      </c>
      <c r="BE67" s="80" t="n">
        <f aca="false">+SUM(BE6:BE65)</f>
        <v>49172.7400391818</v>
      </c>
      <c r="BF67" s="80" t="n">
        <f aca="false">+SUM(BF6:BF65)</f>
        <v>50104.0172190344</v>
      </c>
      <c r="BG67" s="80" t="n">
        <f aca="false">+SUM(BG6:BG65)</f>
        <v>51029.6158821542</v>
      </c>
      <c r="BH67" s="80" t="n">
        <f aca="false">+SUM(BH6:BH65)</f>
        <v>51949.7301523387</v>
      </c>
      <c r="BI67" s="80" t="n">
        <f aca="false">+SUM(BI6:BI65)</f>
        <v>52864.5444581495</v>
      </c>
      <c r="BJ67" s="80" t="n">
        <f aca="false">+SUM(BJ6:BJ65)</f>
        <v>53774.2349695153</v>
      </c>
      <c r="BK67" s="80" t="n">
        <f aca="false">+SUM(BK6:BK65)</f>
        <v>54678.9709205201</v>
      </c>
      <c r="BL67" s="80" t="n">
        <f aca="false">+SUM(BL6:BL65)</f>
        <v>55578.9158374655</v>
      </c>
      <c r="BM67" s="80" t="n">
        <f aca="false">+SUM(BM6:BM65)</f>
        <v>56474.3610298262</v>
      </c>
    </row>
  </sheetData>
  <mergeCells count="1">
    <mergeCell ref="I1:J1"/>
  </mergeCells>
  <conditionalFormatting sqref="F2:F3">
    <cfRule type="cellIs" priority="2" operator="lessThan" aboveAverage="0" equalAverage="0" bottom="0" percent="0" rank="0" text="" dxfId="21">
      <formula>0</formula>
    </cfRule>
  </conditionalFormatting>
  <conditionalFormatting sqref="F5:BM5">
    <cfRule type="cellIs" priority="3" operator="lessThan" aboveAverage="0" equalAverage="0" bottom="0" percent="0" rank="0" text="" dxfId="22">
      <formula>0</formula>
    </cfRule>
  </conditionalFormatting>
  <conditionalFormatting sqref="B5:C5">
    <cfRule type="cellIs" priority="4" operator="lessThan" aboveAverage="0" equalAverage="0" bottom="0" percent="0" rank="0" text="" dxfId="23">
      <formula>0</formula>
    </cfRule>
  </conditionalFormatting>
  <conditionalFormatting sqref="A5:A65">
    <cfRule type="cellIs" priority="5" operator="lessThan" aboveAverage="0" equalAverage="0" bottom="0" percent="0" rank="0" text="" dxfId="24">
      <formula>0</formula>
    </cfRule>
  </conditionalFormatting>
  <conditionalFormatting sqref="E5:E65">
    <cfRule type="cellIs" priority="6" operator="lessThan" aboveAverage="0" equalAverage="0" bottom="0" percent="0" rank="0" text="" dxfId="2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6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9" activeCellId="0" sqref="F9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17" width="9.11"/>
    <col collapsed="false" customWidth="true" hidden="false" outlineLevel="0" max="3" min="2" style="17" width="19.66"/>
    <col collapsed="false" customWidth="false" hidden="false" outlineLevel="0" max="5" min="4" style="17" width="9.11"/>
    <col collapsed="false" customWidth="true" hidden="false" outlineLevel="0" max="6" min="6" style="17" width="13.11"/>
    <col collapsed="false" customWidth="true" hidden="false" outlineLevel="0" max="7" min="7" style="17" width="9.33"/>
    <col collapsed="false" customWidth="true" hidden="false" outlineLevel="0" max="9" min="8" style="17" width="10.44"/>
    <col collapsed="false" customWidth="true" hidden="false" outlineLevel="0" max="30" min="10" style="17" width="10.66"/>
    <col collapsed="false" customWidth="true" hidden="false" outlineLevel="0" max="31" min="31" style="17" width="15.66"/>
    <col collapsed="false" customWidth="true" hidden="false" outlineLevel="0" max="44" min="32" style="17" width="10.66"/>
    <col collapsed="false" customWidth="true" hidden="false" outlineLevel="0" max="66" min="45" style="17" width="11.66"/>
    <col collapsed="false" customWidth="false" hidden="false" outlineLevel="0" max="16384" min="67" style="17" width="9.11"/>
  </cols>
  <sheetData>
    <row r="1" customFormat="false" ht="15" hidden="false" customHeight="false" outlineLevel="0" collapsed="false">
      <c r="I1" s="89"/>
      <c r="J1" s="89"/>
    </row>
    <row r="2" customFormat="false" ht="14.25" hidden="false" customHeight="false" outlineLevel="0" collapsed="false">
      <c r="F2" s="3" t="s">
        <v>106</v>
      </c>
      <c r="G2" s="19" t="n">
        <f aca="false">+'Inputs &amp; Assuptions'!$D$4</f>
        <v>1000</v>
      </c>
      <c r="BN2" s="70"/>
    </row>
    <row r="3" customFormat="false" ht="14.25" hidden="false" customHeight="false" outlineLevel="0" collapsed="false">
      <c r="F3" s="3" t="s">
        <v>107</v>
      </c>
      <c r="G3" s="54" t="n">
        <f aca="false">+'Inputs &amp; Assuptions'!$D$5</f>
        <v>0.05</v>
      </c>
      <c r="BN3" s="70"/>
    </row>
    <row r="4" customFormat="false" ht="14.25" hidden="false" customHeight="false" outlineLevel="0" collapsed="false">
      <c r="BN4" s="70"/>
    </row>
    <row r="5" customFormat="false" ht="14.25" hidden="false" customHeight="false" outlineLevel="0" collapsed="false">
      <c r="A5" s="3" t="s">
        <v>16</v>
      </c>
      <c r="B5" s="4" t="s">
        <v>108</v>
      </c>
      <c r="C5" s="4" t="s">
        <v>109</v>
      </c>
      <c r="D5" s="17" t="s">
        <v>110</v>
      </c>
      <c r="E5" s="3" t="s">
        <v>16</v>
      </c>
      <c r="F5" s="4" t="n">
        <v>1</v>
      </c>
      <c r="G5" s="4" t="n">
        <f aca="false">+F5+1</f>
        <v>2</v>
      </c>
      <c r="H5" s="4" t="n">
        <f aca="false">+G5+1</f>
        <v>3</v>
      </c>
      <c r="I5" s="4" t="n">
        <f aca="false">+H5+1</f>
        <v>4</v>
      </c>
      <c r="J5" s="4" t="n">
        <f aca="false">+I5+1</f>
        <v>5</v>
      </c>
      <c r="K5" s="4" t="n">
        <f aca="false">+J5+1</f>
        <v>6</v>
      </c>
      <c r="L5" s="4" t="n">
        <f aca="false">+K5+1</f>
        <v>7</v>
      </c>
      <c r="M5" s="4" t="n">
        <f aca="false">+L5+1</f>
        <v>8</v>
      </c>
      <c r="N5" s="4" t="n">
        <f aca="false">+M5+1</f>
        <v>9</v>
      </c>
      <c r="O5" s="4" t="n">
        <f aca="false">+N5+1</f>
        <v>10</v>
      </c>
      <c r="P5" s="4" t="n">
        <f aca="false">+O5+1</f>
        <v>11</v>
      </c>
      <c r="Q5" s="4" t="n">
        <f aca="false">+P5+1</f>
        <v>12</v>
      </c>
      <c r="R5" s="4" t="n">
        <f aca="false">+Q5+1</f>
        <v>13</v>
      </c>
      <c r="S5" s="4" t="n">
        <f aca="false">+R5+1</f>
        <v>14</v>
      </c>
      <c r="T5" s="4" t="n">
        <f aca="false">+S5+1</f>
        <v>15</v>
      </c>
      <c r="U5" s="4" t="n">
        <f aca="false">+T5+1</f>
        <v>16</v>
      </c>
      <c r="V5" s="4" t="n">
        <f aca="false">+U5+1</f>
        <v>17</v>
      </c>
      <c r="W5" s="4" t="n">
        <f aca="false">+V5+1</f>
        <v>18</v>
      </c>
      <c r="X5" s="4" t="n">
        <f aca="false">+W5+1</f>
        <v>19</v>
      </c>
      <c r="Y5" s="4" t="n">
        <f aca="false">+X5+1</f>
        <v>20</v>
      </c>
      <c r="Z5" s="4" t="n">
        <f aca="false">+Y5+1</f>
        <v>21</v>
      </c>
      <c r="AA5" s="4" t="n">
        <f aca="false">+Z5+1</f>
        <v>22</v>
      </c>
      <c r="AB5" s="4" t="n">
        <f aca="false">+AA5+1</f>
        <v>23</v>
      </c>
      <c r="AC5" s="4" t="n">
        <f aca="false">+AB5+1</f>
        <v>24</v>
      </c>
      <c r="AD5" s="4" t="n">
        <f aca="false">+AC5+1</f>
        <v>25</v>
      </c>
      <c r="AE5" s="4" t="n">
        <f aca="false">+AD5+1</f>
        <v>26</v>
      </c>
      <c r="AF5" s="4" t="n">
        <f aca="false">+AE5+1</f>
        <v>27</v>
      </c>
      <c r="AG5" s="4" t="n">
        <f aca="false">+AF5+1</f>
        <v>28</v>
      </c>
      <c r="AH5" s="4" t="n">
        <f aca="false">+AG5+1</f>
        <v>29</v>
      </c>
      <c r="AI5" s="4" t="n">
        <f aca="false">+AH5+1</f>
        <v>30</v>
      </c>
      <c r="AJ5" s="4" t="n">
        <f aca="false">+AI5+1</f>
        <v>31</v>
      </c>
      <c r="AK5" s="4" t="n">
        <f aca="false">+AJ5+1</f>
        <v>32</v>
      </c>
      <c r="AL5" s="4" t="n">
        <f aca="false">+AK5+1</f>
        <v>33</v>
      </c>
      <c r="AM5" s="4" t="n">
        <f aca="false">+AL5+1</f>
        <v>34</v>
      </c>
      <c r="AN5" s="4" t="n">
        <f aca="false">+AM5+1</f>
        <v>35</v>
      </c>
      <c r="AO5" s="4" t="n">
        <f aca="false">+AN5+1</f>
        <v>36</v>
      </c>
      <c r="AP5" s="4" t="n">
        <f aca="false">+AO5+1</f>
        <v>37</v>
      </c>
      <c r="AQ5" s="4" t="n">
        <f aca="false">+AP5+1</f>
        <v>38</v>
      </c>
      <c r="AR5" s="4" t="n">
        <f aca="false">+AQ5+1</f>
        <v>39</v>
      </c>
      <c r="AS5" s="4" t="n">
        <f aca="false">+AR5+1</f>
        <v>40</v>
      </c>
      <c r="AT5" s="4" t="n">
        <f aca="false">+AS5+1</f>
        <v>41</v>
      </c>
      <c r="AU5" s="4" t="n">
        <f aca="false">+AT5+1</f>
        <v>42</v>
      </c>
      <c r="AV5" s="4" t="n">
        <f aca="false">+AU5+1</f>
        <v>43</v>
      </c>
      <c r="AW5" s="4" t="n">
        <f aca="false">+AV5+1</f>
        <v>44</v>
      </c>
      <c r="AX5" s="4" t="n">
        <f aca="false">+AW5+1</f>
        <v>45</v>
      </c>
      <c r="AY5" s="4" t="n">
        <f aca="false">+AX5+1</f>
        <v>46</v>
      </c>
      <c r="AZ5" s="4" t="n">
        <f aca="false">+AY5+1</f>
        <v>47</v>
      </c>
      <c r="BA5" s="4" t="n">
        <f aca="false">+AZ5+1</f>
        <v>48</v>
      </c>
      <c r="BB5" s="4" t="n">
        <f aca="false">+BA5+1</f>
        <v>49</v>
      </c>
      <c r="BC5" s="4" t="n">
        <f aca="false">+BB5+1</f>
        <v>50</v>
      </c>
      <c r="BD5" s="4" t="n">
        <f aca="false">+BC5+1</f>
        <v>51</v>
      </c>
      <c r="BE5" s="4" t="n">
        <f aca="false">+BD5+1</f>
        <v>52</v>
      </c>
      <c r="BF5" s="4" t="n">
        <f aca="false">+BE5+1</f>
        <v>53</v>
      </c>
      <c r="BG5" s="4" t="n">
        <f aca="false">+BF5+1</f>
        <v>54</v>
      </c>
      <c r="BH5" s="4" t="n">
        <f aca="false">+BG5+1</f>
        <v>55</v>
      </c>
      <c r="BI5" s="4" t="n">
        <f aca="false">+BH5+1</f>
        <v>56</v>
      </c>
      <c r="BJ5" s="4" t="n">
        <f aca="false">+BI5+1</f>
        <v>57</v>
      </c>
      <c r="BK5" s="4" t="n">
        <f aca="false">+BJ5+1</f>
        <v>58</v>
      </c>
      <c r="BL5" s="4" t="n">
        <f aca="false">+BK5+1</f>
        <v>59</v>
      </c>
      <c r="BM5" s="4" t="n">
        <f aca="false">+BL5+1</f>
        <v>60</v>
      </c>
    </row>
    <row r="6" customFormat="false" ht="14.25" hidden="false" customHeight="false" outlineLevel="0" collapsed="false">
      <c r="A6" s="29" t="n">
        <v>1</v>
      </c>
      <c r="B6" s="71" t="n">
        <f aca="false">IF(MOD($A6, 12) = 0, $G$2 * 1.05, $G$2)</f>
        <v>1000</v>
      </c>
      <c r="C6" s="92" t="n">
        <f aca="false">$B6*(1-'Inputs &amp; Assuptions'!$D$12)</f>
        <v>978</v>
      </c>
      <c r="E6" s="29" t="n">
        <v>1</v>
      </c>
      <c r="F6" s="73" t="n">
        <f aca="false">$C6</f>
        <v>978</v>
      </c>
      <c r="G6" s="74" t="n">
        <f aca="false" t="array" ref="G6:G6">IF(COLUMN() - ($E6 + 5) &lt; 0, 0,
  IF(COLUMN() - ($E6 + 5) = 0, $F6,
    F6 * (1 - IFERROR(INDEX('Inputs &amp; Assuptions'!$D$13:$D$72, COLUMN() - ($E6 + 5)), 0))
  )
)</f>
        <v>973.11</v>
      </c>
      <c r="H6" s="74" t="n">
        <f aca="false" t="array" ref="H6:H6">IF(COLUMN() - ($E6 + 5) &lt; 0, 0,
  IF(COLUMN() - ($E6 + 5) = 0, $F6,
    G6 * (1 - IFERROR(INDEX('Inputs &amp; Assuptions'!$D$13:$D$72, COLUMN() - ($E6 + 5)), 0))
  )
)</f>
        <v>969.412182</v>
      </c>
      <c r="I6" s="74" t="n">
        <f aca="false" t="array" ref="I6:I6">IF(COLUMN() - ($E6 + 5) &lt; 0, 0,
  IF(COLUMN() - ($E6 + 5) = 0, $F6,
    H6 * (1 - IFERROR(INDEX('Inputs &amp; Assuptions'!$D$13:$D$72, COLUMN() - ($E6 + 5)), 0))
  )
)</f>
        <v>966.988651545</v>
      </c>
      <c r="J6" s="74" t="n">
        <f aca="false" t="array" ref="J6:J6">IF(COLUMN() - ($E6 + 5) &lt; 0, 0,
  IF(COLUMN() - ($E6 + 5) = 0, $F6,
    I6 * (1 - IFERROR(INDEX('Inputs &amp; Assuptions'!$D$13:$D$72, COLUMN() - ($E6 + 5)), 0))
  )
)</f>
        <v>964.764577646447</v>
      </c>
      <c r="K6" s="74" t="n">
        <f aca="false" t="array" ref="K6:K6">IF(COLUMN() - ($E6 + 5) &lt; 0, 0,
  IF(COLUMN() - ($E6 + 5) = 0, $F6,
    J6 * (1 - IFERROR(INDEX('Inputs &amp; Assuptions'!$D$13:$D$72, COLUMN() - ($E6 + 5)), 0))
  )
)</f>
        <v>962.835048491154</v>
      </c>
      <c r="L6" s="74" t="n">
        <f aca="false" t="array" ref="L6:L6">IF(COLUMN() - ($E6 + 5) &lt; 0, 0,
  IF(COLUMN() - ($E6 + 5) = 0, $F6,
    K6 * (1 - IFERROR(INDEX('Inputs &amp; Assuptions'!$D$13:$D$72, COLUMN() - ($E6 + 5)), 0))
  )
)</f>
        <v>961.10194540387</v>
      </c>
      <c r="M6" s="74" t="n">
        <f aca="false" t="array" ref="M6:M6">IF(COLUMN() - ($E6 + 5) &lt; 0, 0,
  IF(COLUMN() - ($E6 + 5) = 0, $F6,
    L6 * (1 - IFERROR(INDEX('Inputs &amp; Assuptions'!$D$13:$D$72, COLUMN() - ($E6 + 5)), 0))
  )
)</f>
        <v>959.660292485764</v>
      </c>
      <c r="N6" s="74" t="n">
        <f aca="false" t="array" ref="N6:N6">IF(COLUMN() - ($E6 + 5) &lt; 0, 0,
  IF(COLUMN() - ($E6 + 5) = 0, $F6,
    M6 * (1 - IFERROR(INDEX('Inputs &amp; Assuptions'!$D$13:$D$72, COLUMN() - ($E6 + 5)), 0))
  )
)</f>
        <v>958.412734105532</v>
      </c>
      <c r="O6" s="74" t="n">
        <f aca="false" t="array" ref="O6:O6">IF(COLUMN() - ($E6 + 5) &lt; 0, 0,
  IF(COLUMN() - ($E6 + 5) = 0, $F6,
    N6 * (1 - IFERROR(INDEX('Inputs &amp; Assuptions'!$D$13:$D$72, COLUMN() - ($E6 + 5)), 0))
  )
)</f>
        <v>957.454321371427</v>
      </c>
      <c r="P6" s="74" t="n">
        <f aca="false" t="array" ref="P6:P6">IF(COLUMN() - ($E6 + 5) &lt; 0, 0,
  IF(COLUMN() - ($E6 + 5) = 0, $F6,
    O6 * (1 - IFERROR(INDEX('Inputs &amp; Assuptions'!$D$13:$D$72, COLUMN() - ($E6 + 5)), 0))
  )
)</f>
        <v>956.68835791433</v>
      </c>
      <c r="Q6" s="74" t="n">
        <f aca="false" t="array" ref="Q6:Q6">IF(COLUMN() - ($E6 + 5) &lt; 0, 0,
  IF(COLUMN() - ($E6 + 5) = 0, $F6,
    P6 * (1 - IFERROR(INDEX('Inputs &amp; Assuptions'!$D$13:$D$72, COLUMN() - ($E6 + 5)), 0))
  )
)</f>
        <v>956.210013735373</v>
      </c>
      <c r="R6" s="74" t="n">
        <f aca="false" t="array" ref="R6:R6">IF(COLUMN() - ($E6 + 5) &lt; 0, 0,
  IF(COLUMN() - ($E6 + 5) = 0, $F6,
    Q6 * (1 - IFERROR(INDEX('Inputs &amp; Assuptions'!$D$13:$D$72, COLUMN() - ($E6 + 5)), 0))
  )
)</f>
        <v>955.731908728505</v>
      </c>
      <c r="S6" s="74" t="n">
        <f aca="false" t="array" ref="S6:S6">IF(COLUMN() - ($E6 + 5) &lt; 0, 0,
  IF(COLUMN() - ($E6 + 5) = 0, $F6,
    R6 * (1 - IFERROR(INDEX('Inputs &amp; Assuptions'!$D$13:$D$72, COLUMN() - ($E6 + 5)), 0))
  )
)</f>
        <v>955.254042774141</v>
      </c>
      <c r="T6" s="74" t="n">
        <f aca="false" t="array" ref="T6:T6">IF(COLUMN() - ($E6 + 5) &lt; 0, 0,
  IF(COLUMN() - ($E6 + 5) = 0, $F6,
    S6 * (1 - IFERROR(INDEX('Inputs &amp; Assuptions'!$D$13:$D$72, COLUMN() - ($E6 + 5)), 0))
  )
)</f>
        <v>954.776415752754</v>
      </c>
      <c r="U6" s="74" t="n">
        <f aca="false" t="array" ref="U6:U6">IF(COLUMN() - ($E6 + 5) &lt; 0, 0,
  IF(COLUMN() - ($E6 + 5) = 0, $F6,
    T6 * (1 - IFERROR(INDEX('Inputs &amp; Assuptions'!$D$13:$D$72, COLUMN() - ($E6 + 5)), 0))
  )
)</f>
        <v>954.299027544877</v>
      </c>
      <c r="V6" s="74" t="n">
        <f aca="false" t="array" ref="V6:V6">IF(COLUMN() - ($E6 + 5) &lt; 0, 0,
  IF(COLUMN() - ($E6 + 5) = 0, $F6,
    U6 * (1 - IFERROR(INDEX('Inputs &amp; Assuptions'!$D$13:$D$72, COLUMN() - ($E6 + 5)), 0))
  )
)</f>
        <v>953.821878031105</v>
      </c>
      <c r="W6" s="74" t="n">
        <f aca="false" t="array" ref="W6:W6">IF(COLUMN() - ($E6 + 5) &lt; 0, 0,
  IF(COLUMN() - ($E6 + 5) = 0, $F6,
    V6 * (1 - IFERROR(INDEX('Inputs &amp; Assuptions'!$D$13:$D$72, COLUMN() - ($E6 + 5)), 0))
  )
)</f>
        <v>953.34496709209</v>
      </c>
      <c r="X6" s="74" t="n">
        <f aca="false" t="array" ref="X6:X6">IF(COLUMN() - ($E6 + 5) &lt; 0, 0,
  IF(COLUMN() - ($E6 + 5) = 0, $F6,
    W6 * (1 - IFERROR(INDEX('Inputs &amp; Assuptions'!$D$13:$D$72, COLUMN() - ($E6 + 5)), 0))
  )
)</f>
        <v>952.868294608544</v>
      </c>
      <c r="Y6" s="74" t="n">
        <f aca="false" t="array" ref="Y6:Y6">IF(COLUMN() - ($E6 + 5) &lt; 0, 0,
  IF(COLUMN() - ($E6 + 5) = 0, $F6,
    X6 * (1 - IFERROR(INDEX('Inputs &amp; Assuptions'!$D$13:$D$72, COLUMN() - ($E6 + 5)), 0))
  )
)</f>
        <v>952.391860461239</v>
      </c>
      <c r="Z6" s="74" t="n">
        <f aca="false" t="array" ref="Z6:Z6">IF(COLUMN() - ($E6 + 5) &lt; 0, 0,
  IF(COLUMN() - ($E6 + 5) = 0, $F6,
    Y6 * (1 - IFERROR(INDEX('Inputs &amp; Assuptions'!$D$13:$D$72, COLUMN() - ($E6 + 5)), 0))
  )
)</f>
        <v>951.915664531009</v>
      </c>
      <c r="AA6" s="74" t="n">
        <f aca="false" t="array" ref="AA6:AA6">IF(COLUMN() - ($E6 + 5) &lt; 0, 0,
  IF(COLUMN() - ($E6 + 5) = 0, $F6,
    Z6 * (1 - IFERROR(INDEX('Inputs &amp; Assuptions'!$D$13:$D$72, COLUMN() - ($E6 + 5)), 0))
  )
)</f>
        <v>951.439706698743</v>
      </c>
      <c r="AB6" s="74" t="n">
        <f aca="false" t="array" ref="AB6:AB6">IF(COLUMN() - ($E6 + 5) &lt; 0, 0,
  IF(COLUMN() - ($E6 + 5) = 0, $F6,
    AA6 * (1 - IFERROR(INDEX('Inputs &amp; Assuptions'!$D$13:$D$72, COLUMN() - ($E6 + 5)), 0))
  )
)</f>
        <v>950.963986845394</v>
      </c>
      <c r="AC6" s="74" t="n">
        <f aca="false" t="array" ref="AC6:AC6">IF(COLUMN() - ($E6 + 5) &lt; 0, 0,
  IF(COLUMN() - ($E6 + 5) = 0, $F6,
    AB6 * (1 - IFERROR(INDEX('Inputs &amp; Assuptions'!$D$13:$D$72, COLUMN() - ($E6 + 5)), 0))
  )
)</f>
        <v>950.488504851972</v>
      </c>
      <c r="AD6" s="74" t="n">
        <f aca="false" t="array" ref="AD6:AD6">IF(COLUMN() - ($E6 + 5) &lt; 0, 0,
  IF(COLUMN() - ($E6 + 5) = 0, $F6,
    AC6 * (1 - IFERROR(INDEX('Inputs &amp; Assuptions'!$D$13:$D$72, COLUMN() - ($E6 + 5)), 0))
  )
)</f>
        <v>950.013260599546</v>
      </c>
      <c r="AE6" s="74" t="n">
        <f aca="false" t="array" ref="AE6:AE6">IF(COLUMN() - ($E6 + 5) &lt; 0, 0,
  IF(COLUMN() - ($E6 + 5) = 0, $F6,
    AD6 * (1 - IFERROR(INDEX('Inputs &amp; Assuptions'!$D$13:$D$72, COLUMN() - ($E6 + 5)), 0))
  )
)</f>
        <v>949.538253969246</v>
      </c>
      <c r="AF6" s="74" t="n">
        <f aca="false" t="array" ref="AF6:AF6">IF(COLUMN() - ($E6 + 5) &lt; 0, 0,
  IF(COLUMN() - ($E6 + 5) = 0, $F6,
    AE6 * (1 - IFERROR(INDEX('Inputs &amp; Assuptions'!$D$13:$D$72, COLUMN() - ($E6 + 5)), 0))
  )
)</f>
        <v>949.063484842261</v>
      </c>
      <c r="AG6" s="74" t="n">
        <f aca="false" t="array" ref="AG6:AG6">IF(COLUMN() - ($E6 + 5) &lt; 0, 0,
  IF(COLUMN() - ($E6 + 5) = 0, $F6,
    AF6 * (1 - IFERROR(INDEX('Inputs &amp; Assuptions'!$D$13:$D$72, COLUMN() - ($E6 + 5)), 0))
  )
)</f>
        <v>948.58895309984</v>
      </c>
      <c r="AH6" s="74" t="n">
        <f aca="false" t="array" ref="AH6:AH6">IF(COLUMN() - ($E6 + 5) &lt; 0, 0,
  IF(COLUMN() - ($E6 + 5) = 0, $F6,
    AG6 * (1 - IFERROR(INDEX('Inputs &amp; Assuptions'!$D$13:$D$72, COLUMN() - ($E6 + 5)), 0))
  )
)</f>
        <v>948.11465862329</v>
      </c>
      <c r="AI6" s="74" t="n">
        <f aca="false" t="array" ref="AI6:AI6">IF(COLUMN() - ($E6 + 5) &lt; 0, 0,
  IF(COLUMN() - ($E6 + 5) = 0, $F6,
    AH6 * (1 - IFERROR(INDEX('Inputs &amp; Assuptions'!$D$13:$D$72, COLUMN() - ($E6 + 5)), 0))
  )
)</f>
        <v>947.640601293979</v>
      </c>
      <c r="AJ6" s="74" t="n">
        <f aca="false" t="array" ref="AJ6:AJ6">IF(COLUMN() - ($E6 + 5) &lt; 0, 0,
  IF(COLUMN() - ($E6 + 5) = 0, $F6,
    AI6 * (1 - IFERROR(INDEX('Inputs &amp; Assuptions'!$D$13:$D$72, COLUMN() - ($E6 + 5)), 0))
  )
)</f>
        <v>947.166780993332</v>
      </c>
      <c r="AK6" s="74" t="n">
        <f aca="false" t="array" ref="AK6:AK6">IF(COLUMN() - ($E6 + 5) &lt; 0, 0,
  IF(COLUMN() - ($E6 + 5) = 0, $F6,
    AJ6 * (1 - IFERROR(INDEX('Inputs &amp; Assuptions'!$D$13:$D$72, COLUMN() - ($E6 + 5)), 0))
  )
)</f>
        <v>946.693197602835</v>
      </c>
      <c r="AL6" s="74" t="n">
        <f aca="false" t="array" ref="AL6:AL6">IF(COLUMN() - ($E6 + 5) &lt; 0, 0,
  IF(COLUMN() - ($E6 + 5) = 0, $F6,
    AK6 * (1 - IFERROR(INDEX('Inputs &amp; Assuptions'!$D$13:$D$72, COLUMN() - ($E6 + 5)), 0))
  )
)</f>
        <v>946.219851004034</v>
      </c>
      <c r="AM6" s="74" t="n">
        <f aca="false" t="array" ref="AM6:AM6">IF(COLUMN() - ($E6 + 5) &lt; 0, 0,
  IF(COLUMN() - ($E6 + 5) = 0, $F6,
    AL6 * (1 - IFERROR(INDEX('Inputs &amp; Assuptions'!$D$13:$D$72, COLUMN() - ($E6 + 5)), 0))
  )
)</f>
        <v>945.746741078532</v>
      </c>
      <c r="AN6" s="74" t="n">
        <f aca="false" t="array" ref="AN6:AN6">IF(COLUMN() - ($E6 + 5) &lt; 0, 0,
  IF(COLUMN() - ($E6 + 5) = 0, $F6,
    AM6 * (1 - IFERROR(INDEX('Inputs &amp; Assuptions'!$D$13:$D$72, COLUMN() - ($E6 + 5)), 0))
  )
)</f>
        <v>945.273867707993</v>
      </c>
      <c r="AO6" s="74" t="n">
        <f aca="false" t="array" ref="AO6:AO6">IF(COLUMN() - ($E6 + 5) &lt; 0, 0,
  IF(COLUMN() - ($E6 + 5) = 0, $F6,
    AN6 * (1 - IFERROR(INDEX('Inputs &amp; Assuptions'!$D$13:$D$72, COLUMN() - ($E6 + 5)), 0))
  )
)</f>
        <v>944.801230774139</v>
      </c>
      <c r="AP6" s="74" t="n">
        <f aca="false" t="array" ref="AP6:AP6">IF(COLUMN() - ($E6 + 5) &lt; 0, 0,
  IF(COLUMN() - ($E6 + 5) = 0, $F6,
    AO6 * (1 - IFERROR(INDEX('Inputs &amp; Assuptions'!$D$13:$D$72, COLUMN() - ($E6 + 5)), 0))
  )
)</f>
        <v>944.328830158752</v>
      </c>
      <c r="AQ6" s="74" t="n">
        <f aca="false" t="array" ref="AQ6:AQ6">IF(COLUMN() - ($E6 + 5) &lt; 0, 0,
  IF(COLUMN() - ($E6 + 5) = 0, $F6,
    AP6 * (1 - IFERROR(INDEX('Inputs &amp; Assuptions'!$D$13:$D$72, COLUMN() - ($E6 + 5)), 0))
  )
)</f>
        <v>943.856665743672</v>
      </c>
      <c r="AR6" s="74" t="n">
        <f aca="false" t="array" ref="AR6:AR6">IF(COLUMN() - ($E6 + 5) &lt; 0, 0,
  IF(COLUMN() - ($E6 + 5) = 0, $F6,
    AQ6 * (1 - IFERROR(INDEX('Inputs &amp; Assuptions'!$D$13:$D$72, COLUMN() - ($E6 + 5)), 0))
  )
)</f>
        <v>943.384737410801</v>
      </c>
      <c r="AS6" s="74" t="n">
        <f aca="false" t="array" ref="AS6:AS6">IF(COLUMN() - ($E6 + 5) &lt; 0, 0,
  IF(COLUMN() - ($E6 + 5) = 0, $F6,
    AR6 * (1 - IFERROR(INDEX('Inputs &amp; Assuptions'!$D$13:$D$72, COLUMN() - ($E6 + 5)), 0))
  )
)</f>
        <v>942.913045042095</v>
      </c>
      <c r="AT6" s="74" t="n">
        <f aca="false" t="array" ref="AT6:AT6">IF(COLUMN() - ($E6 + 5) &lt; 0, 0,
  IF(COLUMN() - ($E6 + 5) = 0, $F6,
    AS6 * (1 - IFERROR(INDEX('Inputs &amp; Assuptions'!$D$13:$D$72, COLUMN() - ($E6 + 5)), 0))
  )
)</f>
        <v>942.441588519574</v>
      </c>
      <c r="AU6" s="74" t="n">
        <f aca="false" t="array" ref="AU6:AU6">IF(COLUMN() - ($E6 + 5) &lt; 0, 0,
  IF(COLUMN() - ($E6 + 5) = 0, $F6,
    AT6 * (1 - IFERROR(INDEX('Inputs &amp; Assuptions'!$D$13:$D$72, COLUMN() - ($E6 + 5)), 0))
  )
)</f>
        <v>941.970367725315</v>
      </c>
      <c r="AV6" s="74" t="n">
        <f aca="false" t="array" ref="AV6:AV6">IF(COLUMN() - ($E6 + 5) &lt; 0, 0,
  IF(COLUMN() - ($E6 + 5) = 0, $F6,
    AU6 * (1 - IFERROR(INDEX('Inputs &amp; Assuptions'!$D$13:$D$72, COLUMN() - ($E6 + 5)), 0))
  )
)</f>
        <v>941.499382541452</v>
      </c>
      <c r="AW6" s="74" t="n">
        <f aca="false" t="array" ref="AW6:AW6">IF(COLUMN() - ($E6 + 5) &lt; 0, 0,
  IF(COLUMN() - ($E6 + 5) = 0, $F6,
    AV6 * (1 - IFERROR(INDEX('Inputs &amp; Assuptions'!$D$13:$D$72, COLUMN() - ($E6 + 5)), 0))
  )
)</f>
        <v>941.028632850181</v>
      </c>
      <c r="AX6" s="74" t="n">
        <f aca="false" t="array" ref="AX6:AX6">IF(COLUMN() - ($E6 + 5) &lt; 0, 0,
  IF(COLUMN() - ($E6 + 5) = 0, $F6,
    AW6 * (1 - IFERROR(INDEX('Inputs &amp; Assuptions'!$D$13:$D$72, COLUMN() - ($E6 + 5)), 0))
  )
)</f>
        <v>940.558118533756</v>
      </c>
      <c r="AY6" s="74" t="n">
        <f aca="false" t="array" ref="AY6:AY6">IF(COLUMN() - ($E6 + 5) &lt; 0, 0,
  IF(COLUMN() - ($E6 + 5) = 0, $F6,
    AX6 * (1 - IFERROR(INDEX('Inputs &amp; Assuptions'!$D$13:$D$72, COLUMN() - ($E6 + 5)), 0))
  )
)</f>
        <v>940.087839474489</v>
      </c>
      <c r="AZ6" s="74" t="n">
        <f aca="false" t="array" ref="AZ6:AZ6">IF(COLUMN() - ($E6 + 5) &lt; 0, 0,
  IF(COLUMN() - ($E6 + 5) = 0, $F6,
    AY6 * (1 - IFERROR(INDEX('Inputs &amp; Assuptions'!$D$13:$D$72, COLUMN() - ($E6 + 5)), 0))
  )
)</f>
        <v>939.617795554752</v>
      </c>
      <c r="BA6" s="74" t="n">
        <f aca="false" t="array" ref="BA6:BA6">IF(COLUMN() - ($E6 + 5) &lt; 0, 0,
  IF(COLUMN() - ($E6 + 5) = 0, $F6,
    AZ6 * (1 - IFERROR(INDEX('Inputs &amp; Assuptions'!$D$13:$D$72, COLUMN() - ($E6 + 5)), 0))
  )
)</f>
        <v>939.147986656975</v>
      </c>
      <c r="BB6" s="74" t="n">
        <f aca="false" t="array" ref="BB6:BB6">IF(COLUMN() - ($E6 + 5) &lt; 0, 0,
  IF(COLUMN() - ($E6 + 5) = 0, $F6,
    BA6 * (1 - IFERROR(INDEX('Inputs &amp; Assuptions'!$D$13:$D$72, COLUMN() - ($E6 + 5)), 0))
  )
)</f>
        <v>938.678412663646</v>
      </c>
      <c r="BC6" s="74" t="n">
        <f aca="false" t="array" ref="BC6:BC6">IF(COLUMN() - ($E6 + 5) &lt; 0, 0,
  IF(COLUMN() - ($E6 + 5) = 0, $F6,
    BB6 * (1 - IFERROR(INDEX('Inputs &amp; Assuptions'!$D$13:$D$72, COLUMN() - ($E6 + 5)), 0))
  )
)</f>
        <v>938.209073457315</v>
      </c>
      <c r="BD6" s="74" t="n">
        <f aca="false" t="array" ref="BD6:BD6">IF(COLUMN() - ($E6 + 5) &lt; 0, 0,
  IF(COLUMN() - ($E6 + 5) = 0, $F6,
    BC6 * (1 - IFERROR(INDEX('Inputs &amp; Assuptions'!$D$13:$D$72, COLUMN() - ($E6 + 5)), 0))
  )
)</f>
        <v>937.739968920586</v>
      </c>
      <c r="BE6" s="74" t="n">
        <f aca="false" t="array" ref="BE6:BE6">IF(COLUMN() - ($E6 + 5) &lt; 0, 0,
  IF(COLUMN() - ($E6 + 5) = 0, $F6,
    BD6 * (1 - IFERROR(INDEX('Inputs &amp; Assuptions'!$D$13:$D$72, COLUMN() - ($E6 + 5)), 0))
  )
)</f>
        <v>937.271098936126</v>
      </c>
      <c r="BF6" s="74" t="n">
        <f aca="false" t="array" ref="BF6:BF6">IF(COLUMN() - ($E6 + 5) &lt; 0, 0,
  IF(COLUMN() - ($E6 + 5) = 0, $F6,
    BE6 * (1 - IFERROR(INDEX('Inputs &amp; Assuptions'!$D$13:$D$72, COLUMN() - ($E6 + 5)), 0))
  )
)</f>
        <v>936.802463386658</v>
      </c>
      <c r="BG6" s="74" t="n">
        <f aca="false" t="array" ref="BG6:BG6">IF(COLUMN() - ($E6 + 5) &lt; 0, 0,
  IF(COLUMN() - ($E6 + 5) = 0, $F6,
    BF6 * (1 - IFERROR(INDEX('Inputs &amp; Assuptions'!$D$13:$D$72, COLUMN() - ($E6 + 5)), 0))
  )
)</f>
        <v>936.334062154964</v>
      </c>
      <c r="BH6" s="74" t="n">
        <f aca="false" t="array" ref="BH6:BH6">IF(COLUMN() - ($E6 + 5) &lt; 0, 0,
  IF(COLUMN() - ($E6 + 5) = 0, $F6,
    BG6 * (1 - IFERROR(INDEX('Inputs &amp; Assuptions'!$D$13:$D$72, COLUMN() - ($E6 + 5)), 0))
  )
)</f>
        <v>935.865895123887</v>
      </c>
      <c r="BI6" s="74" t="n">
        <f aca="false" t="array" ref="BI6:BI6">IF(COLUMN() - ($E6 + 5) &lt; 0, 0,
  IF(COLUMN() - ($E6 + 5) = 0, $F6,
    BH6 * (1 - IFERROR(INDEX('Inputs &amp; Assuptions'!$D$13:$D$72, COLUMN() - ($E6 + 5)), 0))
  )
)</f>
        <v>935.397962176325</v>
      </c>
      <c r="BJ6" s="74" t="n">
        <f aca="false" t="array" ref="BJ6:BJ6">IF(COLUMN() - ($E6 + 5) &lt; 0, 0,
  IF(COLUMN() - ($E6 + 5) = 0, $F6,
    BI6 * (1 - IFERROR(INDEX('Inputs &amp; Assuptions'!$D$13:$D$72, COLUMN() - ($E6 + 5)), 0))
  )
)</f>
        <v>934.930263195237</v>
      </c>
      <c r="BK6" s="74" t="n">
        <f aca="false" t="array" ref="BK6:BK6">IF(COLUMN() - ($E6 + 5) &lt; 0, 0,
  IF(COLUMN() - ($E6 + 5) = 0, $F6,
    BJ6 * (1 - IFERROR(INDEX('Inputs &amp; Assuptions'!$D$13:$D$72, COLUMN() - ($E6 + 5)), 0))
  )
)</f>
        <v>934.462798063639</v>
      </c>
      <c r="BL6" s="74" t="n">
        <f aca="false" t="array" ref="BL6:BL6">IF(COLUMN() - ($E6 + 5) &lt; 0, 0,
  IF(COLUMN() - ($E6 + 5) = 0, $F6,
    BK6 * (1 - IFERROR(INDEX('Inputs &amp; Assuptions'!$D$13:$D$72, COLUMN() - ($E6 + 5)), 0))
  )
)</f>
        <v>933.995566664608</v>
      </c>
      <c r="BM6" s="75" t="n">
        <f aca="false" t="array" ref="BM6:BM6">IF(COLUMN() - ($E6 + 5) &lt; 0, 0,
  IF(COLUMN() - ($E6 + 5) = 0, $F6,
    BL6 * (1 - IFERROR(INDEX('Inputs &amp; Assuptions'!$D$13:$D$72, COLUMN() - ($E6 + 5)), 0))
  )
)</f>
        <v>933.528568881275</v>
      </c>
      <c r="BN6" s="76"/>
      <c r="BO6" s="70"/>
    </row>
    <row r="7" customFormat="false" ht="14.25" hidden="false" customHeight="false" outlineLevel="0" collapsed="false">
      <c r="A7" s="29" t="n">
        <f aca="false">A6+1</f>
        <v>2</v>
      </c>
      <c r="B7" s="77" t="n">
        <f aca="false">IF(MOD($A7-1, 12) = 0, $B6 * 1.05, $B6)</f>
        <v>1000</v>
      </c>
      <c r="C7" s="93" t="n">
        <f aca="false">$B7*(1-'Inputs &amp; Assuptions'!$D$12)</f>
        <v>978</v>
      </c>
      <c r="E7" s="29" t="n">
        <f aca="false">E6+1</f>
        <v>2</v>
      </c>
      <c r="F7" s="79"/>
      <c r="G7" s="80" t="n">
        <f aca="false">$C7</f>
        <v>978</v>
      </c>
      <c r="H7" s="80" t="n">
        <f aca="false" t="array" ref="H7:H7">IF(COLUMN() - ($E7 + 5) &lt; 0, 0,
  IF(COLUMN() - ($E7 + 5) = 0, $F7,
    G7 * (1 - IFERROR(INDEX('Inputs &amp; Assuptions'!$D$13:$D$72, COLUMN() - ($E7 + 5)), 0))
  )
)</f>
        <v>973.11</v>
      </c>
      <c r="I7" s="80" t="n">
        <f aca="false" t="array" ref="I7:I7">IF(COLUMN() - ($E7 + 5) &lt; 0, 0,
  IF(COLUMN() - ($E7 + 5) = 0, $F7,
    H7 * (1 - IFERROR(INDEX('Inputs &amp; Assuptions'!$D$13:$D$72, COLUMN() - ($E7 + 5)), 0))
  )
)</f>
        <v>969.412182</v>
      </c>
      <c r="J7" s="80" t="n">
        <f aca="false" t="array" ref="J7:J7">IF(COLUMN() - ($E7 + 5) &lt; 0, 0,
  IF(COLUMN() - ($E7 + 5) = 0, $F7,
    I7 * (1 - IFERROR(INDEX('Inputs &amp; Assuptions'!$D$13:$D$72, COLUMN() - ($E7 + 5)), 0))
  )
)</f>
        <v>966.988651545</v>
      </c>
      <c r="K7" s="80" t="n">
        <f aca="false" t="array" ref="K7:K7">IF(COLUMN() - ($E7 + 5) &lt; 0, 0,
  IF(COLUMN() - ($E7 + 5) = 0, $F7,
    J7 * (1 - IFERROR(INDEX('Inputs &amp; Assuptions'!$D$13:$D$72, COLUMN() - ($E7 + 5)), 0))
  )
)</f>
        <v>964.764577646447</v>
      </c>
      <c r="L7" s="80" t="n">
        <f aca="false" t="array" ref="L7:L7">IF(COLUMN() - ($E7 + 5) &lt; 0, 0,
  IF(COLUMN() - ($E7 + 5) = 0, $F7,
    K7 * (1 - IFERROR(INDEX('Inputs &amp; Assuptions'!$D$13:$D$72, COLUMN() - ($E7 + 5)), 0))
  )
)</f>
        <v>962.835048491154</v>
      </c>
      <c r="M7" s="80" t="n">
        <f aca="false" t="array" ref="M7:M7">IF(COLUMN() - ($E7 + 5) &lt; 0, 0,
  IF(COLUMN() - ($E7 + 5) = 0, $F7,
    L7 * (1 - IFERROR(INDEX('Inputs &amp; Assuptions'!$D$13:$D$72, COLUMN() - ($E7 + 5)), 0))
  )
)</f>
        <v>961.10194540387</v>
      </c>
      <c r="N7" s="80" t="n">
        <f aca="false" t="array" ref="N7:N7">IF(COLUMN() - ($E7 + 5) &lt; 0, 0,
  IF(COLUMN() - ($E7 + 5) = 0, $F7,
    M7 * (1 - IFERROR(INDEX('Inputs &amp; Assuptions'!$D$13:$D$72, COLUMN() - ($E7 + 5)), 0))
  )
)</f>
        <v>959.660292485764</v>
      </c>
      <c r="O7" s="80" t="n">
        <f aca="false" t="array" ref="O7:O7">IF(COLUMN() - ($E7 + 5) &lt; 0, 0,
  IF(COLUMN() - ($E7 + 5) = 0, $F7,
    N7 * (1 - IFERROR(INDEX('Inputs &amp; Assuptions'!$D$13:$D$72, COLUMN() - ($E7 + 5)), 0))
  )
)</f>
        <v>958.412734105532</v>
      </c>
      <c r="P7" s="80" t="n">
        <f aca="false" t="array" ref="P7:P7">IF(COLUMN() - ($E7 + 5) &lt; 0, 0,
  IF(COLUMN() - ($E7 + 5) = 0, $F7,
    O7 * (1 - IFERROR(INDEX('Inputs &amp; Assuptions'!$D$13:$D$72, COLUMN() - ($E7 + 5)), 0))
  )
)</f>
        <v>957.454321371427</v>
      </c>
      <c r="Q7" s="80" t="n">
        <f aca="false" t="array" ref="Q7:Q7">IF(COLUMN() - ($E7 + 5) &lt; 0, 0,
  IF(COLUMN() - ($E7 + 5) = 0, $F7,
    P7 * (1 - IFERROR(INDEX('Inputs &amp; Assuptions'!$D$13:$D$72, COLUMN() - ($E7 + 5)), 0))
  )
)</f>
        <v>956.68835791433</v>
      </c>
      <c r="R7" s="80" t="n">
        <f aca="false" t="array" ref="R7:R7">IF(COLUMN() - ($E7 + 5) &lt; 0, 0,
  IF(COLUMN() - ($E7 + 5) = 0, $F7,
    Q7 * (1 - IFERROR(INDEX('Inputs &amp; Assuptions'!$D$13:$D$72, COLUMN() - ($E7 + 5)), 0))
  )
)</f>
        <v>956.210013735373</v>
      </c>
      <c r="S7" s="80" t="n">
        <f aca="false" t="array" ref="S7:S7">IF(COLUMN() - ($E7 + 5) &lt; 0, 0,
  IF(COLUMN() - ($E7 + 5) = 0, $F7,
    R7 * (1 - IFERROR(INDEX('Inputs &amp; Assuptions'!$D$13:$D$72, COLUMN() - ($E7 + 5)), 0))
  )
)</f>
        <v>955.731908728505</v>
      </c>
      <c r="T7" s="80" t="n">
        <f aca="false" t="array" ref="T7:T7">IF(COLUMN() - ($E7 + 5) &lt; 0, 0,
  IF(COLUMN() - ($E7 + 5) = 0, $F7,
    S7 * (1 - IFERROR(INDEX('Inputs &amp; Assuptions'!$D$13:$D$72, COLUMN() - ($E7 + 5)), 0))
  )
)</f>
        <v>955.254042774141</v>
      </c>
      <c r="U7" s="80" t="n">
        <f aca="false" t="array" ref="U7:U7">IF(COLUMN() - ($E7 + 5) &lt; 0, 0,
  IF(COLUMN() - ($E7 + 5) = 0, $F7,
    T7 * (1 - IFERROR(INDEX('Inputs &amp; Assuptions'!$D$13:$D$72, COLUMN() - ($E7 + 5)), 0))
  )
)</f>
        <v>954.776415752754</v>
      </c>
      <c r="V7" s="80" t="n">
        <f aca="false" t="array" ref="V7:V7">IF(COLUMN() - ($E7 + 5) &lt; 0, 0,
  IF(COLUMN() - ($E7 + 5) = 0, $F7,
    U7 * (1 - IFERROR(INDEX('Inputs &amp; Assuptions'!$D$13:$D$72, COLUMN() - ($E7 + 5)), 0))
  )
)</f>
        <v>954.299027544877</v>
      </c>
      <c r="W7" s="80" t="n">
        <f aca="false" t="array" ref="W7:W7">IF(COLUMN() - ($E7 + 5) &lt; 0, 0,
  IF(COLUMN() - ($E7 + 5) = 0, $F7,
    V7 * (1 - IFERROR(INDEX('Inputs &amp; Assuptions'!$D$13:$D$72, COLUMN() - ($E7 + 5)), 0))
  )
)</f>
        <v>953.821878031105</v>
      </c>
      <c r="X7" s="80" t="n">
        <f aca="false" t="array" ref="X7:X7">IF(COLUMN() - ($E7 + 5) &lt; 0, 0,
  IF(COLUMN() - ($E7 + 5) = 0, $F7,
    W7 * (1 - IFERROR(INDEX('Inputs &amp; Assuptions'!$D$13:$D$72, COLUMN() - ($E7 + 5)), 0))
  )
)</f>
        <v>953.34496709209</v>
      </c>
      <c r="Y7" s="80" t="n">
        <f aca="false" t="array" ref="Y7:Y7">IF(COLUMN() - ($E7 + 5) &lt; 0, 0,
  IF(COLUMN() - ($E7 + 5) = 0, $F7,
    X7 * (1 - IFERROR(INDEX('Inputs &amp; Assuptions'!$D$13:$D$72, COLUMN() - ($E7 + 5)), 0))
  )
)</f>
        <v>952.868294608544</v>
      </c>
      <c r="Z7" s="80" t="n">
        <f aca="false" t="array" ref="Z7:Z7">IF(COLUMN() - ($E7 + 5) &lt; 0, 0,
  IF(COLUMN() - ($E7 + 5) = 0, $F7,
    Y7 * (1 - IFERROR(INDEX('Inputs &amp; Assuptions'!$D$13:$D$72, COLUMN() - ($E7 + 5)), 0))
  )
)</f>
        <v>952.391860461239</v>
      </c>
      <c r="AA7" s="80" t="n">
        <f aca="false" t="array" ref="AA7:AA7">IF(COLUMN() - ($E7 + 5) &lt; 0, 0,
  IF(COLUMN() - ($E7 + 5) = 0, $F7,
    Z7 * (1 - IFERROR(INDEX('Inputs &amp; Assuptions'!$D$13:$D$72, COLUMN() - ($E7 + 5)), 0))
  )
)</f>
        <v>951.915664531009</v>
      </c>
      <c r="AB7" s="80" t="n">
        <f aca="false" t="array" ref="AB7:AB7">IF(COLUMN() - ($E7 + 5) &lt; 0, 0,
  IF(COLUMN() - ($E7 + 5) = 0, $F7,
    AA7 * (1 - IFERROR(INDEX('Inputs &amp; Assuptions'!$D$13:$D$72, COLUMN() - ($E7 + 5)), 0))
  )
)</f>
        <v>951.439706698743</v>
      </c>
      <c r="AC7" s="80" t="n">
        <f aca="false" t="array" ref="AC7:AC7">IF(COLUMN() - ($E7 + 5) &lt; 0, 0,
  IF(COLUMN() - ($E7 + 5) = 0, $F7,
    AB7 * (1 - IFERROR(INDEX('Inputs &amp; Assuptions'!$D$13:$D$72, COLUMN() - ($E7 + 5)), 0))
  )
)</f>
        <v>950.963986845394</v>
      </c>
      <c r="AD7" s="80" t="n">
        <f aca="false" t="array" ref="AD7:AD7">IF(COLUMN() - ($E7 + 5) &lt; 0, 0,
  IF(COLUMN() - ($E7 + 5) = 0, $F7,
    AC7 * (1 - IFERROR(INDEX('Inputs &amp; Assuptions'!$D$13:$D$72, COLUMN() - ($E7 + 5)), 0))
  )
)</f>
        <v>950.488504851972</v>
      </c>
      <c r="AE7" s="80" t="n">
        <f aca="false" t="array" ref="AE7:AE7">IF(COLUMN() - ($E7 + 5) &lt; 0, 0,
  IF(COLUMN() - ($E7 + 5) = 0, $F7,
    AD7 * (1 - IFERROR(INDEX('Inputs &amp; Assuptions'!$D$13:$D$72, COLUMN() - ($E7 + 5)), 0))
  )
)</f>
        <v>950.013260599546</v>
      </c>
      <c r="AF7" s="80" t="n">
        <f aca="false" t="array" ref="AF7:AF7">IF(COLUMN() - ($E7 + 5) &lt; 0, 0,
  IF(COLUMN() - ($E7 + 5) = 0, $F7,
    AE7 * (1 - IFERROR(INDEX('Inputs &amp; Assuptions'!$D$13:$D$72, COLUMN() - ($E7 + 5)), 0))
  )
)</f>
        <v>949.538253969246</v>
      </c>
      <c r="AG7" s="80" t="n">
        <f aca="false" t="array" ref="AG7:AG7">IF(COLUMN() - ($E7 + 5) &lt; 0, 0,
  IF(COLUMN() - ($E7 + 5) = 0, $F7,
    AF7 * (1 - IFERROR(INDEX('Inputs &amp; Assuptions'!$D$13:$D$72, COLUMN() - ($E7 + 5)), 0))
  )
)</f>
        <v>949.063484842261</v>
      </c>
      <c r="AH7" s="80" t="n">
        <f aca="false" t="array" ref="AH7:AH7">IF(COLUMN() - ($E7 + 5) &lt; 0, 0,
  IF(COLUMN() - ($E7 + 5) = 0, $F7,
    AG7 * (1 - IFERROR(INDEX('Inputs &amp; Assuptions'!$D$13:$D$72, COLUMN() - ($E7 + 5)), 0))
  )
)</f>
        <v>948.58895309984</v>
      </c>
      <c r="AI7" s="80" t="n">
        <f aca="false" t="array" ref="AI7:AI7">IF(COLUMN() - ($E7 + 5) &lt; 0, 0,
  IF(COLUMN() - ($E7 + 5) = 0, $F7,
    AH7 * (1 - IFERROR(INDEX('Inputs &amp; Assuptions'!$D$13:$D$72, COLUMN() - ($E7 + 5)), 0))
  )
)</f>
        <v>948.11465862329</v>
      </c>
      <c r="AJ7" s="80" t="n">
        <f aca="false" t="array" ref="AJ7:AJ7">IF(COLUMN() - ($E7 + 5) &lt; 0, 0,
  IF(COLUMN() - ($E7 + 5) = 0, $F7,
    AI7 * (1 - IFERROR(INDEX('Inputs &amp; Assuptions'!$D$13:$D$72, COLUMN() - ($E7 + 5)), 0))
  )
)</f>
        <v>947.640601293979</v>
      </c>
      <c r="AK7" s="80" t="n">
        <f aca="false" t="array" ref="AK7:AK7">IF(COLUMN() - ($E7 + 5) &lt; 0, 0,
  IF(COLUMN() - ($E7 + 5) = 0, $F7,
    AJ7 * (1 - IFERROR(INDEX('Inputs &amp; Assuptions'!$D$13:$D$72, COLUMN() - ($E7 + 5)), 0))
  )
)</f>
        <v>947.166780993332</v>
      </c>
      <c r="AL7" s="80" t="n">
        <f aca="false" t="array" ref="AL7:AL7">IF(COLUMN() - ($E7 + 5) &lt; 0, 0,
  IF(COLUMN() - ($E7 + 5) = 0, $F7,
    AK7 * (1 - IFERROR(INDEX('Inputs &amp; Assuptions'!$D$13:$D$72, COLUMN() - ($E7 + 5)), 0))
  )
)</f>
        <v>946.693197602835</v>
      </c>
      <c r="AM7" s="80" t="n">
        <f aca="false" t="array" ref="AM7:AM7">IF(COLUMN() - ($E7 + 5) &lt; 0, 0,
  IF(COLUMN() - ($E7 + 5) = 0, $F7,
    AL7 * (1 - IFERROR(INDEX('Inputs &amp; Assuptions'!$D$13:$D$72, COLUMN() - ($E7 + 5)), 0))
  )
)</f>
        <v>946.219851004034</v>
      </c>
      <c r="AN7" s="80" t="n">
        <f aca="false" t="array" ref="AN7:AN7">IF(COLUMN() - ($E7 + 5) &lt; 0, 0,
  IF(COLUMN() - ($E7 + 5) = 0, $F7,
    AM7 * (1 - IFERROR(INDEX('Inputs &amp; Assuptions'!$D$13:$D$72, COLUMN() - ($E7 + 5)), 0))
  )
)</f>
        <v>945.746741078532</v>
      </c>
      <c r="AO7" s="80" t="n">
        <f aca="false" t="array" ref="AO7:AO7">IF(COLUMN() - ($E7 + 5) &lt; 0, 0,
  IF(COLUMN() - ($E7 + 5) = 0, $F7,
    AN7 * (1 - IFERROR(INDEX('Inputs &amp; Assuptions'!$D$13:$D$72, COLUMN() - ($E7 + 5)), 0))
  )
)</f>
        <v>945.273867707993</v>
      </c>
      <c r="AP7" s="80" t="n">
        <f aca="false" t="array" ref="AP7:AP7">IF(COLUMN() - ($E7 + 5) &lt; 0, 0,
  IF(COLUMN() - ($E7 + 5) = 0, $F7,
    AO7 * (1 - IFERROR(INDEX('Inputs &amp; Assuptions'!$D$13:$D$72, COLUMN() - ($E7 + 5)), 0))
  )
)</f>
        <v>944.801230774139</v>
      </c>
      <c r="AQ7" s="80" t="n">
        <f aca="false" t="array" ref="AQ7:AQ7">IF(COLUMN() - ($E7 + 5) &lt; 0, 0,
  IF(COLUMN() - ($E7 + 5) = 0, $F7,
    AP7 * (1 - IFERROR(INDEX('Inputs &amp; Assuptions'!$D$13:$D$72, COLUMN() - ($E7 + 5)), 0))
  )
)</f>
        <v>944.328830158752</v>
      </c>
      <c r="AR7" s="80" t="n">
        <f aca="false" t="array" ref="AR7:AR7">IF(COLUMN() - ($E7 + 5) &lt; 0, 0,
  IF(COLUMN() - ($E7 + 5) = 0, $F7,
    AQ7 * (1 - IFERROR(INDEX('Inputs &amp; Assuptions'!$D$13:$D$72, COLUMN() - ($E7 + 5)), 0))
  )
)</f>
        <v>943.856665743672</v>
      </c>
      <c r="AS7" s="80" t="n">
        <f aca="false" t="array" ref="AS7:AS7">IF(COLUMN() - ($E7 + 5) &lt; 0, 0,
  IF(COLUMN() - ($E7 + 5) = 0, $F7,
    AR7 * (1 - IFERROR(INDEX('Inputs &amp; Assuptions'!$D$13:$D$72, COLUMN() - ($E7 + 5)), 0))
  )
)</f>
        <v>943.384737410801</v>
      </c>
      <c r="AT7" s="80" t="n">
        <f aca="false" t="array" ref="AT7:AT7">IF(COLUMN() - ($E7 + 5) &lt; 0, 0,
  IF(COLUMN() - ($E7 + 5) = 0, $F7,
    AS7 * (1 - IFERROR(INDEX('Inputs &amp; Assuptions'!$D$13:$D$72, COLUMN() - ($E7 + 5)), 0))
  )
)</f>
        <v>942.913045042095</v>
      </c>
      <c r="AU7" s="80" t="n">
        <f aca="false" t="array" ref="AU7:AU7">IF(COLUMN() - ($E7 + 5) &lt; 0, 0,
  IF(COLUMN() - ($E7 + 5) = 0, $F7,
    AT7 * (1 - IFERROR(INDEX('Inputs &amp; Assuptions'!$D$13:$D$72, COLUMN() - ($E7 + 5)), 0))
  )
)</f>
        <v>942.441588519574</v>
      </c>
      <c r="AV7" s="80" t="n">
        <f aca="false" t="array" ref="AV7:AV7">IF(COLUMN() - ($E7 + 5) &lt; 0, 0,
  IF(COLUMN() - ($E7 + 5) = 0, $F7,
    AU7 * (1 - IFERROR(INDEX('Inputs &amp; Assuptions'!$D$13:$D$72, COLUMN() - ($E7 + 5)), 0))
  )
)</f>
        <v>941.970367725315</v>
      </c>
      <c r="AW7" s="80" t="n">
        <f aca="false" t="array" ref="AW7:AW7">IF(COLUMN() - ($E7 + 5) &lt; 0, 0,
  IF(COLUMN() - ($E7 + 5) = 0, $F7,
    AV7 * (1 - IFERROR(INDEX('Inputs &amp; Assuptions'!$D$13:$D$72, COLUMN() - ($E7 + 5)), 0))
  )
)</f>
        <v>941.499382541452</v>
      </c>
      <c r="AX7" s="80" t="n">
        <f aca="false" t="array" ref="AX7:AX7">IF(COLUMN() - ($E7 + 5) &lt; 0, 0,
  IF(COLUMN() - ($E7 + 5) = 0, $F7,
    AW7 * (1 - IFERROR(INDEX('Inputs &amp; Assuptions'!$D$13:$D$72, COLUMN() - ($E7 + 5)), 0))
  )
)</f>
        <v>941.028632850181</v>
      </c>
      <c r="AY7" s="80" t="n">
        <f aca="false" t="array" ref="AY7:AY7">IF(COLUMN() - ($E7 + 5) &lt; 0, 0,
  IF(COLUMN() - ($E7 + 5) = 0, $F7,
    AX7 * (1 - IFERROR(INDEX('Inputs &amp; Assuptions'!$D$13:$D$72, COLUMN() - ($E7 + 5)), 0))
  )
)</f>
        <v>940.558118533756</v>
      </c>
      <c r="AZ7" s="80" t="n">
        <f aca="false" t="array" ref="AZ7:AZ7">IF(COLUMN() - ($E7 + 5) &lt; 0, 0,
  IF(COLUMN() - ($E7 + 5) = 0, $F7,
    AY7 * (1 - IFERROR(INDEX('Inputs &amp; Assuptions'!$D$13:$D$72, COLUMN() - ($E7 + 5)), 0))
  )
)</f>
        <v>940.087839474489</v>
      </c>
      <c r="BA7" s="80" t="n">
        <f aca="false" t="array" ref="BA7:BA7">IF(COLUMN() - ($E7 + 5) &lt; 0, 0,
  IF(COLUMN() - ($E7 + 5) = 0, $F7,
    AZ7 * (1 - IFERROR(INDEX('Inputs &amp; Assuptions'!$D$13:$D$72, COLUMN() - ($E7 + 5)), 0))
  )
)</f>
        <v>939.617795554752</v>
      </c>
      <c r="BB7" s="80" t="n">
        <f aca="false" t="array" ref="BB7:BB7">IF(COLUMN() - ($E7 + 5) &lt; 0, 0,
  IF(COLUMN() - ($E7 + 5) = 0, $F7,
    BA7 * (1 - IFERROR(INDEX('Inputs &amp; Assuptions'!$D$13:$D$72, COLUMN() - ($E7 + 5)), 0))
  )
)</f>
        <v>939.147986656975</v>
      </c>
      <c r="BC7" s="80" t="n">
        <f aca="false" t="array" ref="BC7:BC7">IF(COLUMN() - ($E7 + 5) &lt; 0, 0,
  IF(COLUMN() - ($E7 + 5) = 0, $F7,
    BB7 * (1 - IFERROR(INDEX('Inputs &amp; Assuptions'!$D$13:$D$72, COLUMN() - ($E7 + 5)), 0))
  )
)</f>
        <v>938.678412663646</v>
      </c>
      <c r="BD7" s="80" t="n">
        <f aca="false" t="array" ref="BD7:BD7">IF(COLUMN() - ($E7 + 5) &lt; 0, 0,
  IF(COLUMN() - ($E7 + 5) = 0, $F7,
    BC7 * (1 - IFERROR(INDEX('Inputs &amp; Assuptions'!$D$13:$D$72, COLUMN() - ($E7 + 5)), 0))
  )
)</f>
        <v>938.209073457315</v>
      </c>
      <c r="BE7" s="80" t="n">
        <f aca="false" t="array" ref="BE7:BE7">IF(COLUMN() - ($E7 + 5) &lt; 0, 0,
  IF(COLUMN() - ($E7 + 5) = 0, $F7,
    BD7 * (1 - IFERROR(INDEX('Inputs &amp; Assuptions'!$D$13:$D$72, COLUMN() - ($E7 + 5)), 0))
  )
)</f>
        <v>937.739968920586</v>
      </c>
      <c r="BF7" s="80" t="n">
        <f aca="false" t="array" ref="BF7:BF7">IF(COLUMN() - ($E7 + 5) &lt; 0, 0,
  IF(COLUMN() - ($E7 + 5) = 0, $F7,
    BE7 * (1 - IFERROR(INDEX('Inputs &amp; Assuptions'!$D$13:$D$72, COLUMN() - ($E7 + 5)), 0))
  )
)</f>
        <v>937.271098936126</v>
      </c>
      <c r="BG7" s="80" t="n">
        <f aca="false" t="array" ref="BG7:BG7">IF(COLUMN() - ($E7 + 5) &lt; 0, 0,
  IF(COLUMN() - ($E7 + 5) = 0, $F7,
    BF7 * (1 - IFERROR(INDEX('Inputs &amp; Assuptions'!$D$13:$D$72, COLUMN() - ($E7 + 5)), 0))
  )
)</f>
        <v>936.802463386658</v>
      </c>
      <c r="BH7" s="80" t="n">
        <f aca="false" t="array" ref="BH7:BH7">IF(COLUMN() - ($E7 + 5) &lt; 0, 0,
  IF(COLUMN() - ($E7 + 5) = 0, $F7,
    BG7 * (1 - IFERROR(INDEX('Inputs &amp; Assuptions'!$D$13:$D$72, COLUMN() - ($E7 + 5)), 0))
  )
)</f>
        <v>936.334062154964</v>
      </c>
      <c r="BI7" s="80" t="n">
        <f aca="false" t="array" ref="BI7:BI7">IF(COLUMN() - ($E7 + 5) &lt; 0, 0,
  IF(COLUMN() - ($E7 + 5) = 0, $F7,
    BH7 * (1 - IFERROR(INDEX('Inputs &amp; Assuptions'!$D$13:$D$72, COLUMN() - ($E7 + 5)), 0))
  )
)</f>
        <v>935.865895123887</v>
      </c>
      <c r="BJ7" s="80" t="n">
        <f aca="false" t="array" ref="BJ7:BJ7">IF(COLUMN() - ($E7 + 5) &lt; 0, 0,
  IF(COLUMN() - ($E7 + 5) = 0, $F7,
    BI7 * (1 - IFERROR(INDEX('Inputs &amp; Assuptions'!$D$13:$D$72, COLUMN() - ($E7 + 5)), 0))
  )
)</f>
        <v>935.397962176325</v>
      </c>
      <c r="BK7" s="80" t="n">
        <f aca="false" t="array" ref="BK7:BK7">IF(COLUMN() - ($E7 + 5) &lt; 0, 0,
  IF(COLUMN() - ($E7 + 5) = 0, $F7,
    BJ7 * (1 - IFERROR(INDEX('Inputs &amp; Assuptions'!$D$13:$D$72, COLUMN() - ($E7 + 5)), 0))
  )
)</f>
        <v>934.930263195237</v>
      </c>
      <c r="BL7" s="80" t="n">
        <f aca="false" t="array" ref="BL7:BL7">IF(COLUMN() - ($E7 + 5) &lt; 0, 0,
  IF(COLUMN() - ($E7 + 5) = 0, $F7,
    BK7 * (1 - IFERROR(INDEX('Inputs &amp; Assuptions'!$D$13:$D$72, COLUMN() - ($E7 + 5)), 0))
  )
)</f>
        <v>934.462798063639</v>
      </c>
      <c r="BM7" s="81" t="n">
        <f aca="false" t="array" ref="BM7:BM7">IF(COLUMN() - ($E7 + 5) &lt; 0, 0,
  IF(COLUMN() - ($E7 + 5) = 0, $F7,
    BL7 * (1 - IFERROR(INDEX('Inputs &amp; Assuptions'!$D$13:$D$72, COLUMN() - ($E7 + 5)), 0))
  )
)</f>
        <v>933.995566664608</v>
      </c>
      <c r="BN7" s="76"/>
    </row>
    <row r="8" customFormat="false" ht="14.25" hidden="false" customHeight="false" outlineLevel="0" collapsed="false">
      <c r="A8" s="29" t="n">
        <f aca="false">A7+1</f>
        <v>3</v>
      </c>
      <c r="B8" s="77" t="n">
        <f aca="false">IF(MOD($A8-1, 12) = 0, $B7 * 1.05, $B7)</f>
        <v>1000</v>
      </c>
      <c r="C8" s="93" t="n">
        <f aca="false">$B8*(1-'Inputs &amp; Assuptions'!$D$12)</f>
        <v>978</v>
      </c>
      <c r="E8" s="29" t="n">
        <f aca="false">E7+1</f>
        <v>3</v>
      </c>
      <c r="F8" s="79"/>
      <c r="G8" s="80"/>
      <c r="H8" s="80" t="n">
        <f aca="false">$C8</f>
        <v>978</v>
      </c>
      <c r="I8" s="80" t="n">
        <f aca="false" t="array" ref="I8:I8">IF(COLUMN() - ($E8 + 5) &lt; 0, 0,
  IF(COLUMN() - ($E8 + 5) = 0, $F8,
    H8 * (1 - IFERROR(INDEX('Inputs &amp; Assuptions'!$D$13:$D$72, COLUMN() - ($E8 + 5)), 0))
  )
)</f>
        <v>973.11</v>
      </c>
      <c r="J8" s="80" t="n">
        <f aca="false" t="array" ref="J8:J8">IF(COLUMN() - ($E8 + 5) &lt; 0, 0,
  IF(COLUMN() - ($E8 + 5) = 0, $F8,
    I8 * (1 - IFERROR(INDEX('Inputs &amp; Assuptions'!$D$13:$D$72, COLUMN() - ($E8 + 5)), 0))
  )
)</f>
        <v>969.412182</v>
      </c>
      <c r="K8" s="80" t="n">
        <f aca="false" t="array" ref="K8:K8">IF(COLUMN() - ($E8 + 5) &lt; 0, 0,
  IF(COLUMN() - ($E8 + 5) = 0, $F8,
    J8 * (1 - IFERROR(INDEX('Inputs &amp; Assuptions'!$D$13:$D$72, COLUMN() - ($E8 + 5)), 0))
  )
)</f>
        <v>966.988651545</v>
      </c>
      <c r="L8" s="80" t="n">
        <f aca="false" t="array" ref="L8:L8">IF(COLUMN() - ($E8 + 5) &lt; 0, 0,
  IF(COLUMN() - ($E8 + 5) = 0, $F8,
    K8 * (1 - IFERROR(INDEX('Inputs &amp; Assuptions'!$D$13:$D$72, COLUMN() - ($E8 + 5)), 0))
  )
)</f>
        <v>964.764577646447</v>
      </c>
      <c r="M8" s="80" t="n">
        <f aca="false" t="array" ref="M8:M8">IF(COLUMN() - ($E8 + 5) &lt; 0, 0,
  IF(COLUMN() - ($E8 + 5) = 0, $F8,
    L8 * (1 - IFERROR(INDEX('Inputs &amp; Assuptions'!$D$13:$D$72, COLUMN() - ($E8 + 5)), 0))
  )
)</f>
        <v>962.835048491154</v>
      </c>
      <c r="N8" s="80" t="n">
        <f aca="false" t="array" ref="N8:N8">IF(COLUMN() - ($E8 + 5) &lt; 0, 0,
  IF(COLUMN() - ($E8 + 5) = 0, $F8,
    M8 * (1 - IFERROR(INDEX('Inputs &amp; Assuptions'!$D$13:$D$72, COLUMN() - ($E8 + 5)), 0))
  )
)</f>
        <v>961.10194540387</v>
      </c>
      <c r="O8" s="80" t="n">
        <f aca="false" t="array" ref="O8:O8">IF(COLUMN() - ($E8 + 5) &lt; 0, 0,
  IF(COLUMN() - ($E8 + 5) = 0, $F8,
    N8 * (1 - IFERROR(INDEX('Inputs &amp; Assuptions'!$D$13:$D$72, COLUMN() - ($E8 + 5)), 0))
  )
)</f>
        <v>959.660292485764</v>
      </c>
      <c r="P8" s="80" t="n">
        <f aca="false" t="array" ref="P8:P8">IF(COLUMN() - ($E8 + 5) &lt; 0, 0,
  IF(COLUMN() - ($E8 + 5) = 0, $F8,
    O8 * (1 - IFERROR(INDEX('Inputs &amp; Assuptions'!$D$13:$D$72, COLUMN() - ($E8 + 5)), 0))
  )
)</f>
        <v>958.412734105532</v>
      </c>
      <c r="Q8" s="80" t="n">
        <f aca="false" t="array" ref="Q8:Q8">IF(COLUMN() - ($E8 + 5) &lt; 0, 0,
  IF(COLUMN() - ($E8 + 5) = 0, $F8,
    P8 * (1 - IFERROR(INDEX('Inputs &amp; Assuptions'!$D$13:$D$72, COLUMN() - ($E8 + 5)), 0))
  )
)</f>
        <v>957.454321371427</v>
      </c>
      <c r="R8" s="80" t="n">
        <f aca="false" t="array" ref="R8:R8">IF(COLUMN() - ($E8 + 5) &lt; 0, 0,
  IF(COLUMN() - ($E8 + 5) = 0, $F8,
    Q8 * (1 - IFERROR(INDEX('Inputs &amp; Assuptions'!$D$13:$D$72, COLUMN() - ($E8 + 5)), 0))
  )
)</f>
        <v>956.68835791433</v>
      </c>
      <c r="S8" s="80" t="n">
        <f aca="false" t="array" ref="S8:S8">IF(COLUMN() - ($E8 + 5) &lt; 0, 0,
  IF(COLUMN() - ($E8 + 5) = 0, $F8,
    R8 * (1 - IFERROR(INDEX('Inputs &amp; Assuptions'!$D$13:$D$72, COLUMN() - ($E8 + 5)), 0))
  )
)</f>
        <v>956.210013735373</v>
      </c>
      <c r="T8" s="80" t="n">
        <f aca="false" t="array" ref="T8:T8">IF(COLUMN() - ($E8 + 5) &lt; 0, 0,
  IF(COLUMN() - ($E8 + 5) = 0, $F8,
    S8 * (1 - IFERROR(INDEX('Inputs &amp; Assuptions'!$D$13:$D$72, COLUMN() - ($E8 + 5)), 0))
  )
)</f>
        <v>955.731908728505</v>
      </c>
      <c r="U8" s="80" t="n">
        <f aca="false" t="array" ref="U8:U8">IF(COLUMN() - ($E8 + 5) &lt; 0, 0,
  IF(COLUMN() - ($E8 + 5) = 0, $F8,
    T8 * (1 - IFERROR(INDEX('Inputs &amp; Assuptions'!$D$13:$D$72, COLUMN() - ($E8 + 5)), 0))
  )
)</f>
        <v>955.254042774141</v>
      </c>
      <c r="V8" s="80" t="n">
        <f aca="false" t="array" ref="V8:V8">IF(COLUMN() - ($E8 + 5) &lt; 0, 0,
  IF(COLUMN() - ($E8 + 5) = 0, $F8,
    U8 * (1 - IFERROR(INDEX('Inputs &amp; Assuptions'!$D$13:$D$72, COLUMN() - ($E8 + 5)), 0))
  )
)</f>
        <v>954.776415752754</v>
      </c>
      <c r="W8" s="80" t="n">
        <f aca="false" t="array" ref="W8:W8">IF(COLUMN() - ($E8 + 5) &lt; 0, 0,
  IF(COLUMN() - ($E8 + 5) = 0, $F8,
    V8 * (1 - IFERROR(INDEX('Inputs &amp; Assuptions'!$D$13:$D$72, COLUMN() - ($E8 + 5)), 0))
  )
)</f>
        <v>954.299027544877</v>
      </c>
      <c r="X8" s="80" t="n">
        <f aca="false" t="array" ref="X8:X8">IF(COLUMN() - ($E8 + 5) &lt; 0, 0,
  IF(COLUMN() - ($E8 + 5) = 0, $F8,
    W8 * (1 - IFERROR(INDEX('Inputs &amp; Assuptions'!$D$13:$D$72, COLUMN() - ($E8 + 5)), 0))
  )
)</f>
        <v>953.821878031105</v>
      </c>
      <c r="Y8" s="80" t="n">
        <f aca="false" t="array" ref="Y8:Y8">IF(COLUMN() - ($E8 + 5) &lt; 0, 0,
  IF(COLUMN() - ($E8 + 5) = 0, $F8,
    X8 * (1 - IFERROR(INDEX('Inputs &amp; Assuptions'!$D$13:$D$72, COLUMN() - ($E8 + 5)), 0))
  )
)</f>
        <v>953.34496709209</v>
      </c>
      <c r="Z8" s="80" t="n">
        <f aca="false" t="array" ref="Z8:Z8">IF(COLUMN() - ($E8 + 5) &lt; 0, 0,
  IF(COLUMN() - ($E8 + 5) = 0, $F8,
    Y8 * (1 - IFERROR(INDEX('Inputs &amp; Assuptions'!$D$13:$D$72, COLUMN() - ($E8 + 5)), 0))
  )
)</f>
        <v>952.868294608544</v>
      </c>
      <c r="AA8" s="80" t="n">
        <f aca="false" t="array" ref="AA8:AA8">IF(COLUMN() - ($E8 + 5) &lt; 0, 0,
  IF(COLUMN() - ($E8 + 5) = 0, $F8,
    Z8 * (1 - IFERROR(INDEX('Inputs &amp; Assuptions'!$D$13:$D$72, COLUMN() - ($E8 + 5)), 0))
  )
)</f>
        <v>952.391860461239</v>
      </c>
      <c r="AB8" s="80" t="n">
        <f aca="false" t="array" ref="AB8:AB8">IF(COLUMN() - ($E8 + 5) &lt; 0, 0,
  IF(COLUMN() - ($E8 + 5) = 0, $F8,
    AA8 * (1 - IFERROR(INDEX('Inputs &amp; Assuptions'!$D$13:$D$72, COLUMN() - ($E8 + 5)), 0))
  )
)</f>
        <v>951.915664531009</v>
      </c>
      <c r="AC8" s="80" t="n">
        <f aca="false" t="array" ref="AC8:AC8">IF(COLUMN() - ($E8 + 5) &lt; 0, 0,
  IF(COLUMN() - ($E8 + 5) = 0, $F8,
    AB8 * (1 - IFERROR(INDEX('Inputs &amp; Assuptions'!$D$13:$D$72, COLUMN() - ($E8 + 5)), 0))
  )
)</f>
        <v>951.439706698743</v>
      </c>
      <c r="AD8" s="80" t="n">
        <f aca="false" t="array" ref="AD8:AD8">IF(COLUMN() - ($E8 + 5) &lt; 0, 0,
  IF(COLUMN() - ($E8 + 5) = 0, $F8,
    AC8 * (1 - IFERROR(INDEX('Inputs &amp; Assuptions'!$D$13:$D$72, COLUMN() - ($E8 + 5)), 0))
  )
)</f>
        <v>950.963986845394</v>
      </c>
      <c r="AE8" s="80" t="n">
        <f aca="false" t="array" ref="AE8:AE8">IF(COLUMN() - ($E8 + 5) &lt; 0, 0,
  IF(COLUMN() - ($E8 + 5) = 0, $F8,
    AD8 * (1 - IFERROR(INDEX('Inputs &amp; Assuptions'!$D$13:$D$72, COLUMN() - ($E8 + 5)), 0))
  )
)</f>
        <v>950.488504851972</v>
      </c>
      <c r="AF8" s="80" t="n">
        <f aca="false" t="array" ref="AF8:AF8">IF(COLUMN() - ($E8 + 5) &lt; 0, 0,
  IF(COLUMN() - ($E8 + 5) = 0, $F8,
    AE8 * (1 - IFERROR(INDEX('Inputs &amp; Assuptions'!$D$13:$D$72, COLUMN() - ($E8 + 5)), 0))
  )
)</f>
        <v>950.013260599546</v>
      </c>
      <c r="AG8" s="80" t="n">
        <f aca="false" t="array" ref="AG8:AG8">IF(COLUMN() - ($E8 + 5) &lt; 0, 0,
  IF(COLUMN() - ($E8 + 5) = 0, $F8,
    AF8 * (1 - IFERROR(INDEX('Inputs &amp; Assuptions'!$D$13:$D$72, COLUMN() - ($E8 + 5)), 0))
  )
)</f>
        <v>949.538253969246</v>
      </c>
      <c r="AH8" s="80" t="n">
        <f aca="false" t="array" ref="AH8:AH8">IF(COLUMN() - ($E8 + 5) &lt; 0, 0,
  IF(COLUMN() - ($E8 + 5) = 0, $F8,
    AG8 * (1 - IFERROR(INDEX('Inputs &amp; Assuptions'!$D$13:$D$72, COLUMN() - ($E8 + 5)), 0))
  )
)</f>
        <v>949.063484842261</v>
      </c>
      <c r="AI8" s="80" t="n">
        <f aca="false" t="array" ref="AI8:AI8">IF(COLUMN() - ($E8 + 5) &lt; 0, 0,
  IF(COLUMN() - ($E8 + 5) = 0, $F8,
    AH8 * (1 - IFERROR(INDEX('Inputs &amp; Assuptions'!$D$13:$D$72, COLUMN() - ($E8 + 5)), 0))
  )
)</f>
        <v>948.58895309984</v>
      </c>
      <c r="AJ8" s="80" t="n">
        <f aca="false" t="array" ref="AJ8:AJ8">IF(COLUMN() - ($E8 + 5) &lt; 0, 0,
  IF(COLUMN() - ($E8 + 5) = 0, $F8,
    AI8 * (1 - IFERROR(INDEX('Inputs &amp; Assuptions'!$D$13:$D$72, COLUMN() - ($E8 + 5)), 0))
  )
)</f>
        <v>948.11465862329</v>
      </c>
      <c r="AK8" s="80" t="n">
        <f aca="false" t="array" ref="AK8:AK8">IF(COLUMN() - ($E8 + 5) &lt; 0, 0,
  IF(COLUMN() - ($E8 + 5) = 0, $F8,
    AJ8 * (1 - IFERROR(INDEX('Inputs &amp; Assuptions'!$D$13:$D$72, COLUMN() - ($E8 + 5)), 0))
  )
)</f>
        <v>947.640601293979</v>
      </c>
      <c r="AL8" s="80" t="n">
        <f aca="false" t="array" ref="AL8:AL8">IF(COLUMN() - ($E8 + 5) &lt; 0, 0,
  IF(COLUMN() - ($E8 + 5) = 0, $F8,
    AK8 * (1 - IFERROR(INDEX('Inputs &amp; Assuptions'!$D$13:$D$72, COLUMN() - ($E8 + 5)), 0))
  )
)</f>
        <v>947.166780993332</v>
      </c>
      <c r="AM8" s="80" t="n">
        <f aca="false" t="array" ref="AM8:AM8">IF(COLUMN() - ($E8 + 5) &lt; 0, 0,
  IF(COLUMN() - ($E8 + 5) = 0, $F8,
    AL8 * (1 - IFERROR(INDEX('Inputs &amp; Assuptions'!$D$13:$D$72, COLUMN() - ($E8 + 5)), 0))
  )
)</f>
        <v>946.693197602835</v>
      </c>
      <c r="AN8" s="80" t="n">
        <f aca="false" t="array" ref="AN8:AN8">IF(COLUMN() - ($E8 + 5) &lt; 0, 0,
  IF(COLUMN() - ($E8 + 5) = 0, $F8,
    AM8 * (1 - IFERROR(INDEX('Inputs &amp; Assuptions'!$D$13:$D$72, COLUMN() - ($E8 + 5)), 0))
  )
)</f>
        <v>946.219851004034</v>
      </c>
      <c r="AO8" s="80" t="n">
        <f aca="false" t="array" ref="AO8:AO8">IF(COLUMN() - ($E8 + 5) &lt; 0, 0,
  IF(COLUMN() - ($E8 + 5) = 0, $F8,
    AN8 * (1 - IFERROR(INDEX('Inputs &amp; Assuptions'!$D$13:$D$72, COLUMN() - ($E8 + 5)), 0))
  )
)</f>
        <v>945.746741078532</v>
      </c>
      <c r="AP8" s="80" t="n">
        <f aca="false" t="array" ref="AP8:AP8">IF(COLUMN() - ($E8 + 5) &lt; 0, 0,
  IF(COLUMN() - ($E8 + 5) = 0, $F8,
    AO8 * (1 - IFERROR(INDEX('Inputs &amp; Assuptions'!$D$13:$D$72, COLUMN() - ($E8 + 5)), 0))
  )
)</f>
        <v>945.273867707993</v>
      </c>
      <c r="AQ8" s="80" t="n">
        <f aca="false" t="array" ref="AQ8:AQ8">IF(COLUMN() - ($E8 + 5) &lt; 0, 0,
  IF(COLUMN() - ($E8 + 5) = 0, $F8,
    AP8 * (1 - IFERROR(INDEX('Inputs &amp; Assuptions'!$D$13:$D$72, COLUMN() - ($E8 + 5)), 0))
  )
)</f>
        <v>944.801230774139</v>
      </c>
      <c r="AR8" s="80" t="n">
        <f aca="false" t="array" ref="AR8:AR8">IF(COLUMN() - ($E8 + 5) &lt; 0, 0,
  IF(COLUMN() - ($E8 + 5) = 0, $F8,
    AQ8 * (1 - IFERROR(INDEX('Inputs &amp; Assuptions'!$D$13:$D$72, COLUMN() - ($E8 + 5)), 0))
  )
)</f>
        <v>944.328830158752</v>
      </c>
      <c r="AS8" s="80" t="n">
        <f aca="false" t="array" ref="AS8:AS8">IF(COLUMN() - ($E8 + 5) &lt; 0, 0,
  IF(COLUMN() - ($E8 + 5) = 0, $F8,
    AR8 * (1 - IFERROR(INDEX('Inputs &amp; Assuptions'!$D$13:$D$72, COLUMN() - ($E8 + 5)), 0))
  )
)</f>
        <v>943.856665743672</v>
      </c>
      <c r="AT8" s="80" t="n">
        <f aca="false" t="array" ref="AT8:AT8">IF(COLUMN() - ($E8 + 5) &lt; 0, 0,
  IF(COLUMN() - ($E8 + 5) = 0, $F8,
    AS8 * (1 - IFERROR(INDEX('Inputs &amp; Assuptions'!$D$13:$D$72, COLUMN() - ($E8 + 5)), 0))
  )
)</f>
        <v>943.384737410801</v>
      </c>
      <c r="AU8" s="80" t="n">
        <f aca="false" t="array" ref="AU8:AU8">IF(COLUMN() - ($E8 + 5) &lt; 0, 0,
  IF(COLUMN() - ($E8 + 5) = 0, $F8,
    AT8 * (1 - IFERROR(INDEX('Inputs &amp; Assuptions'!$D$13:$D$72, COLUMN() - ($E8 + 5)), 0))
  )
)</f>
        <v>942.913045042095</v>
      </c>
      <c r="AV8" s="80" t="n">
        <f aca="false" t="array" ref="AV8:AV8">IF(COLUMN() - ($E8 + 5) &lt; 0, 0,
  IF(COLUMN() - ($E8 + 5) = 0, $F8,
    AU8 * (1 - IFERROR(INDEX('Inputs &amp; Assuptions'!$D$13:$D$72, COLUMN() - ($E8 + 5)), 0))
  )
)</f>
        <v>942.441588519574</v>
      </c>
      <c r="AW8" s="80" t="n">
        <f aca="false" t="array" ref="AW8:AW8">IF(COLUMN() - ($E8 + 5) &lt; 0, 0,
  IF(COLUMN() - ($E8 + 5) = 0, $F8,
    AV8 * (1 - IFERROR(INDEX('Inputs &amp; Assuptions'!$D$13:$D$72, COLUMN() - ($E8 + 5)), 0))
  )
)</f>
        <v>941.970367725315</v>
      </c>
      <c r="AX8" s="80" t="n">
        <f aca="false" t="array" ref="AX8:AX8">IF(COLUMN() - ($E8 + 5) &lt; 0, 0,
  IF(COLUMN() - ($E8 + 5) = 0, $F8,
    AW8 * (1 - IFERROR(INDEX('Inputs &amp; Assuptions'!$D$13:$D$72, COLUMN() - ($E8 + 5)), 0))
  )
)</f>
        <v>941.499382541452</v>
      </c>
      <c r="AY8" s="80" t="n">
        <f aca="false" t="array" ref="AY8:AY8">IF(COLUMN() - ($E8 + 5) &lt; 0, 0,
  IF(COLUMN() - ($E8 + 5) = 0, $F8,
    AX8 * (1 - IFERROR(INDEX('Inputs &amp; Assuptions'!$D$13:$D$72, COLUMN() - ($E8 + 5)), 0))
  )
)</f>
        <v>941.028632850181</v>
      </c>
      <c r="AZ8" s="80" t="n">
        <f aca="false" t="array" ref="AZ8:AZ8">IF(COLUMN() - ($E8 + 5) &lt; 0, 0,
  IF(COLUMN() - ($E8 + 5) = 0, $F8,
    AY8 * (1 - IFERROR(INDEX('Inputs &amp; Assuptions'!$D$13:$D$72, COLUMN() - ($E8 + 5)), 0))
  )
)</f>
        <v>940.558118533756</v>
      </c>
      <c r="BA8" s="80" t="n">
        <f aca="false" t="array" ref="BA8:BA8">IF(COLUMN() - ($E8 + 5) &lt; 0, 0,
  IF(COLUMN() - ($E8 + 5) = 0, $F8,
    AZ8 * (1 - IFERROR(INDEX('Inputs &amp; Assuptions'!$D$13:$D$72, COLUMN() - ($E8 + 5)), 0))
  )
)</f>
        <v>940.087839474489</v>
      </c>
      <c r="BB8" s="80" t="n">
        <f aca="false" t="array" ref="BB8:BB8">IF(COLUMN() - ($E8 + 5) &lt; 0, 0,
  IF(COLUMN() - ($E8 + 5) = 0, $F8,
    BA8 * (1 - IFERROR(INDEX('Inputs &amp; Assuptions'!$D$13:$D$72, COLUMN() - ($E8 + 5)), 0))
  )
)</f>
        <v>939.617795554752</v>
      </c>
      <c r="BC8" s="80" t="n">
        <f aca="false" t="array" ref="BC8:BC8">IF(COLUMN() - ($E8 + 5) &lt; 0, 0,
  IF(COLUMN() - ($E8 + 5) = 0, $F8,
    BB8 * (1 - IFERROR(INDEX('Inputs &amp; Assuptions'!$D$13:$D$72, COLUMN() - ($E8 + 5)), 0))
  )
)</f>
        <v>939.147986656975</v>
      </c>
      <c r="BD8" s="80" t="n">
        <f aca="false" t="array" ref="BD8:BD8">IF(COLUMN() - ($E8 + 5) &lt; 0, 0,
  IF(COLUMN() - ($E8 + 5) = 0, $F8,
    BC8 * (1 - IFERROR(INDEX('Inputs &amp; Assuptions'!$D$13:$D$72, COLUMN() - ($E8 + 5)), 0))
  )
)</f>
        <v>938.678412663646</v>
      </c>
      <c r="BE8" s="80" t="n">
        <f aca="false" t="array" ref="BE8:BE8">IF(COLUMN() - ($E8 + 5) &lt; 0, 0,
  IF(COLUMN() - ($E8 + 5) = 0, $F8,
    BD8 * (1 - IFERROR(INDEX('Inputs &amp; Assuptions'!$D$13:$D$72, COLUMN() - ($E8 + 5)), 0))
  )
)</f>
        <v>938.209073457315</v>
      </c>
      <c r="BF8" s="80" t="n">
        <f aca="false" t="array" ref="BF8:BF8">IF(COLUMN() - ($E8 + 5) &lt; 0, 0,
  IF(COLUMN() - ($E8 + 5) = 0, $F8,
    BE8 * (1 - IFERROR(INDEX('Inputs &amp; Assuptions'!$D$13:$D$72, COLUMN() - ($E8 + 5)), 0))
  )
)</f>
        <v>937.739968920586</v>
      </c>
      <c r="BG8" s="80" t="n">
        <f aca="false" t="array" ref="BG8:BG8">IF(COLUMN() - ($E8 + 5) &lt; 0, 0,
  IF(COLUMN() - ($E8 + 5) = 0, $F8,
    BF8 * (1 - IFERROR(INDEX('Inputs &amp; Assuptions'!$D$13:$D$72, COLUMN() - ($E8 + 5)), 0))
  )
)</f>
        <v>937.271098936126</v>
      </c>
      <c r="BH8" s="80" t="n">
        <f aca="false" t="array" ref="BH8:BH8">IF(COLUMN() - ($E8 + 5) &lt; 0, 0,
  IF(COLUMN() - ($E8 + 5) = 0, $F8,
    BG8 * (1 - IFERROR(INDEX('Inputs &amp; Assuptions'!$D$13:$D$72, COLUMN() - ($E8 + 5)), 0))
  )
)</f>
        <v>936.802463386658</v>
      </c>
      <c r="BI8" s="80" t="n">
        <f aca="false" t="array" ref="BI8:BI8">IF(COLUMN() - ($E8 + 5) &lt; 0, 0,
  IF(COLUMN() - ($E8 + 5) = 0, $F8,
    BH8 * (1 - IFERROR(INDEX('Inputs &amp; Assuptions'!$D$13:$D$72, COLUMN() - ($E8 + 5)), 0))
  )
)</f>
        <v>936.334062154964</v>
      </c>
      <c r="BJ8" s="80" t="n">
        <f aca="false" t="array" ref="BJ8:BJ8">IF(COLUMN() - ($E8 + 5) &lt; 0, 0,
  IF(COLUMN() - ($E8 + 5) = 0, $F8,
    BI8 * (1 - IFERROR(INDEX('Inputs &amp; Assuptions'!$D$13:$D$72, COLUMN() - ($E8 + 5)), 0))
  )
)</f>
        <v>935.865895123887</v>
      </c>
      <c r="BK8" s="80" t="n">
        <f aca="false" t="array" ref="BK8:BK8">IF(COLUMN() - ($E8 + 5) &lt; 0, 0,
  IF(COLUMN() - ($E8 + 5) = 0, $F8,
    BJ8 * (1 - IFERROR(INDEX('Inputs &amp; Assuptions'!$D$13:$D$72, COLUMN() - ($E8 + 5)), 0))
  )
)</f>
        <v>935.397962176325</v>
      </c>
      <c r="BL8" s="80" t="n">
        <f aca="false" t="array" ref="BL8:BL8">IF(COLUMN() - ($E8 + 5) &lt; 0, 0,
  IF(COLUMN() - ($E8 + 5) = 0, $F8,
    BK8 * (1 - IFERROR(INDEX('Inputs &amp; Assuptions'!$D$13:$D$72, COLUMN() - ($E8 + 5)), 0))
  )
)</f>
        <v>934.930263195237</v>
      </c>
      <c r="BM8" s="81" t="n">
        <f aca="false" t="array" ref="BM8:BM8">IF(COLUMN() - ($E8 + 5) &lt; 0, 0,
  IF(COLUMN() - ($E8 + 5) = 0, $F8,
    BL8 * (1 - IFERROR(INDEX('Inputs &amp; Assuptions'!$D$13:$D$72, COLUMN() - ($E8 + 5)), 0))
  )
)</f>
        <v>934.462798063639</v>
      </c>
      <c r="BN8" s="76"/>
    </row>
    <row r="9" customFormat="false" ht="14.25" hidden="false" customHeight="false" outlineLevel="0" collapsed="false">
      <c r="A9" s="29" t="n">
        <f aca="false">A8+1</f>
        <v>4</v>
      </c>
      <c r="B9" s="77" t="n">
        <f aca="false">IF(MOD($A9-1, 12) = 0, $B8 * 1.05, $B8)</f>
        <v>1000</v>
      </c>
      <c r="C9" s="93" t="n">
        <f aca="false">$B9*(1-'Inputs &amp; Assuptions'!$D$12)</f>
        <v>978</v>
      </c>
      <c r="E9" s="29" t="n">
        <f aca="false">E8+1</f>
        <v>4</v>
      </c>
      <c r="F9" s="79"/>
      <c r="G9" s="80"/>
      <c r="H9" s="80"/>
      <c r="I9" s="80" t="n">
        <f aca="false">$C9</f>
        <v>978</v>
      </c>
      <c r="J9" s="80" t="n">
        <f aca="false" t="array" ref="J9:J9">IF(COLUMN() - ($E9 + 5) &lt; 0, 0,
  IF(COLUMN() - ($E9 + 5) = 0, $F9,
    I9 * (1 - IFERROR(INDEX('Inputs &amp; Assuptions'!$D$13:$D$72, COLUMN() - ($E9 + 5)), 0))
  )
)</f>
        <v>973.11</v>
      </c>
      <c r="K9" s="80" t="n">
        <f aca="false" t="array" ref="K9:K9">IF(COLUMN() - ($E9 + 5) &lt; 0, 0,
  IF(COLUMN() - ($E9 + 5) = 0, $F9,
    J9 * (1 - IFERROR(INDEX('Inputs &amp; Assuptions'!$D$13:$D$72, COLUMN() - ($E9 + 5)), 0))
  )
)</f>
        <v>969.412182</v>
      </c>
      <c r="L9" s="80" t="n">
        <f aca="false" t="array" ref="L9:L9">IF(COLUMN() - ($E9 + 5) &lt; 0, 0,
  IF(COLUMN() - ($E9 + 5) = 0, $F9,
    K9 * (1 - IFERROR(INDEX('Inputs &amp; Assuptions'!$D$13:$D$72, COLUMN() - ($E9 + 5)), 0))
  )
)</f>
        <v>966.988651545</v>
      </c>
      <c r="M9" s="80" t="n">
        <f aca="false" t="array" ref="M9:M9">IF(COLUMN() - ($E9 + 5) &lt; 0, 0,
  IF(COLUMN() - ($E9 + 5) = 0, $F9,
    L9 * (1 - IFERROR(INDEX('Inputs &amp; Assuptions'!$D$13:$D$72, COLUMN() - ($E9 + 5)), 0))
  )
)</f>
        <v>964.764577646447</v>
      </c>
      <c r="N9" s="80" t="n">
        <f aca="false" t="array" ref="N9:N9">IF(COLUMN() - ($E9 + 5) &lt; 0, 0,
  IF(COLUMN() - ($E9 + 5) = 0, $F9,
    M9 * (1 - IFERROR(INDEX('Inputs &amp; Assuptions'!$D$13:$D$72, COLUMN() - ($E9 + 5)), 0))
  )
)</f>
        <v>962.835048491154</v>
      </c>
      <c r="O9" s="80" t="n">
        <f aca="false" t="array" ref="O9:O9">IF(COLUMN() - ($E9 + 5) &lt; 0, 0,
  IF(COLUMN() - ($E9 + 5) = 0, $F9,
    N9 * (1 - IFERROR(INDEX('Inputs &amp; Assuptions'!$D$13:$D$72, COLUMN() - ($E9 + 5)), 0))
  )
)</f>
        <v>961.10194540387</v>
      </c>
      <c r="P9" s="80" t="n">
        <f aca="false" t="array" ref="P9:P9">IF(COLUMN() - ($E9 + 5) &lt; 0, 0,
  IF(COLUMN() - ($E9 + 5) = 0, $F9,
    O9 * (1 - IFERROR(INDEX('Inputs &amp; Assuptions'!$D$13:$D$72, COLUMN() - ($E9 + 5)), 0))
  )
)</f>
        <v>959.660292485764</v>
      </c>
      <c r="Q9" s="80" t="n">
        <f aca="false" t="array" ref="Q9:Q9">IF(COLUMN() - ($E9 + 5) &lt; 0, 0,
  IF(COLUMN() - ($E9 + 5) = 0, $F9,
    P9 * (1 - IFERROR(INDEX('Inputs &amp; Assuptions'!$D$13:$D$72, COLUMN() - ($E9 + 5)), 0))
  )
)</f>
        <v>958.412734105532</v>
      </c>
      <c r="R9" s="80" t="n">
        <f aca="false" t="array" ref="R9:R9">IF(COLUMN() - ($E9 + 5) &lt; 0, 0,
  IF(COLUMN() - ($E9 + 5) = 0, $F9,
    Q9 * (1 - IFERROR(INDEX('Inputs &amp; Assuptions'!$D$13:$D$72, COLUMN() - ($E9 + 5)), 0))
  )
)</f>
        <v>957.454321371427</v>
      </c>
      <c r="S9" s="80" t="n">
        <f aca="false" t="array" ref="S9:S9">IF(COLUMN() - ($E9 + 5) &lt; 0, 0,
  IF(COLUMN() - ($E9 + 5) = 0, $F9,
    R9 * (1 - IFERROR(INDEX('Inputs &amp; Assuptions'!$D$13:$D$72, COLUMN() - ($E9 + 5)), 0))
  )
)</f>
        <v>956.68835791433</v>
      </c>
      <c r="T9" s="80" t="n">
        <f aca="false" t="array" ref="T9:T9">IF(COLUMN() - ($E9 + 5) &lt; 0, 0,
  IF(COLUMN() - ($E9 + 5) = 0, $F9,
    S9 * (1 - IFERROR(INDEX('Inputs &amp; Assuptions'!$D$13:$D$72, COLUMN() - ($E9 + 5)), 0))
  )
)</f>
        <v>956.210013735373</v>
      </c>
      <c r="U9" s="80" t="n">
        <f aca="false" t="array" ref="U9:U9">IF(COLUMN() - ($E9 + 5) &lt; 0, 0,
  IF(COLUMN() - ($E9 + 5) = 0, $F9,
    T9 * (1 - IFERROR(INDEX('Inputs &amp; Assuptions'!$D$13:$D$72, COLUMN() - ($E9 + 5)), 0))
  )
)</f>
        <v>955.731908728505</v>
      </c>
      <c r="V9" s="80" t="n">
        <f aca="false" t="array" ref="V9:V9">IF(COLUMN() - ($E9 + 5) &lt; 0, 0,
  IF(COLUMN() - ($E9 + 5) = 0, $F9,
    U9 * (1 - IFERROR(INDEX('Inputs &amp; Assuptions'!$D$13:$D$72, COLUMN() - ($E9 + 5)), 0))
  )
)</f>
        <v>955.254042774141</v>
      </c>
      <c r="W9" s="80" t="n">
        <f aca="false" t="array" ref="W9:W9">IF(COLUMN() - ($E9 + 5) &lt; 0, 0,
  IF(COLUMN() - ($E9 + 5) = 0, $F9,
    V9 * (1 - IFERROR(INDEX('Inputs &amp; Assuptions'!$D$13:$D$72, COLUMN() - ($E9 + 5)), 0))
  )
)</f>
        <v>954.776415752754</v>
      </c>
      <c r="X9" s="80" t="n">
        <f aca="false" t="array" ref="X9:X9">IF(COLUMN() - ($E9 + 5) &lt; 0, 0,
  IF(COLUMN() - ($E9 + 5) = 0, $F9,
    W9 * (1 - IFERROR(INDEX('Inputs &amp; Assuptions'!$D$13:$D$72, COLUMN() - ($E9 + 5)), 0))
  )
)</f>
        <v>954.299027544877</v>
      </c>
      <c r="Y9" s="80" t="n">
        <f aca="false" t="array" ref="Y9:Y9">IF(COLUMN() - ($E9 + 5) &lt; 0, 0,
  IF(COLUMN() - ($E9 + 5) = 0, $F9,
    X9 * (1 - IFERROR(INDEX('Inputs &amp; Assuptions'!$D$13:$D$72, COLUMN() - ($E9 + 5)), 0))
  )
)</f>
        <v>953.821878031105</v>
      </c>
      <c r="Z9" s="80" t="n">
        <f aca="false" t="array" ref="Z9:Z9">IF(COLUMN() - ($E9 + 5) &lt; 0, 0,
  IF(COLUMN() - ($E9 + 5) = 0, $F9,
    Y9 * (1 - IFERROR(INDEX('Inputs &amp; Assuptions'!$D$13:$D$72, COLUMN() - ($E9 + 5)), 0))
  )
)</f>
        <v>953.34496709209</v>
      </c>
      <c r="AA9" s="80" t="n">
        <f aca="false" t="array" ref="AA9:AA9">IF(COLUMN() - ($E9 + 5) &lt; 0, 0,
  IF(COLUMN() - ($E9 + 5) = 0, $F9,
    Z9 * (1 - IFERROR(INDEX('Inputs &amp; Assuptions'!$D$13:$D$72, COLUMN() - ($E9 + 5)), 0))
  )
)</f>
        <v>952.868294608544</v>
      </c>
      <c r="AB9" s="80" t="n">
        <f aca="false" t="array" ref="AB9:AB9">IF(COLUMN() - ($E9 + 5) &lt; 0, 0,
  IF(COLUMN() - ($E9 + 5) = 0, $F9,
    AA9 * (1 - IFERROR(INDEX('Inputs &amp; Assuptions'!$D$13:$D$72, COLUMN() - ($E9 + 5)), 0))
  )
)</f>
        <v>952.391860461239</v>
      </c>
      <c r="AC9" s="80" t="n">
        <f aca="false" t="array" ref="AC9:AC9">IF(COLUMN() - ($E9 + 5) &lt; 0, 0,
  IF(COLUMN() - ($E9 + 5) = 0, $F9,
    AB9 * (1 - IFERROR(INDEX('Inputs &amp; Assuptions'!$D$13:$D$72, COLUMN() - ($E9 + 5)), 0))
  )
)</f>
        <v>951.915664531009</v>
      </c>
      <c r="AD9" s="80" t="n">
        <f aca="false" t="array" ref="AD9:AD9">IF(COLUMN() - ($E9 + 5) &lt; 0, 0,
  IF(COLUMN() - ($E9 + 5) = 0, $F9,
    AC9 * (1 - IFERROR(INDEX('Inputs &amp; Assuptions'!$D$13:$D$72, COLUMN() - ($E9 + 5)), 0))
  )
)</f>
        <v>951.439706698743</v>
      </c>
      <c r="AE9" s="80" t="n">
        <f aca="false" t="array" ref="AE9:AE9">IF(COLUMN() - ($E9 + 5) &lt; 0, 0,
  IF(COLUMN() - ($E9 + 5) = 0, $F9,
    AD9 * (1 - IFERROR(INDEX('Inputs &amp; Assuptions'!$D$13:$D$72, COLUMN() - ($E9 + 5)), 0))
  )
)</f>
        <v>950.963986845394</v>
      </c>
      <c r="AF9" s="80" t="n">
        <f aca="false" t="array" ref="AF9:AF9">IF(COLUMN() - ($E9 + 5) &lt; 0, 0,
  IF(COLUMN() - ($E9 + 5) = 0, $F9,
    AE9 * (1 - IFERROR(INDEX('Inputs &amp; Assuptions'!$D$13:$D$72, COLUMN() - ($E9 + 5)), 0))
  )
)</f>
        <v>950.488504851972</v>
      </c>
      <c r="AG9" s="80" t="n">
        <f aca="false" t="array" ref="AG9:AG9">IF(COLUMN() - ($E9 + 5) &lt; 0, 0,
  IF(COLUMN() - ($E9 + 5) = 0, $F9,
    AF9 * (1 - IFERROR(INDEX('Inputs &amp; Assuptions'!$D$13:$D$72, COLUMN() - ($E9 + 5)), 0))
  )
)</f>
        <v>950.013260599546</v>
      </c>
      <c r="AH9" s="80" t="n">
        <f aca="false" t="array" ref="AH9:AH9">IF(COLUMN() - ($E9 + 5) &lt; 0, 0,
  IF(COLUMN() - ($E9 + 5) = 0, $F9,
    AG9 * (1 - IFERROR(INDEX('Inputs &amp; Assuptions'!$D$13:$D$72, COLUMN() - ($E9 + 5)), 0))
  )
)</f>
        <v>949.538253969246</v>
      </c>
      <c r="AI9" s="80" t="n">
        <f aca="false" t="array" ref="AI9:AI9">IF(COLUMN() - ($E9 + 5) &lt; 0, 0,
  IF(COLUMN() - ($E9 + 5) = 0, $F9,
    AH9 * (1 - IFERROR(INDEX('Inputs &amp; Assuptions'!$D$13:$D$72, COLUMN() - ($E9 + 5)), 0))
  )
)</f>
        <v>949.063484842261</v>
      </c>
      <c r="AJ9" s="80" t="n">
        <f aca="false" t="array" ref="AJ9:AJ9">IF(COLUMN() - ($E9 + 5) &lt; 0, 0,
  IF(COLUMN() - ($E9 + 5) = 0, $F9,
    AI9 * (1 - IFERROR(INDEX('Inputs &amp; Assuptions'!$D$13:$D$72, COLUMN() - ($E9 + 5)), 0))
  )
)</f>
        <v>948.58895309984</v>
      </c>
      <c r="AK9" s="80" t="n">
        <f aca="false" t="array" ref="AK9:AK9">IF(COLUMN() - ($E9 + 5) &lt; 0, 0,
  IF(COLUMN() - ($E9 + 5) = 0, $F9,
    AJ9 * (1 - IFERROR(INDEX('Inputs &amp; Assuptions'!$D$13:$D$72, COLUMN() - ($E9 + 5)), 0))
  )
)</f>
        <v>948.11465862329</v>
      </c>
      <c r="AL9" s="80" t="n">
        <f aca="false" t="array" ref="AL9:AL9">IF(COLUMN() - ($E9 + 5) &lt; 0, 0,
  IF(COLUMN() - ($E9 + 5) = 0, $F9,
    AK9 * (1 - IFERROR(INDEX('Inputs &amp; Assuptions'!$D$13:$D$72, COLUMN() - ($E9 + 5)), 0))
  )
)</f>
        <v>947.640601293979</v>
      </c>
      <c r="AM9" s="80" t="n">
        <f aca="false" t="array" ref="AM9:AM9">IF(COLUMN() - ($E9 + 5) &lt; 0, 0,
  IF(COLUMN() - ($E9 + 5) = 0, $F9,
    AL9 * (1 - IFERROR(INDEX('Inputs &amp; Assuptions'!$D$13:$D$72, COLUMN() - ($E9 + 5)), 0))
  )
)</f>
        <v>947.166780993332</v>
      </c>
      <c r="AN9" s="80" t="n">
        <f aca="false" t="array" ref="AN9:AN9">IF(COLUMN() - ($E9 + 5) &lt; 0, 0,
  IF(COLUMN() - ($E9 + 5) = 0, $F9,
    AM9 * (1 - IFERROR(INDEX('Inputs &amp; Assuptions'!$D$13:$D$72, COLUMN() - ($E9 + 5)), 0))
  )
)</f>
        <v>946.693197602835</v>
      </c>
      <c r="AO9" s="80" t="n">
        <f aca="false" t="array" ref="AO9:AO9">IF(COLUMN() - ($E9 + 5) &lt; 0, 0,
  IF(COLUMN() - ($E9 + 5) = 0, $F9,
    AN9 * (1 - IFERROR(INDEX('Inputs &amp; Assuptions'!$D$13:$D$72, COLUMN() - ($E9 + 5)), 0))
  )
)</f>
        <v>946.219851004034</v>
      </c>
      <c r="AP9" s="80" t="n">
        <f aca="false" t="array" ref="AP9:AP9">IF(COLUMN() - ($E9 + 5) &lt; 0, 0,
  IF(COLUMN() - ($E9 + 5) = 0, $F9,
    AO9 * (1 - IFERROR(INDEX('Inputs &amp; Assuptions'!$D$13:$D$72, COLUMN() - ($E9 + 5)), 0))
  )
)</f>
        <v>945.746741078532</v>
      </c>
      <c r="AQ9" s="80" t="n">
        <f aca="false" t="array" ref="AQ9:AQ9">IF(COLUMN() - ($E9 + 5) &lt; 0, 0,
  IF(COLUMN() - ($E9 + 5) = 0, $F9,
    AP9 * (1 - IFERROR(INDEX('Inputs &amp; Assuptions'!$D$13:$D$72, COLUMN() - ($E9 + 5)), 0))
  )
)</f>
        <v>945.273867707993</v>
      </c>
      <c r="AR9" s="80" t="n">
        <f aca="false" t="array" ref="AR9:AR9">IF(COLUMN() - ($E9 + 5) &lt; 0, 0,
  IF(COLUMN() - ($E9 + 5) = 0, $F9,
    AQ9 * (1 - IFERROR(INDEX('Inputs &amp; Assuptions'!$D$13:$D$72, COLUMN() - ($E9 + 5)), 0))
  )
)</f>
        <v>944.801230774139</v>
      </c>
      <c r="AS9" s="80" t="n">
        <f aca="false" t="array" ref="AS9:AS9">IF(COLUMN() - ($E9 + 5) &lt; 0, 0,
  IF(COLUMN() - ($E9 + 5) = 0, $F9,
    AR9 * (1 - IFERROR(INDEX('Inputs &amp; Assuptions'!$D$13:$D$72, COLUMN() - ($E9 + 5)), 0))
  )
)</f>
        <v>944.328830158752</v>
      </c>
      <c r="AT9" s="80" t="n">
        <f aca="false" t="array" ref="AT9:AT9">IF(COLUMN() - ($E9 + 5) &lt; 0, 0,
  IF(COLUMN() - ($E9 + 5) = 0, $F9,
    AS9 * (1 - IFERROR(INDEX('Inputs &amp; Assuptions'!$D$13:$D$72, COLUMN() - ($E9 + 5)), 0))
  )
)</f>
        <v>943.856665743672</v>
      </c>
      <c r="AU9" s="80" t="n">
        <f aca="false" t="array" ref="AU9:AU9">IF(COLUMN() - ($E9 + 5) &lt; 0, 0,
  IF(COLUMN() - ($E9 + 5) = 0, $F9,
    AT9 * (1 - IFERROR(INDEX('Inputs &amp; Assuptions'!$D$13:$D$72, COLUMN() - ($E9 + 5)), 0))
  )
)</f>
        <v>943.384737410801</v>
      </c>
      <c r="AV9" s="80" t="n">
        <f aca="false" t="array" ref="AV9:AV9">IF(COLUMN() - ($E9 + 5) &lt; 0, 0,
  IF(COLUMN() - ($E9 + 5) = 0, $F9,
    AU9 * (1 - IFERROR(INDEX('Inputs &amp; Assuptions'!$D$13:$D$72, COLUMN() - ($E9 + 5)), 0))
  )
)</f>
        <v>942.913045042095</v>
      </c>
      <c r="AW9" s="80" t="n">
        <f aca="false" t="array" ref="AW9:AW9">IF(COLUMN() - ($E9 + 5) &lt; 0, 0,
  IF(COLUMN() - ($E9 + 5) = 0, $F9,
    AV9 * (1 - IFERROR(INDEX('Inputs &amp; Assuptions'!$D$13:$D$72, COLUMN() - ($E9 + 5)), 0))
  )
)</f>
        <v>942.441588519574</v>
      </c>
      <c r="AX9" s="80" t="n">
        <f aca="false" t="array" ref="AX9:AX9">IF(COLUMN() - ($E9 + 5) &lt; 0, 0,
  IF(COLUMN() - ($E9 + 5) = 0, $F9,
    AW9 * (1 - IFERROR(INDEX('Inputs &amp; Assuptions'!$D$13:$D$72, COLUMN() - ($E9 + 5)), 0))
  )
)</f>
        <v>941.970367725315</v>
      </c>
      <c r="AY9" s="80" t="n">
        <f aca="false" t="array" ref="AY9:AY9">IF(COLUMN() - ($E9 + 5) &lt; 0, 0,
  IF(COLUMN() - ($E9 + 5) = 0, $F9,
    AX9 * (1 - IFERROR(INDEX('Inputs &amp; Assuptions'!$D$13:$D$72, COLUMN() - ($E9 + 5)), 0))
  )
)</f>
        <v>941.499382541452</v>
      </c>
      <c r="AZ9" s="80" t="n">
        <f aca="false" t="array" ref="AZ9:AZ9">IF(COLUMN() - ($E9 + 5) &lt; 0, 0,
  IF(COLUMN() - ($E9 + 5) = 0, $F9,
    AY9 * (1 - IFERROR(INDEX('Inputs &amp; Assuptions'!$D$13:$D$72, COLUMN() - ($E9 + 5)), 0))
  )
)</f>
        <v>941.028632850181</v>
      </c>
      <c r="BA9" s="80" t="n">
        <f aca="false" t="array" ref="BA9:BA9">IF(COLUMN() - ($E9 + 5) &lt; 0, 0,
  IF(COLUMN() - ($E9 + 5) = 0, $F9,
    AZ9 * (1 - IFERROR(INDEX('Inputs &amp; Assuptions'!$D$13:$D$72, COLUMN() - ($E9 + 5)), 0))
  )
)</f>
        <v>940.558118533756</v>
      </c>
      <c r="BB9" s="80" t="n">
        <f aca="false" t="array" ref="BB9:BB9">IF(COLUMN() - ($E9 + 5) &lt; 0, 0,
  IF(COLUMN() - ($E9 + 5) = 0, $F9,
    BA9 * (1 - IFERROR(INDEX('Inputs &amp; Assuptions'!$D$13:$D$72, COLUMN() - ($E9 + 5)), 0))
  )
)</f>
        <v>940.087839474489</v>
      </c>
      <c r="BC9" s="80" t="n">
        <f aca="false" t="array" ref="BC9:BC9">IF(COLUMN() - ($E9 + 5) &lt; 0, 0,
  IF(COLUMN() - ($E9 + 5) = 0, $F9,
    BB9 * (1 - IFERROR(INDEX('Inputs &amp; Assuptions'!$D$13:$D$72, COLUMN() - ($E9 + 5)), 0))
  )
)</f>
        <v>939.617795554752</v>
      </c>
      <c r="BD9" s="80" t="n">
        <f aca="false" t="array" ref="BD9:BD9">IF(COLUMN() - ($E9 + 5) &lt; 0, 0,
  IF(COLUMN() - ($E9 + 5) = 0, $F9,
    BC9 * (1 - IFERROR(INDEX('Inputs &amp; Assuptions'!$D$13:$D$72, COLUMN() - ($E9 + 5)), 0))
  )
)</f>
        <v>939.147986656975</v>
      </c>
      <c r="BE9" s="80" t="n">
        <f aca="false" t="array" ref="BE9:BE9">IF(COLUMN() - ($E9 + 5) &lt; 0, 0,
  IF(COLUMN() - ($E9 + 5) = 0, $F9,
    BD9 * (1 - IFERROR(INDEX('Inputs &amp; Assuptions'!$D$13:$D$72, COLUMN() - ($E9 + 5)), 0))
  )
)</f>
        <v>938.678412663646</v>
      </c>
      <c r="BF9" s="80" t="n">
        <f aca="false" t="array" ref="BF9:BF9">IF(COLUMN() - ($E9 + 5) &lt; 0, 0,
  IF(COLUMN() - ($E9 + 5) = 0, $F9,
    BE9 * (1 - IFERROR(INDEX('Inputs &amp; Assuptions'!$D$13:$D$72, COLUMN() - ($E9 + 5)), 0))
  )
)</f>
        <v>938.209073457315</v>
      </c>
      <c r="BG9" s="80" t="n">
        <f aca="false" t="array" ref="BG9:BG9">IF(COLUMN() - ($E9 + 5) &lt; 0, 0,
  IF(COLUMN() - ($E9 + 5) = 0, $F9,
    BF9 * (1 - IFERROR(INDEX('Inputs &amp; Assuptions'!$D$13:$D$72, COLUMN() - ($E9 + 5)), 0))
  )
)</f>
        <v>937.739968920586</v>
      </c>
      <c r="BH9" s="80" t="n">
        <f aca="false" t="array" ref="BH9:BH9">IF(COLUMN() - ($E9 + 5) &lt; 0, 0,
  IF(COLUMN() - ($E9 + 5) = 0, $F9,
    BG9 * (1 - IFERROR(INDEX('Inputs &amp; Assuptions'!$D$13:$D$72, COLUMN() - ($E9 + 5)), 0))
  )
)</f>
        <v>937.271098936126</v>
      </c>
      <c r="BI9" s="80" t="n">
        <f aca="false" t="array" ref="BI9:BI9">IF(COLUMN() - ($E9 + 5) &lt; 0, 0,
  IF(COLUMN() - ($E9 + 5) = 0, $F9,
    BH9 * (1 - IFERROR(INDEX('Inputs &amp; Assuptions'!$D$13:$D$72, COLUMN() - ($E9 + 5)), 0))
  )
)</f>
        <v>936.802463386658</v>
      </c>
      <c r="BJ9" s="80" t="n">
        <f aca="false" t="array" ref="BJ9:BJ9">IF(COLUMN() - ($E9 + 5) &lt; 0, 0,
  IF(COLUMN() - ($E9 + 5) = 0, $F9,
    BI9 * (1 - IFERROR(INDEX('Inputs &amp; Assuptions'!$D$13:$D$72, COLUMN() - ($E9 + 5)), 0))
  )
)</f>
        <v>936.334062154964</v>
      </c>
      <c r="BK9" s="80" t="n">
        <f aca="false" t="array" ref="BK9:BK9">IF(COLUMN() - ($E9 + 5) &lt; 0, 0,
  IF(COLUMN() - ($E9 + 5) = 0, $F9,
    BJ9 * (1 - IFERROR(INDEX('Inputs &amp; Assuptions'!$D$13:$D$72, COLUMN() - ($E9 + 5)), 0))
  )
)</f>
        <v>935.865895123887</v>
      </c>
      <c r="BL9" s="80" t="n">
        <f aca="false" t="array" ref="BL9:BL9">IF(COLUMN() - ($E9 + 5) &lt; 0, 0,
  IF(COLUMN() - ($E9 + 5) = 0, $F9,
    BK9 * (1 - IFERROR(INDEX('Inputs &amp; Assuptions'!$D$13:$D$72, COLUMN() - ($E9 + 5)), 0))
  )
)</f>
        <v>935.397962176325</v>
      </c>
      <c r="BM9" s="81" t="n">
        <f aca="false" t="array" ref="BM9:BM9">IF(COLUMN() - ($E9 + 5) &lt; 0, 0,
  IF(COLUMN() - ($E9 + 5) = 0, $F9,
    BL9 * (1 - IFERROR(INDEX('Inputs &amp; Assuptions'!$D$13:$D$72, COLUMN() - ($E9 + 5)), 0))
  )
)</f>
        <v>934.930263195237</v>
      </c>
      <c r="BN9" s="76"/>
    </row>
    <row r="10" customFormat="false" ht="14.25" hidden="false" customHeight="false" outlineLevel="0" collapsed="false">
      <c r="A10" s="29" t="n">
        <f aca="false">A9+1</f>
        <v>5</v>
      </c>
      <c r="B10" s="77" t="n">
        <f aca="false">IF(MOD($A10-1, 12) = 0, $B9 * 1.05, $B9)</f>
        <v>1000</v>
      </c>
      <c r="C10" s="93" t="n">
        <f aca="false">$B10*(1-'Inputs &amp; Assuptions'!$D$12)</f>
        <v>978</v>
      </c>
      <c r="E10" s="29" t="n">
        <f aca="false">E9+1</f>
        <v>5</v>
      </c>
      <c r="F10" s="79"/>
      <c r="G10" s="80"/>
      <c r="H10" s="80"/>
      <c r="I10" s="80"/>
      <c r="J10" s="80" t="n">
        <f aca="false">$C10</f>
        <v>978</v>
      </c>
      <c r="K10" s="80" t="n">
        <f aca="false" t="array" ref="K10:K10">IF(COLUMN() - ($E10 + 5) &lt; 0, 0,
  IF(COLUMN() - ($E10 + 5) = 0, $F10,
    J10 * (1 - IFERROR(INDEX('Inputs &amp; Assuptions'!$D$13:$D$72, COLUMN() - ($E10 + 5)), 0))
  )
)</f>
        <v>973.11</v>
      </c>
      <c r="L10" s="80" t="n">
        <f aca="false" t="array" ref="L10:L10">IF(COLUMN() - ($E10 + 5) &lt; 0, 0,
  IF(COLUMN() - ($E10 + 5) = 0, $F10,
    K10 * (1 - IFERROR(INDEX('Inputs &amp; Assuptions'!$D$13:$D$72, COLUMN() - ($E10 + 5)), 0))
  )
)</f>
        <v>969.412182</v>
      </c>
      <c r="M10" s="80" t="n">
        <f aca="false" t="array" ref="M10:M10">IF(COLUMN() - ($E10 + 5) &lt; 0, 0,
  IF(COLUMN() - ($E10 + 5) = 0, $F10,
    L10 * (1 - IFERROR(INDEX('Inputs &amp; Assuptions'!$D$13:$D$72, COLUMN() - ($E10 + 5)), 0))
  )
)</f>
        <v>966.988651545</v>
      </c>
      <c r="N10" s="80" t="n">
        <f aca="false" t="array" ref="N10:N10">IF(COLUMN() - ($E10 + 5) &lt; 0, 0,
  IF(COLUMN() - ($E10 + 5) = 0, $F10,
    M10 * (1 - IFERROR(INDEX('Inputs &amp; Assuptions'!$D$13:$D$72, COLUMN() - ($E10 + 5)), 0))
  )
)</f>
        <v>964.764577646447</v>
      </c>
      <c r="O10" s="80" t="n">
        <f aca="false" t="array" ref="O10:O10">IF(COLUMN() - ($E10 + 5) &lt; 0, 0,
  IF(COLUMN() - ($E10 + 5) = 0, $F10,
    N10 * (1 - IFERROR(INDEX('Inputs &amp; Assuptions'!$D$13:$D$72, COLUMN() - ($E10 + 5)), 0))
  )
)</f>
        <v>962.835048491154</v>
      </c>
      <c r="P10" s="80" t="n">
        <f aca="false" t="array" ref="P10:P10">IF(COLUMN() - ($E10 + 5) &lt; 0, 0,
  IF(COLUMN() - ($E10 + 5) = 0, $F10,
    O10 * (1 - IFERROR(INDEX('Inputs &amp; Assuptions'!$D$13:$D$72, COLUMN() - ($E10 + 5)), 0))
  )
)</f>
        <v>961.10194540387</v>
      </c>
      <c r="Q10" s="80" t="n">
        <f aca="false" t="array" ref="Q10:Q10">IF(COLUMN() - ($E10 + 5) &lt; 0, 0,
  IF(COLUMN() - ($E10 + 5) = 0, $F10,
    P10 * (1 - IFERROR(INDEX('Inputs &amp; Assuptions'!$D$13:$D$72, COLUMN() - ($E10 + 5)), 0))
  )
)</f>
        <v>959.660292485764</v>
      </c>
      <c r="R10" s="80" t="n">
        <f aca="false" t="array" ref="R10:R10">IF(COLUMN() - ($E10 + 5) &lt; 0, 0,
  IF(COLUMN() - ($E10 + 5) = 0, $F10,
    Q10 * (1 - IFERROR(INDEX('Inputs &amp; Assuptions'!$D$13:$D$72, COLUMN() - ($E10 + 5)), 0))
  )
)</f>
        <v>958.412734105532</v>
      </c>
      <c r="S10" s="80" t="n">
        <f aca="false" t="array" ref="S10:S10">IF(COLUMN() - ($E10 + 5) &lt; 0, 0,
  IF(COLUMN() - ($E10 + 5) = 0, $F10,
    R10 * (1 - IFERROR(INDEX('Inputs &amp; Assuptions'!$D$13:$D$72, COLUMN() - ($E10 + 5)), 0))
  )
)</f>
        <v>957.454321371427</v>
      </c>
      <c r="T10" s="80" t="n">
        <f aca="false" t="array" ref="T10:T10">IF(COLUMN() - ($E10 + 5) &lt; 0, 0,
  IF(COLUMN() - ($E10 + 5) = 0, $F10,
    S10 * (1 - IFERROR(INDEX('Inputs &amp; Assuptions'!$D$13:$D$72, COLUMN() - ($E10 + 5)), 0))
  )
)</f>
        <v>956.68835791433</v>
      </c>
      <c r="U10" s="80" t="n">
        <f aca="false" t="array" ref="U10:U10">IF(COLUMN() - ($E10 + 5) &lt; 0, 0,
  IF(COLUMN() - ($E10 + 5) = 0, $F10,
    T10 * (1 - IFERROR(INDEX('Inputs &amp; Assuptions'!$D$13:$D$72, COLUMN() - ($E10 + 5)), 0))
  )
)</f>
        <v>956.210013735373</v>
      </c>
      <c r="V10" s="80" t="n">
        <f aca="false" t="array" ref="V10:V10">IF(COLUMN() - ($E10 + 5) &lt; 0, 0,
  IF(COLUMN() - ($E10 + 5) = 0, $F10,
    U10 * (1 - IFERROR(INDEX('Inputs &amp; Assuptions'!$D$13:$D$72, COLUMN() - ($E10 + 5)), 0))
  )
)</f>
        <v>955.731908728505</v>
      </c>
      <c r="W10" s="80" t="n">
        <f aca="false" t="array" ref="W10:W10">IF(COLUMN() - ($E10 + 5) &lt; 0, 0,
  IF(COLUMN() - ($E10 + 5) = 0, $F10,
    V10 * (1 - IFERROR(INDEX('Inputs &amp; Assuptions'!$D$13:$D$72, COLUMN() - ($E10 + 5)), 0))
  )
)</f>
        <v>955.254042774141</v>
      </c>
      <c r="X10" s="80" t="n">
        <f aca="false" t="array" ref="X10:X10">IF(COLUMN() - ($E10 + 5) &lt; 0, 0,
  IF(COLUMN() - ($E10 + 5) = 0, $F10,
    W10 * (1 - IFERROR(INDEX('Inputs &amp; Assuptions'!$D$13:$D$72, COLUMN() - ($E10 + 5)), 0))
  )
)</f>
        <v>954.776415752754</v>
      </c>
      <c r="Y10" s="80" t="n">
        <f aca="false" t="array" ref="Y10:Y10">IF(COLUMN() - ($E10 + 5) &lt; 0, 0,
  IF(COLUMN() - ($E10 + 5) = 0, $F10,
    X10 * (1 - IFERROR(INDEX('Inputs &amp; Assuptions'!$D$13:$D$72, COLUMN() - ($E10 + 5)), 0))
  )
)</f>
        <v>954.299027544877</v>
      </c>
      <c r="Z10" s="80" t="n">
        <f aca="false" t="array" ref="Z10:Z10">IF(COLUMN() - ($E10 + 5) &lt; 0, 0,
  IF(COLUMN() - ($E10 + 5) = 0, $F10,
    Y10 * (1 - IFERROR(INDEX('Inputs &amp; Assuptions'!$D$13:$D$72, COLUMN() - ($E10 + 5)), 0))
  )
)</f>
        <v>953.821878031105</v>
      </c>
      <c r="AA10" s="80" t="n">
        <f aca="false" t="array" ref="AA10:AA10">IF(COLUMN() - ($E10 + 5) &lt; 0, 0,
  IF(COLUMN() - ($E10 + 5) = 0, $F10,
    Z10 * (1 - IFERROR(INDEX('Inputs &amp; Assuptions'!$D$13:$D$72, COLUMN() - ($E10 + 5)), 0))
  )
)</f>
        <v>953.34496709209</v>
      </c>
      <c r="AB10" s="80" t="n">
        <f aca="false" t="array" ref="AB10:AB10">IF(COLUMN() - ($E10 + 5) &lt; 0, 0,
  IF(COLUMN() - ($E10 + 5) = 0, $F10,
    AA10 * (1 - IFERROR(INDEX('Inputs &amp; Assuptions'!$D$13:$D$72, COLUMN() - ($E10 + 5)), 0))
  )
)</f>
        <v>952.868294608544</v>
      </c>
      <c r="AC10" s="80" t="n">
        <f aca="false" t="array" ref="AC10:AC10">IF(COLUMN() - ($E10 + 5) &lt; 0, 0,
  IF(COLUMN() - ($E10 + 5) = 0, $F10,
    AB10 * (1 - IFERROR(INDEX('Inputs &amp; Assuptions'!$D$13:$D$72, COLUMN() - ($E10 + 5)), 0))
  )
)</f>
        <v>952.391860461239</v>
      </c>
      <c r="AD10" s="80" t="n">
        <f aca="false" t="array" ref="AD10:AD10">IF(COLUMN() - ($E10 + 5) &lt; 0, 0,
  IF(COLUMN() - ($E10 + 5) = 0, $F10,
    AC10 * (1 - IFERROR(INDEX('Inputs &amp; Assuptions'!$D$13:$D$72, COLUMN() - ($E10 + 5)), 0))
  )
)</f>
        <v>951.915664531009</v>
      </c>
      <c r="AE10" s="80" t="n">
        <f aca="false" t="array" ref="AE10:AE10">IF(COLUMN() - ($E10 + 5) &lt; 0, 0,
  IF(COLUMN() - ($E10 + 5) = 0, $F10,
    AD10 * (1 - IFERROR(INDEX('Inputs &amp; Assuptions'!$D$13:$D$72, COLUMN() - ($E10 + 5)), 0))
  )
)</f>
        <v>951.439706698743</v>
      </c>
      <c r="AF10" s="80" t="n">
        <f aca="false" t="array" ref="AF10:AF10">IF(COLUMN() - ($E10 + 5) &lt; 0, 0,
  IF(COLUMN() - ($E10 + 5) = 0, $F10,
    AE10 * (1 - IFERROR(INDEX('Inputs &amp; Assuptions'!$D$13:$D$72, COLUMN() - ($E10 + 5)), 0))
  )
)</f>
        <v>950.963986845394</v>
      </c>
      <c r="AG10" s="80" t="n">
        <f aca="false" t="array" ref="AG10:AG10">IF(COLUMN() - ($E10 + 5) &lt; 0, 0,
  IF(COLUMN() - ($E10 + 5) = 0, $F10,
    AF10 * (1 - IFERROR(INDEX('Inputs &amp; Assuptions'!$D$13:$D$72, COLUMN() - ($E10 + 5)), 0))
  )
)</f>
        <v>950.488504851972</v>
      </c>
      <c r="AH10" s="80" t="n">
        <f aca="false" t="array" ref="AH10:AH10">IF(COLUMN() - ($E10 + 5) &lt; 0, 0,
  IF(COLUMN() - ($E10 + 5) = 0, $F10,
    AG10 * (1 - IFERROR(INDEX('Inputs &amp; Assuptions'!$D$13:$D$72, COLUMN() - ($E10 + 5)), 0))
  )
)</f>
        <v>950.013260599546</v>
      </c>
      <c r="AI10" s="80" t="n">
        <f aca="false" t="array" ref="AI10:AI10">IF(COLUMN() - ($E10 + 5) &lt; 0, 0,
  IF(COLUMN() - ($E10 + 5) = 0, $F10,
    AH10 * (1 - IFERROR(INDEX('Inputs &amp; Assuptions'!$D$13:$D$72, COLUMN() - ($E10 + 5)), 0))
  )
)</f>
        <v>949.538253969246</v>
      </c>
      <c r="AJ10" s="80" t="n">
        <f aca="false" t="array" ref="AJ10:AJ10">IF(COLUMN() - ($E10 + 5) &lt; 0, 0,
  IF(COLUMN() - ($E10 + 5) = 0, $F10,
    AI10 * (1 - IFERROR(INDEX('Inputs &amp; Assuptions'!$D$13:$D$72, COLUMN() - ($E10 + 5)), 0))
  )
)</f>
        <v>949.063484842261</v>
      </c>
      <c r="AK10" s="80" t="n">
        <f aca="false" t="array" ref="AK10:AK10">IF(COLUMN() - ($E10 + 5) &lt; 0, 0,
  IF(COLUMN() - ($E10 + 5) = 0, $F10,
    AJ10 * (1 - IFERROR(INDEX('Inputs &amp; Assuptions'!$D$13:$D$72, COLUMN() - ($E10 + 5)), 0))
  )
)</f>
        <v>948.58895309984</v>
      </c>
      <c r="AL10" s="80" t="n">
        <f aca="false" t="array" ref="AL10:AL10">IF(COLUMN() - ($E10 + 5) &lt; 0, 0,
  IF(COLUMN() - ($E10 + 5) = 0, $F10,
    AK10 * (1 - IFERROR(INDEX('Inputs &amp; Assuptions'!$D$13:$D$72, COLUMN() - ($E10 + 5)), 0))
  )
)</f>
        <v>948.11465862329</v>
      </c>
      <c r="AM10" s="80" t="n">
        <f aca="false" t="array" ref="AM10:AM10">IF(COLUMN() - ($E10 + 5) &lt; 0, 0,
  IF(COLUMN() - ($E10 + 5) = 0, $F10,
    AL10 * (1 - IFERROR(INDEX('Inputs &amp; Assuptions'!$D$13:$D$72, COLUMN() - ($E10 + 5)), 0))
  )
)</f>
        <v>947.640601293979</v>
      </c>
      <c r="AN10" s="80" t="n">
        <f aca="false" t="array" ref="AN10:AN10">IF(COLUMN() - ($E10 + 5) &lt; 0, 0,
  IF(COLUMN() - ($E10 + 5) = 0, $F10,
    AM10 * (1 - IFERROR(INDEX('Inputs &amp; Assuptions'!$D$13:$D$72, COLUMN() - ($E10 + 5)), 0))
  )
)</f>
        <v>947.166780993332</v>
      </c>
      <c r="AO10" s="80" t="n">
        <f aca="false" t="array" ref="AO10:AO10">IF(COLUMN() - ($E10 + 5) &lt; 0, 0,
  IF(COLUMN() - ($E10 + 5) = 0, $F10,
    AN10 * (1 - IFERROR(INDEX('Inputs &amp; Assuptions'!$D$13:$D$72, COLUMN() - ($E10 + 5)), 0))
  )
)</f>
        <v>946.693197602835</v>
      </c>
      <c r="AP10" s="80" t="n">
        <f aca="false" t="array" ref="AP10:AP10">IF(COLUMN() - ($E10 + 5) &lt; 0, 0,
  IF(COLUMN() - ($E10 + 5) = 0, $F10,
    AO10 * (1 - IFERROR(INDEX('Inputs &amp; Assuptions'!$D$13:$D$72, COLUMN() - ($E10 + 5)), 0))
  )
)</f>
        <v>946.219851004034</v>
      </c>
      <c r="AQ10" s="80" t="n">
        <f aca="false" t="array" ref="AQ10:AQ10">IF(COLUMN() - ($E10 + 5) &lt; 0, 0,
  IF(COLUMN() - ($E10 + 5) = 0, $F10,
    AP10 * (1 - IFERROR(INDEX('Inputs &amp; Assuptions'!$D$13:$D$72, COLUMN() - ($E10 + 5)), 0))
  )
)</f>
        <v>945.746741078532</v>
      </c>
      <c r="AR10" s="80" t="n">
        <f aca="false" t="array" ref="AR10:AR10">IF(COLUMN() - ($E10 + 5) &lt; 0, 0,
  IF(COLUMN() - ($E10 + 5) = 0, $F10,
    AQ10 * (1 - IFERROR(INDEX('Inputs &amp; Assuptions'!$D$13:$D$72, COLUMN() - ($E10 + 5)), 0))
  )
)</f>
        <v>945.273867707993</v>
      </c>
      <c r="AS10" s="80" t="n">
        <f aca="false" t="array" ref="AS10:AS10">IF(COLUMN() - ($E10 + 5) &lt; 0, 0,
  IF(COLUMN() - ($E10 + 5) = 0, $F10,
    AR10 * (1 - IFERROR(INDEX('Inputs &amp; Assuptions'!$D$13:$D$72, COLUMN() - ($E10 + 5)), 0))
  )
)</f>
        <v>944.801230774139</v>
      </c>
      <c r="AT10" s="80" t="n">
        <f aca="false" t="array" ref="AT10:AT10">IF(COLUMN() - ($E10 + 5) &lt; 0, 0,
  IF(COLUMN() - ($E10 + 5) = 0, $F10,
    AS10 * (1 - IFERROR(INDEX('Inputs &amp; Assuptions'!$D$13:$D$72, COLUMN() - ($E10 + 5)), 0))
  )
)</f>
        <v>944.328830158752</v>
      </c>
      <c r="AU10" s="80" t="n">
        <f aca="false" t="array" ref="AU10:AU10">IF(COLUMN() - ($E10 + 5) &lt; 0, 0,
  IF(COLUMN() - ($E10 + 5) = 0, $F10,
    AT10 * (1 - IFERROR(INDEX('Inputs &amp; Assuptions'!$D$13:$D$72, COLUMN() - ($E10 + 5)), 0))
  )
)</f>
        <v>943.856665743672</v>
      </c>
      <c r="AV10" s="80" t="n">
        <f aca="false" t="array" ref="AV10:AV10">IF(COLUMN() - ($E10 + 5) &lt; 0, 0,
  IF(COLUMN() - ($E10 + 5) = 0, $F10,
    AU10 * (1 - IFERROR(INDEX('Inputs &amp; Assuptions'!$D$13:$D$72, COLUMN() - ($E10 + 5)), 0))
  )
)</f>
        <v>943.384737410801</v>
      </c>
      <c r="AW10" s="80" t="n">
        <f aca="false" t="array" ref="AW10:AW10">IF(COLUMN() - ($E10 + 5) &lt; 0, 0,
  IF(COLUMN() - ($E10 + 5) = 0, $F10,
    AV10 * (1 - IFERROR(INDEX('Inputs &amp; Assuptions'!$D$13:$D$72, COLUMN() - ($E10 + 5)), 0))
  )
)</f>
        <v>942.913045042095</v>
      </c>
      <c r="AX10" s="80" t="n">
        <f aca="false" t="array" ref="AX10:AX10">IF(COLUMN() - ($E10 + 5) &lt; 0, 0,
  IF(COLUMN() - ($E10 + 5) = 0, $F10,
    AW10 * (1 - IFERROR(INDEX('Inputs &amp; Assuptions'!$D$13:$D$72, COLUMN() - ($E10 + 5)), 0))
  )
)</f>
        <v>942.441588519574</v>
      </c>
      <c r="AY10" s="80" t="n">
        <f aca="false" t="array" ref="AY10:AY10">IF(COLUMN() - ($E10 + 5) &lt; 0, 0,
  IF(COLUMN() - ($E10 + 5) = 0, $F10,
    AX10 * (1 - IFERROR(INDEX('Inputs &amp; Assuptions'!$D$13:$D$72, COLUMN() - ($E10 + 5)), 0))
  )
)</f>
        <v>941.970367725315</v>
      </c>
      <c r="AZ10" s="80" t="n">
        <f aca="false" t="array" ref="AZ10:AZ10">IF(COLUMN() - ($E10 + 5) &lt; 0, 0,
  IF(COLUMN() - ($E10 + 5) = 0, $F10,
    AY10 * (1 - IFERROR(INDEX('Inputs &amp; Assuptions'!$D$13:$D$72, COLUMN() - ($E10 + 5)), 0))
  )
)</f>
        <v>941.499382541452</v>
      </c>
      <c r="BA10" s="80" t="n">
        <f aca="false" t="array" ref="BA10:BA10">IF(COLUMN() - ($E10 + 5) &lt; 0, 0,
  IF(COLUMN() - ($E10 + 5) = 0, $F10,
    AZ10 * (1 - IFERROR(INDEX('Inputs &amp; Assuptions'!$D$13:$D$72, COLUMN() - ($E10 + 5)), 0))
  )
)</f>
        <v>941.028632850181</v>
      </c>
      <c r="BB10" s="80" t="n">
        <f aca="false" t="array" ref="BB10:BB10">IF(COLUMN() - ($E10 + 5) &lt; 0, 0,
  IF(COLUMN() - ($E10 + 5) = 0, $F10,
    BA10 * (1 - IFERROR(INDEX('Inputs &amp; Assuptions'!$D$13:$D$72, COLUMN() - ($E10 + 5)), 0))
  )
)</f>
        <v>940.558118533756</v>
      </c>
      <c r="BC10" s="80" t="n">
        <f aca="false" t="array" ref="BC10:BC10">IF(COLUMN() - ($E10 + 5) &lt; 0, 0,
  IF(COLUMN() - ($E10 + 5) = 0, $F10,
    BB10 * (1 - IFERROR(INDEX('Inputs &amp; Assuptions'!$D$13:$D$72, COLUMN() - ($E10 + 5)), 0))
  )
)</f>
        <v>940.087839474489</v>
      </c>
      <c r="BD10" s="80" t="n">
        <f aca="false" t="array" ref="BD10:BD10">IF(COLUMN() - ($E10 + 5) &lt; 0, 0,
  IF(COLUMN() - ($E10 + 5) = 0, $F10,
    BC10 * (1 - IFERROR(INDEX('Inputs &amp; Assuptions'!$D$13:$D$72, COLUMN() - ($E10 + 5)), 0))
  )
)</f>
        <v>939.617795554752</v>
      </c>
      <c r="BE10" s="80" t="n">
        <f aca="false" t="array" ref="BE10:BE10">IF(COLUMN() - ($E10 + 5) &lt; 0, 0,
  IF(COLUMN() - ($E10 + 5) = 0, $F10,
    BD10 * (1 - IFERROR(INDEX('Inputs &amp; Assuptions'!$D$13:$D$72, COLUMN() - ($E10 + 5)), 0))
  )
)</f>
        <v>939.147986656975</v>
      </c>
      <c r="BF10" s="80" t="n">
        <f aca="false" t="array" ref="BF10:BF10">IF(COLUMN() - ($E10 + 5) &lt; 0, 0,
  IF(COLUMN() - ($E10 + 5) = 0, $F10,
    BE10 * (1 - IFERROR(INDEX('Inputs &amp; Assuptions'!$D$13:$D$72, COLUMN() - ($E10 + 5)), 0))
  )
)</f>
        <v>938.678412663646</v>
      </c>
      <c r="BG10" s="80" t="n">
        <f aca="false" t="array" ref="BG10:BG10">IF(COLUMN() - ($E10 + 5) &lt; 0, 0,
  IF(COLUMN() - ($E10 + 5) = 0, $F10,
    BF10 * (1 - IFERROR(INDEX('Inputs &amp; Assuptions'!$D$13:$D$72, COLUMN() - ($E10 + 5)), 0))
  )
)</f>
        <v>938.209073457315</v>
      </c>
      <c r="BH10" s="80" t="n">
        <f aca="false" t="array" ref="BH10:BH10">IF(COLUMN() - ($E10 + 5) &lt; 0, 0,
  IF(COLUMN() - ($E10 + 5) = 0, $F10,
    BG10 * (1 - IFERROR(INDEX('Inputs &amp; Assuptions'!$D$13:$D$72, COLUMN() - ($E10 + 5)), 0))
  )
)</f>
        <v>937.739968920586</v>
      </c>
      <c r="BI10" s="80" t="n">
        <f aca="false" t="array" ref="BI10:BI10">IF(COLUMN() - ($E10 + 5) &lt; 0, 0,
  IF(COLUMN() - ($E10 + 5) = 0, $F10,
    BH10 * (1 - IFERROR(INDEX('Inputs &amp; Assuptions'!$D$13:$D$72, COLUMN() - ($E10 + 5)), 0))
  )
)</f>
        <v>937.271098936126</v>
      </c>
      <c r="BJ10" s="80" t="n">
        <f aca="false" t="array" ref="BJ10:BJ10">IF(COLUMN() - ($E10 + 5) &lt; 0, 0,
  IF(COLUMN() - ($E10 + 5) = 0, $F10,
    BI10 * (1 - IFERROR(INDEX('Inputs &amp; Assuptions'!$D$13:$D$72, COLUMN() - ($E10 + 5)), 0))
  )
)</f>
        <v>936.802463386658</v>
      </c>
      <c r="BK10" s="80" t="n">
        <f aca="false" t="array" ref="BK10:BK10">IF(COLUMN() - ($E10 + 5) &lt; 0, 0,
  IF(COLUMN() - ($E10 + 5) = 0, $F10,
    BJ10 * (1 - IFERROR(INDEX('Inputs &amp; Assuptions'!$D$13:$D$72, COLUMN() - ($E10 + 5)), 0))
  )
)</f>
        <v>936.334062154964</v>
      </c>
      <c r="BL10" s="80" t="n">
        <f aca="false" t="array" ref="BL10:BL10">IF(COLUMN() - ($E10 + 5) &lt; 0, 0,
  IF(COLUMN() - ($E10 + 5) = 0, $F10,
    BK10 * (1 - IFERROR(INDEX('Inputs &amp; Assuptions'!$D$13:$D$72, COLUMN() - ($E10 + 5)), 0))
  )
)</f>
        <v>935.865895123887</v>
      </c>
      <c r="BM10" s="81" t="n">
        <f aca="false" t="array" ref="BM10:BM10">IF(COLUMN() - ($E10 + 5) &lt; 0, 0,
  IF(COLUMN() - ($E10 + 5) = 0, $F10,
    BL10 * (1 - IFERROR(INDEX('Inputs &amp; Assuptions'!$D$13:$D$72, COLUMN() - ($E10 + 5)), 0))
  )
)</f>
        <v>935.397962176325</v>
      </c>
      <c r="BN10" s="76"/>
    </row>
    <row r="11" customFormat="false" ht="14.25" hidden="false" customHeight="false" outlineLevel="0" collapsed="false">
      <c r="A11" s="29" t="n">
        <f aca="false">A10+1</f>
        <v>6</v>
      </c>
      <c r="B11" s="77" t="n">
        <f aca="false">IF(MOD($A11-1, 12) = 0, $B10 * 1.05, $B10)</f>
        <v>1000</v>
      </c>
      <c r="C11" s="93" t="n">
        <f aca="false">$B11*(1-'Inputs &amp; Assuptions'!$D$12)</f>
        <v>978</v>
      </c>
      <c r="E11" s="29" t="n">
        <f aca="false">E10+1</f>
        <v>6</v>
      </c>
      <c r="F11" s="79"/>
      <c r="G11" s="80"/>
      <c r="H11" s="80"/>
      <c r="I11" s="80"/>
      <c r="J11" s="80"/>
      <c r="K11" s="80" t="n">
        <f aca="false">$C11</f>
        <v>978</v>
      </c>
      <c r="L11" s="80" t="n">
        <f aca="false" t="array" ref="L11:L11">IF(COLUMN() - ($E11 + 5) &lt; 0, 0,
  IF(COLUMN() - ($E11 + 5) = 0, $F11,
    K11 * (1 - IFERROR(INDEX('Inputs &amp; Assuptions'!$D$13:$D$72, COLUMN() - ($E11 + 5)), 0))
  )
)</f>
        <v>973.11</v>
      </c>
      <c r="M11" s="80" t="n">
        <f aca="false" t="array" ref="M11:M11">IF(COLUMN() - ($E11 + 5) &lt; 0, 0,
  IF(COLUMN() - ($E11 + 5) = 0, $F11,
    L11 * (1 - IFERROR(INDEX('Inputs &amp; Assuptions'!$D$13:$D$72, COLUMN() - ($E11 + 5)), 0))
  )
)</f>
        <v>969.412182</v>
      </c>
      <c r="N11" s="80" t="n">
        <f aca="false" t="array" ref="N11:N11">IF(COLUMN() - ($E11 + 5) &lt; 0, 0,
  IF(COLUMN() - ($E11 + 5) = 0, $F11,
    M11 * (1 - IFERROR(INDEX('Inputs &amp; Assuptions'!$D$13:$D$72, COLUMN() - ($E11 + 5)), 0))
  )
)</f>
        <v>966.988651545</v>
      </c>
      <c r="O11" s="80" t="n">
        <f aca="false" t="array" ref="O11:O11">IF(COLUMN() - ($E11 + 5) &lt; 0, 0,
  IF(COLUMN() - ($E11 + 5) = 0, $F11,
    N11 * (1 - IFERROR(INDEX('Inputs &amp; Assuptions'!$D$13:$D$72, COLUMN() - ($E11 + 5)), 0))
  )
)</f>
        <v>964.764577646447</v>
      </c>
      <c r="P11" s="80" t="n">
        <f aca="false" t="array" ref="P11:P11">IF(COLUMN() - ($E11 + 5) &lt; 0, 0,
  IF(COLUMN() - ($E11 + 5) = 0, $F11,
    O11 * (1 - IFERROR(INDEX('Inputs &amp; Assuptions'!$D$13:$D$72, COLUMN() - ($E11 + 5)), 0))
  )
)</f>
        <v>962.835048491154</v>
      </c>
      <c r="Q11" s="80" t="n">
        <f aca="false" t="array" ref="Q11:Q11">IF(COLUMN() - ($E11 + 5) &lt; 0, 0,
  IF(COLUMN() - ($E11 + 5) = 0, $F11,
    P11 * (1 - IFERROR(INDEX('Inputs &amp; Assuptions'!$D$13:$D$72, COLUMN() - ($E11 + 5)), 0))
  )
)</f>
        <v>961.10194540387</v>
      </c>
      <c r="R11" s="80" t="n">
        <f aca="false" t="array" ref="R11:R11">IF(COLUMN() - ($E11 + 5) &lt; 0, 0,
  IF(COLUMN() - ($E11 + 5) = 0, $F11,
    Q11 * (1 - IFERROR(INDEX('Inputs &amp; Assuptions'!$D$13:$D$72, COLUMN() - ($E11 + 5)), 0))
  )
)</f>
        <v>959.660292485764</v>
      </c>
      <c r="S11" s="80" t="n">
        <f aca="false" t="array" ref="S11:S11">IF(COLUMN() - ($E11 + 5) &lt; 0, 0,
  IF(COLUMN() - ($E11 + 5) = 0, $F11,
    R11 * (1 - IFERROR(INDEX('Inputs &amp; Assuptions'!$D$13:$D$72, COLUMN() - ($E11 + 5)), 0))
  )
)</f>
        <v>958.412734105532</v>
      </c>
      <c r="T11" s="80" t="n">
        <f aca="false" t="array" ref="T11:T11">IF(COLUMN() - ($E11 + 5) &lt; 0, 0,
  IF(COLUMN() - ($E11 + 5) = 0, $F11,
    S11 * (1 - IFERROR(INDEX('Inputs &amp; Assuptions'!$D$13:$D$72, COLUMN() - ($E11 + 5)), 0))
  )
)</f>
        <v>957.454321371427</v>
      </c>
      <c r="U11" s="80" t="n">
        <f aca="false" t="array" ref="U11:U11">IF(COLUMN() - ($E11 + 5) &lt; 0, 0,
  IF(COLUMN() - ($E11 + 5) = 0, $F11,
    T11 * (1 - IFERROR(INDEX('Inputs &amp; Assuptions'!$D$13:$D$72, COLUMN() - ($E11 + 5)), 0))
  )
)</f>
        <v>956.68835791433</v>
      </c>
      <c r="V11" s="80" t="n">
        <f aca="false" t="array" ref="V11:V11">IF(COLUMN() - ($E11 + 5) &lt; 0, 0,
  IF(COLUMN() - ($E11 + 5) = 0, $F11,
    U11 * (1 - IFERROR(INDEX('Inputs &amp; Assuptions'!$D$13:$D$72, COLUMN() - ($E11 + 5)), 0))
  )
)</f>
        <v>956.210013735373</v>
      </c>
      <c r="W11" s="80" t="n">
        <f aca="false" t="array" ref="W11:W11">IF(COLUMN() - ($E11 + 5) &lt; 0, 0,
  IF(COLUMN() - ($E11 + 5) = 0, $F11,
    V11 * (1 - IFERROR(INDEX('Inputs &amp; Assuptions'!$D$13:$D$72, COLUMN() - ($E11 + 5)), 0))
  )
)</f>
        <v>955.731908728505</v>
      </c>
      <c r="X11" s="80" t="n">
        <f aca="false" t="array" ref="X11:X11">IF(COLUMN() - ($E11 + 5) &lt; 0, 0,
  IF(COLUMN() - ($E11 + 5) = 0, $F11,
    W11 * (1 - IFERROR(INDEX('Inputs &amp; Assuptions'!$D$13:$D$72, COLUMN() - ($E11 + 5)), 0))
  )
)</f>
        <v>955.254042774141</v>
      </c>
      <c r="Y11" s="80" t="n">
        <f aca="false" t="array" ref="Y11:Y11">IF(COLUMN() - ($E11 + 5) &lt; 0, 0,
  IF(COLUMN() - ($E11 + 5) = 0, $F11,
    X11 * (1 - IFERROR(INDEX('Inputs &amp; Assuptions'!$D$13:$D$72, COLUMN() - ($E11 + 5)), 0))
  )
)</f>
        <v>954.776415752754</v>
      </c>
      <c r="Z11" s="80" t="n">
        <f aca="false" t="array" ref="Z11:Z11">IF(COLUMN() - ($E11 + 5) &lt; 0, 0,
  IF(COLUMN() - ($E11 + 5) = 0, $F11,
    Y11 * (1 - IFERROR(INDEX('Inputs &amp; Assuptions'!$D$13:$D$72, COLUMN() - ($E11 + 5)), 0))
  )
)</f>
        <v>954.299027544877</v>
      </c>
      <c r="AA11" s="80" t="n">
        <f aca="false" t="array" ref="AA11:AA11">IF(COLUMN() - ($E11 + 5) &lt; 0, 0,
  IF(COLUMN() - ($E11 + 5) = 0, $F11,
    Z11 * (1 - IFERROR(INDEX('Inputs &amp; Assuptions'!$D$13:$D$72, COLUMN() - ($E11 + 5)), 0))
  )
)</f>
        <v>953.821878031105</v>
      </c>
      <c r="AB11" s="80" t="n">
        <f aca="false" t="array" ref="AB11:AB11">IF(COLUMN() - ($E11 + 5) &lt; 0, 0,
  IF(COLUMN() - ($E11 + 5) = 0, $F11,
    AA11 * (1 - IFERROR(INDEX('Inputs &amp; Assuptions'!$D$13:$D$72, COLUMN() - ($E11 + 5)), 0))
  )
)</f>
        <v>953.34496709209</v>
      </c>
      <c r="AC11" s="80" t="n">
        <f aca="false" t="array" ref="AC11:AC11">IF(COLUMN() - ($E11 + 5) &lt; 0, 0,
  IF(COLUMN() - ($E11 + 5) = 0, $F11,
    AB11 * (1 - IFERROR(INDEX('Inputs &amp; Assuptions'!$D$13:$D$72, COLUMN() - ($E11 + 5)), 0))
  )
)</f>
        <v>952.868294608544</v>
      </c>
      <c r="AD11" s="80" t="n">
        <f aca="false" t="array" ref="AD11:AD11">IF(COLUMN() - ($E11 + 5) &lt; 0, 0,
  IF(COLUMN() - ($E11 + 5) = 0, $F11,
    AC11 * (1 - IFERROR(INDEX('Inputs &amp; Assuptions'!$D$13:$D$72, COLUMN() - ($E11 + 5)), 0))
  )
)</f>
        <v>952.391860461239</v>
      </c>
      <c r="AE11" s="80" t="n">
        <f aca="false" t="array" ref="AE11:AE11">IF(COLUMN() - ($E11 + 5) &lt; 0, 0,
  IF(COLUMN() - ($E11 + 5) = 0, $F11,
    AD11 * (1 - IFERROR(INDEX('Inputs &amp; Assuptions'!$D$13:$D$72, COLUMN() - ($E11 + 5)), 0))
  )
)</f>
        <v>951.915664531009</v>
      </c>
      <c r="AF11" s="80" t="n">
        <f aca="false" t="array" ref="AF11:AF11">IF(COLUMN() - ($E11 + 5) &lt; 0, 0,
  IF(COLUMN() - ($E11 + 5) = 0, $F11,
    AE11 * (1 - IFERROR(INDEX('Inputs &amp; Assuptions'!$D$13:$D$72, COLUMN() - ($E11 + 5)), 0))
  )
)</f>
        <v>951.439706698743</v>
      </c>
      <c r="AG11" s="80" t="n">
        <f aca="false" t="array" ref="AG11:AG11">IF(COLUMN() - ($E11 + 5) &lt; 0, 0,
  IF(COLUMN() - ($E11 + 5) = 0, $F11,
    AF11 * (1 - IFERROR(INDEX('Inputs &amp; Assuptions'!$D$13:$D$72, COLUMN() - ($E11 + 5)), 0))
  )
)</f>
        <v>950.963986845394</v>
      </c>
      <c r="AH11" s="80" t="n">
        <f aca="false" t="array" ref="AH11:AH11">IF(COLUMN() - ($E11 + 5) &lt; 0, 0,
  IF(COLUMN() - ($E11 + 5) = 0, $F11,
    AG11 * (1 - IFERROR(INDEX('Inputs &amp; Assuptions'!$D$13:$D$72, COLUMN() - ($E11 + 5)), 0))
  )
)</f>
        <v>950.488504851972</v>
      </c>
      <c r="AI11" s="80" t="n">
        <f aca="false" t="array" ref="AI11:AI11">IF(COLUMN() - ($E11 + 5) &lt; 0, 0,
  IF(COLUMN() - ($E11 + 5) = 0, $F11,
    AH11 * (1 - IFERROR(INDEX('Inputs &amp; Assuptions'!$D$13:$D$72, COLUMN() - ($E11 + 5)), 0))
  )
)</f>
        <v>950.013260599546</v>
      </c>
      <c r="AJ11" s="80" t="n">
        <f aca="false" t="array" ref="AJ11:AJ11">IF(COLUMN() - ($E11 + 5) &lt; 0, 0,
  IF(COLUMN() - ($E11 + 5) = 0, $F11,
    AI11 * (1 - IFERROR(INDEX('Inputs &amp; Assuptions'!$D$13:$D$72, COLUMN() - ($E11 + 5)), 0))
  )
)</f>
        <v>949.538253969246</v>
      </c>
      <c r="AK11" s="80" t="n">
        <f aca="false" t="array" ref="AK11:AK11">IF(COLUMN() - ($E11 + 5) &lt; 0, 0,
  IF(COLUMN() - ($E11 + 5) = 0, $F11,
    AJ11 * (1 - IFERROR(INDEX('Inputs &amp; Assuptions'!$D$13:$D$72, COLUMN() - ($E11 + 5)), 0))
  )
)</f>
        <v>949.063484842261</v>
      </c>
      <c r="AL11" s="80" t="n">
        <f aca="false" t="array" ref="AL11:AL11">IF(COLUMN() - ($E11 + 5) &lt; 0, 0,
  IF(COLUMN() - ($E11 + 5) = 0, $F11,
    AK11 * (1 - IFERROR(INDEX('Inputs &amp; Assuptions'!$D$13:$D$72, COLUMN() - ($E11 + 5)), 0))
  )
)</f>
        <v>948.58895309984</v>
      </c>
      <c r="AM11" s="80" t="n">
        <f aca="false" t="array" ref="AM11:AM11">IF(COLUMN() - ($E11 + 5) &lt; 0, 0,
  IF(COLUMN() - ($E11 + 5) = 0, $F11,
    AL11 * (1 - IFERROR(INDEX('Inputs &amp; Assuptions'!$D$13:$D$72, COLUMN() - ($E11 + 5)), 0))
  )
)</f>
        <v>948.11465862329</v>
      </c>
      <c r="AN11" s="80" t="n">
        <f aca="false" t="array" ref="AN11:AN11">IF(COLUMN() - ($E11 + 5) &lt; 0, 0,
  IF(COLUMN() - ($E11 + 5) = 0, $F11,
    AM11 * (1 - IFERROR(INDEX('Inputs &amp; Assuptions'!$D$13:$D$72, COLUMN() - ($E11 + 5)), 0))
  )
)</f>
        <v>947.640601293979</v>
      </c>
      <c r="AO11" s="80" t="n">
        <f aca="false" t="array" ref="AO11:AO11">IF(COLUMN() - ($E11 + 5) &lt; 0, 0,
  IF(COLUMN() - ($E11 + 5) = 0, $F11,
    AN11 * (1 - IFERROR(INDEX('Inputs &amp; Assuptions'!$D$13:$D$72, COLUMN() - ($E11 + 5)), 0))
  )
)</f>
        <v>947.166780993332</v>
      </c>
      <c r="AP11" s="80" t="n">
        <f aca="false" t="array" ref="AP11:AP11">IF(COLUMN() - ($E11 + 5) &lt; 0, 0,
  IF(COLUMN() - ($E11 + 5) = 0, $F11,
    AO11 * (1 - IFERROR(INDEX('Inputs &amp; Assuptions'!$D$13:$D$72, COLUMN() - ($E11 + 5)), 0))
  )
)</f>
        <v>946.693197602835</v>
      </c>
      <c r="AQ11" s="80" t="n">
        <f aca="false" t="array" ref="AQ11:AQ11">IF(COLUMN() - ($E11 + 5) &lt; 0, 0,
  IF(COLUMN() - ($E11 + 5) = 0, $F11,
    AP11 * (1 - IFERROR(INDEX('Inputs &amp; Assuptions'!$D$13:$D$72, COLUMN() - ($E11 + 5)), 0))
  )
)</f>
        <v>946.219851004034</v>
      </c>
      <c r="AR11" s="80" t="n">
        <f aca="false" t="array" ref="AR11:AR11">IF(COLUMN() - ($E11 + 5) &lt; 0, 0,
  IF(COLUMN() - ($E11 + 5) = 0, $F11,
    AQ11 * (1 - IFERROR(INDEX('Inputs &amp; Assuptions'!$D$13:$D$72, COLUMN() - ($E11 + 5)), 0))
  )
)</f>
        <v>945.746741078532</v>
      </c>
      <c r="AS11" s="80" t="n">
        <f aca="false" t="array" ref="AS11:AS11">IF(COLUMN() - ($E11 + 5) &lt; 0, 0,
  IF(COLUMN() - ($E11 + 5) = 0, $F11,
    AR11 * (1 - IFERROR(INDEX('Inputs &amp; Assuptions'!$D$13:$D$72, COLUMN() - ($E11 + 5)), 0))
  )
)</f>
        <v>945.273867707993</v>
      </c>
      <c r="AT11" s="80" t="n">
        <f aca="false" t="array" ref="AT11:AT11">IF(COLUMN() - ($E11 + 5) &lt; 0, 0,
  IF(COLUMN() - ($E11 + 5) = 0, $F11,
    AS11 * (1 - IFERROR(INDEX('Inputs &amp; Assuptions'!$D$13:$D$72, COLUMN() - ($E11 + 5)), 0))
  )
)</f>
        <v>944.801230774139</v>
      </c>
      <c r="AU11" s="80" t="n">
        <f aca="false" t="array" ref="AU11:AU11">IF(COLUMN() - ($E11 + 5) &lt; 0, 0,
  IF(COLUMN() - ($E11 + 5) = 0, $F11,
    AT11 * (1 - IFERROR(INDEX('Inputs &amp; Assuptions'!$D$13:$D$72, COLUMN() - ($E11 + 5)), 0))
  )
)</f>
        <v>944.328830158752</v>
      </c>
      <c r="AV11" s="80" t="n">
        <f aca="false" t="array" ref="AV11:AV11">IF(COLUMN() - ($E11 + 5) &lt; 0, 0,
  IF(COLUMN() - ($E11 + 5) = 0, $F11,
    AU11 * (1 - IFERROR(INDEX('Inputs &amp; Assuptions'!$D$13:$D$72, COLUMN() - ($E11 + 5)), 0))
  )
)</f>
        <v>943.856665743672</v>
      </c>
      <c r="AW11" s="80" t="n">
        <f aca="false" t="array" ref="AW11:AW11">IF(COLUMN() - ($E11 + 5) &lt; 0, 0,
  IF(COLUMN() - ($E11 + 5) = 0, $F11,
    AV11 * (1 - IFERROR(INDEX('Inputs &amp; Assuptions'!$D$13:$D$72, COLUMN() - ($E11 + 5)), 0))
  )
)</f>
        <v>943.384737410801</v>
      </c>
      <c r="AX11" s="80" t="n">
        <f aca="false" t="array" ref="AX11:AX11">IF(COLUMN() - ($E11 + 5) &lt; 0, 0,
  IF(COLUMN() - ($E11 + 5) = 0, $F11,
    AW11 * (1 - IFERROR(INDEX('Inputs &amp; Assuptions'!$D$13:$D$72, COLUMN() - ($E11 + 5)), 0))
  )
)</f>
        <v>942.913045042095</v>
      </c>
      <c r="AY11" s="80" t="n">
        <f aca="false" t="array" ref="AY11:AY11">IF(COLUMN() - ($E11 + 5) &lt; 0, 0,
  IF(COLUMN() - ($E11 + 5) = 0, $F11,
    AX11 * (1 - IFERROR(INDEX('Inputs &amp; Assuptions'!$D$13:$D$72, COLUMN() - ($E11 + 5)), 0))
  )
)</f>
        <v>942.441588519574</v>
      </c>
      <c r="AZ11" s="80" t="n">
        <f aca="false" t="array" ref="AZ11:AZ11">IF(COLUMN() - ($E11 + 5) &lt; 0, 0,
  IF(COLUMN() - ($E11 + 5) = 0, $F11,
    AY11 * (1 - IFERROR(INDEX('Inputs &amp; Assuptions'!$D$13:$D$72, COLUMN() - ($E11 + 5)), 0))
  )
)</f>
        <v>941.970367725315</v>
      </c>
      <c r="BA11" s="80" t="n">
        <f aca="false" t="array" ref="BA11:BA11">IF(COLUMN() - ($E11 + 5) &lt; 0, 0,
  IF(COLUMN() - ($E11 + 5) = 0, $F11,
    AZ11 * (1 - IFERROR(INDEX('Inputs &amp; Assuptions'!$D$13:$D$72, COLUMN() - ($E11 + 5)), 0))
  )
)</f>
        <v>941.499382541452</v>
      </c>
      <c r="BB11" s="80" t="n">
        <f aca="false" t="array" ref="BB11:BB11">IF(COLUMN() - ($E11 + 5) &lt; 0, 0,
  IF(COLUMN() - ($E11 + 5) = 0, $F11,
    BA11 * (1 - IFERROR(INDEX('Inputs &amp; Assuptions'!$D$13:$D$72, COLUMN() - ($E11 + 5)), 0))
  )
)</f>
        <v>941.028632850181</v>
      </c>
      <c r="BC11" s="80" t="n">
        <f aca="false" t="array" ref="BC11:BC11">IF(COLUMN() - ($E11 + 5) &lt; 0, 0,
  IF(COLUMN() - ($E11 + 5) = 0, $F11,
    BB11 * (1 - IFERROR(INDEX('Inputs &amp; Assuptions'!$D$13:$D$72, COLUMN() - ($E11 + 5)), 0))
  )
)</f>
        <v>940.558118533756</v>
      </c>
      <c r="BD11" s="80" t="n">
        <f aca="false" t="array" ref="BD11:BD11">IF(COLUMN() - ($E11 + 5) &lt; 0, 0,
  IF(COLUMN() - ($E11 + 5) = 0, $F11,
    BC11 * (1 - IFERROR(INDEX('Inputs &amp; Assuptions'!$D$13:$D$72, COLUMN() - ($E11 + 5)), 0))
  )
)</f>
        <v>940.087839474489</v>
      </c>
      <c r="BE11" s="80" t="n">
        <f aca="false" t="array" ref="BE11:BE11">IF(COLUMN() - ($E11 + 5) &lt; 0, 0,
  IF(COLUMN() - ($E11 + 5) = 0, $F11,
    BD11 * (1 - IFERROR(INDEX('Inputs &amp; Assuptions'!$D$13:$D$72, COLUMN() - ($E11 + 5)), 0))
  )
)</f>
        <v>939.617795554752</v>
      </c>
      <c r="BF11" s="80" t="n">
        <f aca="false" t="array" ref="BF11:BF11">IF(COLUMN() - ($E11 + 5) &lt; 0, 0,
  IF(COLUMN() - ($E11 + 5) = 0, $F11,
    BE11 * (1 - IFERROR(INDEX('Inputs &amp; Assuptions'!$D$13:$D$72, COLUMN() - ($E11 + 5)), 0))
  )
)</f>
        <v>939.147986656975</v>
      </c>
      <c r="BG11" s="80" t="n">
        <f aca="false" t="array" ref="BG11:BG11">IF(COLUMN() - ($E11 + 5) &lt; 0, 0,
  IF(COLUMN() - ($E11 + 5) = 0, $F11,
    BF11 * (1 - IFERROR(INDEX('Inputs &amp; Assuptions'!$D$13:$D$72, COLUMN() - ($E11 + 5)), 0))
  )
)</f>
        <v>938.678412663646</v>
      </c>
      <c r="BH11" s="80" t="n">
        <f aca="false" t="array" ref="BH11:BH11">IF(COLUMN() - ($E11 + 5) &lt; 0, 0,
  IF(COLUMN() - ($E11 + 5) = 0, $F11,
    BG11 * (1 - IFERROR(INDEX('Inputs &amp; Assuptions'!$D$13:$D$72, COLUMN() - ($E11 + 5)), 0))
  )
)</f>
        <v>938.209073457315</v>
      </c>
      <c r="BI11" s="80" t="n">
        <f aca="false" t="array" ref="BI11:BI11">IF(COLUMN() - ($E11 + 5) &lt; 0, 0,
  IF(COLUMN() - ($E11 + 5) = 0, $F11,
    BH11 * (1 - IFERROR(INDEX('Inputs &amp; Assuptions'!$D$13:$D$72, COLUMN() - ($E11 + 5)), 0))
  )
)</f>
        <v>937.739968920586</v>
      </c>
      <c r="BJ11" s="80" t="n">
        <f aca="false" t="array" ref="BJ11:BJ11">IF(COLUMN() - ($E11 + 5) &lt; 0, 0,
  IF(COLUMN() - ($E11 + 5) = 0, $F11,
    BI11 * (1 - IFERROR(INDEX('Inputs &amp; Assuptions'!$D$13:$D$72, COLUMN() - ($E11 + 5)), 0))
  )
)</f>
        <v>937.271098936126</v>
      </c>
      <c r="BK11" s="80" t="n">
        <f aca="false" t="array" ref="BK11:BK11">IF(COLUMN() - ($E11 + 5) &lt; 0, 0,
  IF(COLUMN() - ($E11 + 5) = 0, $F11,
    BJ11 * (1 - IFERROR(INDEX('Inputs &amp; Assuptions'!$D$13:$D$72, COLUMN() - ($E11 + 5)), 0))
  )
)</f>
        <v>936.802463386658</v>
      </c>
      <c r="BL11" s="80" t="n">
        <f aca="false" t="array" ref="BL11:BL11">IF(COLUMN() - ($E11 + 5) &lt; 0, 0,
  IF(COLUMN() - ($E11 + 5) = 0, $F11,
    BK11 * (1 - IFERROR(INDEX('Inputs &amp; Assuptions'!$D$13:$D$72, COLUMN() - ($E11 + 5)), 0))
  )
)</f>
        <v>936.334062154964</v>
      </c>
      <c r="BM11" s="81" t="n">
        <f aca="false" t="array" ref="BM11:BM11">IF(COLUMN() - ($E11 + 5) &lt; 0, 0,
  IF(COLUMN() - ($E11 + 5) = 0, $F11,
    BL11 * (1 - IFERROR(INDEX('Inputs &amp; Assuptions'!$D$13:$D$72, COLUMN() - ($E11 + 5)), 0))
  )
)</f>
        <v>935.865895123887</v>
      </c>
      <c r="BN11" s="76"/>
    </row>
    <row r="12" customFormat="false" ht="14.25" hidden="false" customHeight="false" outlineLevel="0" collapsed="false">
      <c r="A12" s="29" t="n">
        <f aca="false">A11+1</f>
        <v>7</v>
      </c>
      <c r="B12" s="77" t="n">
        <f aca="false">IF(MOD($A12-1, 12) = 0, $B11 * 1.05, $B11)</f>
        <v>1000</v>
      </c>
      <c r="C12" s="93" t="n">
        <f aca="false">$B12*(1-'Inputs &amp; Assuptions'!$D$12)</f>
        <v>978</v>
      </c>
      <c r="E12" s="29" t="n">
        <f aca="false">E11+1</f>
        <v>7</v>
      </c>
      <c r="F12" s="79"/>
      <c r="G12" s="80"/>
      <c r="H12" s="80"/>
      <c r="I12" s="80"/>
      <c r="J12" s="80"/>
      <c r="K12" s="80"/>
      <c r="L12" s="80" t="n">
        <f aca="false">$C12</f>
        <v>978</v>
      </c>
      <c r="M12" s="80" t="n">
        <f aca="false" t="array" ref="M12:M12">IF(COLUMN() - ($E12 + 5) &lt; 0, 0,
  IF(COLUMN() - ($E12 + 5) = 0, $F12,
    L12 * (1 - IFERROR(INDEX('Inputs &amp; Assuptions'!$D$13:$D$72, COLUMN() - ($E12 + 5)), 0))
  )
)</f>
        <v>973.11</v>
      </c>
      <c r="N12" s="80" t="n">
        <f aca="false" t="array" ref="N12:N12">IF(COLUMN() - ($E12 + 5) &lt; 0, 0,
  IF(COLUMN() - ($E12 + 5) = 0, $F12,
    M12 * (1 - IFERROR(INDEX('Inputs &amp; Assuptions'!$D$13:$D$72, COLUMN() - ($E12 + 5)), 0))
  )
)</f>
        <v>969.412182</v>
      </c>
      <c r="O12" s="80" t="n">
        <f aca="false" t="array" ref="O12:O12">IF(COLUMN() - ($E12 + 5) &lt; 0, 0,
  IF(COLUMN() - ($E12 + 5) = 0, $F12,
    N12 * (1 - IFERROR(INDEX('Inputs &amp; Assuptions'!$D$13:$D$72, COLUMN() - ($E12 + 5)), 0))
  )
)</f>
        <v>966.988651545</v>
      </c>
      <c r="P12" s="80" t="n">
        <f aca="false" t="array" ref="P12:P12">IF(COLUMN() - ($E12 + 5) &lt; 0, 0,
  IF(COLUMN() - ($E12 + 5) = 0, $F12,
    O12 * (1 - IFERROR(INDEX('Inputs &amp; Assuptions'!$D$13:$D$72, COLUMN() - ($E12 + 5)), 0))
  )
)</f>
        <v>964.764577646447</v>
      </c>
      <c r="Q12" s="80" t="n">
        <f aca="false" t="array" ref="Q12:Q12">IF(COLUMN() - ($E12 + 5) &lt; 0, 0,
  IF(COLUMN() - ($E12 + 5) = 0, $F12,
    P12 * (1 - IFERROR(INDEX('Inputs &amp; Assuptions'!$D$13:$D$72, COLUMN() - ($E12 + 5)), 0))
  )
)</f>
        <v>962.835048491154</v>
      </c>
      <c r="R12" s="80" t="n">
        <f aca="false" t="array" ref="R12:R12">IF(COLUMN() - ($E12 + 5) &lt; 0, 0,
  IF(COLUMN() - ($E12 + 5) = 0, $F12,
    Q12 * (1 - IFERROR(INDEX('Inputs &amp; Assuptions'!$D$13:$D$72, COLUMN() - ($E12 + 5)), 0))
  )
)</f>
        <v>961.10194540387</v>
      </c>
      <c r="S12" s="80" t="n">
        <f aca="false" t="array" ref="S12:S12">IF(COLUMN() - ($E12 + 5) &lt; 0, 0,
  IF(COLUMN() - ($E12 + 5) = 0, $F12,
    R12 * (1 - IFERROR(INDEX('Inputs &amp; Assuptions'!$D$13:$D$72, COLUMN() - ($E12 + 5)), 0))
  )
)</f>
        <v>959.660292485764</v>
      </c>
      <c r="T12" s="80" t="n">
        <f aca="false" t="array" ref="T12:T12">IF(COLUMN() - ($E12 + 5) &lt; 0, 0,
  IF(COLUMN() - ($E12 + 5) = 0, $F12,
    S12 * (1 - IFERROR(INDEX('Inputs &amp; Assuptions'!$D$13:$D$72, COLUMN() - ($E12 + 5)), 0))
  )
)</f>
        <v>958.412734105532</v>
      </c>
      <c r="U12" s="80" t="n">
        <f aca="false" t="array" ref="U12:U12">IF(COLUMN() - ($E12 + 5) &lt; 0, 0,
  IF(COLUMN() - ($E12 + 5) = 0, $F12,
    T12 * (1 - IFERROR(INDEX('Inputs &amp; Assuptions'!$D$13:$D$72, COLUMN() - ($E12 + 5)), 0))
  )
)</f>
        <v>957.454321371427</v>
      </c>
      <c r="V12" s="80" t="n">
        <f aca="false" t="array" ref="V12:V12">IF(COLUMN() - ($E12 + 5) &lt; 0, 0,
  IF(COLUMN() - ($E12 + 5) = 0, $F12,
    U12 * (1 - IFERROR(INDEX('Inputs &amp; Assuptions'!$D$13:$D$72, COLUMN() - ($E12 + 5)), 0))
  )
)</f>
        <v>956.68835791433</v>
      </c>
      <c r="W12" s="80" t="n">
        <f aca="false" t="array" ref="W12:W12">IF(COLUMN() - ($E12 + 5) &lt; 0, 0,
  IF(COLUMN() - ($E12 + 5) = 0, $F12,
    V12 * (1 - IFERROR(INDEX('Inputs &amp; Assuptions'!$D$13:$D$72, COLUMN() - ($E12 + 5)), 0))
  )
)</f>
        <v>956.210013735373</v>
      </c>
      <c r="X12" s="80" t="n">
        <f aca="false" t="array" ref="X12:X12">IF(COLUMN() - ($E12 + 5) &lt; 0, 0,
  IF(COLUMN() - ($E12 + 5) = 0, $F12,
    W12 * (1 - IFERROR(INDEX('Inputs &amp; Assuptions'!$D$13:$D$72, COLUMN() - ($E12 + 5)), 0))
  )
)</f>
        <v>955.731908728505</v>
      </c>
      <c r="Y12" s="80" t="n">
        <f aca="false" t="array" ref="Y12:Y12">IF(COLUMN() - ($E12 + 5) &lt; 0, 0,
  IF(COLUMN() - ($E12 + 5) = 0, $F12,
    X12 * (1 - IFERROR(INDEX('Inputs &amp; Assuptions'!$D$13:$D$72, COLUMN() - ($E12 + 5)), 0))
  )
)</f>
        <v>955.254042774141</v>
      </c>
      <c r="Z12" s="80" t="n">
        <f aca="false" t="array" ref="Z12:Z12">IF(COLUMN() - ($E12 + 5) &lt; 0, 0,
  IF(COLUMN() - ($E12 + 5) = 0, $F12,
    Y12 * (1 - IFERROR(INDEX('Inputs &amp; Assuptions'!$D$13:$D$72, COLUMN() - ($E12 + 5)), 0))
  )
)</f>
        <v>954.776415752754</v>
      </c>
      <c r="AA12" s="80" t="n">
        <f aca="false" t="array" ref="AA12:AA12">IF(COLUMN() - ($E12 + 5) &lt; 0, 0,
  IF(COLUMN() - ($E12 + 5) = 0, $F12,
    Z12 * (1 - IFERROR(INDEX('Inputs &amp; Assuptions'!$D$13:$D$72, COLUMN() - ($E12 + 5)), 0))
  )
)</f>
        <v>954.299027544877</v>
      </c>
      <c r="AB12" s="80" t="n">
        <f aca="false" t="array" ref="AB12:AB12">IF(COLUMN() - ($E12 + 5) &lt; 0, 0,
  IF(COLUMN() - ($E12 + 5) = 0, $F12,
    AA12 * (1 - IFERROR(INDEX('Inputs &amp; Assuptions'!$D$13:$D$72, COLUMN() - ($E12 + 5)), 0))
  )
)</f>
        <v>953.821878031105</v>
      </c>
      <c r="AC12" s="80" t="n">
        <f aca="false" t="array" ref="AC12:AC12">IF(COLUMN() - ($E12 + 5) &lt; 0, 0,
  IF(COLUMN() - ($E12 + 5) = 0, $F12,
    AB12 * (1 - IFERROR(INDEX('Inputs &amp; Assuptions'!$D$13:$D$72, COLUMN() - ($E12 + 5)), 0))
  )
)</f>
        <v>953.34496709209</v>
      </c>
      <c r="AD12" s="80" t="n">
        <f aca="false" t="array" ref="AD12:AD12">IF(COLUMN() - ($E12 + 5) &lt; 0, 0,
  IF(COLUMN() - ($E12 + 5) = 0, $F12,
    AC12 * (1 - IFERROR(INDEX('Inputs &amp; Assuptions'!$D$13:$D$72, COLUMN() - ($E12 + 5)), 0))
  )
)</f>
        <v>952.868294608544</v>
      </c>
      <c r="AE12" s="80" t="n">
        <f aca="false" t="array" ref="AE12:AE12">IF(COLUMN() - ($E12 + 5) &lt; 0, 0,
  IF(COLUMN() - ($E12 + 5) = 0, $F12,
    AD12 * (1 - IFERROR(INDEX('Inputs &amp; Assuptions'!$D$13:$D$72, COLUMN() - ($E12 + 5)), 0))
  )
)</f>
        <v>952.391860461239</v>
      </c>
      <c r="AF12" s="80" t="n">
        <f aca="false" t="array" ref="AF12:AF12">IF(COLUMN() - ($E12 + 5) &lt; 0, 0,
  IF(COLUMN() - ($E12 + 5) = 0, $F12,
    AE12 * (1 - IFERROR(INDEX('Inputs &amp; Assuptions'!$D$13:$D$72, COLUMN() - ($E12 + 5)), 0))
  )
)</f>
        <v>951.915664531009</v>
      </c>
      <c r="AG12" s="80" t="n">
        <f aca="false" t="array" ref="AG12:AG12">IF(COLUMN() - ($E12 + 5) &lt; 0, 0,
  IF(COLUMN() - ($E12 + 5) = 0, $F12,
    AF12 * (1 - IFERROR(INDEX('Inputs &amp; Assuptions'!$D$13:$D$72, COLUMN() - ($E12 + 5)), 0))
  )
)</f>
        <v>951.439706698743</v>
      </c>
      <c r="AH12" s="80" t="n">
        <f aca="false" t="array" ref="AH12:AH12">IF(COLUMN() - ($E12 + 5) &lt; 0, 0,
  IF(COLUMN() - ($E12 + 5) = 0, $F12,
    AG12 * (1 - IFERROR(INDEX('Inputs &amp; Assuptions'!$D$13:$D$72, COLUMN() - ($E12 + 5)), 0))
  )
)</f>
        <v>950.963986845394</v>
      </c>
      <c r="AI12" s="80" t="n">
        <f aca="false" t="array" ref="AI12:AI12">IF(COLUMN() - ($E12 + 5) &lt; 0, 0,
  IF(COLUMN() - ($E12 + 5) = 0, $F12,
    AH12 * (1 - IFERROR(INDEX('Inputs &amp; Assuptions'!$D$13:$D$72, COLUMN() - ($E12 + 5)), 0))
  )
)</f>
        <v>950.488504851972</v>
      </c>
      <c r="AJ12" s="80" t="n">
        <f aca="false" t="array" ref="AJ12:AJ12">IF(COLUMN() - ($E12 + 5) &lt; 0, 0,
  IF(COLUMN() - ($E12 + 5) = 0, $F12,
    AI12 * (1 - IFERROR(INDEX('Inputs &amp; Assuptions'!$D$13:$D$72, COLUMN() - ($E12 + 5)), 0))
  )
)</f>
        <v>950.013260599546</v>
      </c>
      <c r="AK12" s="80" t="n">
        <f aca="false" t="array" ref="AK12:AK12">IF(COLUMN() - ($E12 + 5) &lt; 0, 0,
  IF(COLUMN() - ($E12 + 5) = 0, $F12,
    AJ12 * (1 - IFERROR(INDEX('Inputs &amp; Assuptions'!$D$13:$D$72, COLUMN() - ($E12 + 5)), 0))
  )
)</f>
        <v>949.538253969246</v>
      </c>
      <c r="AL12" s="80" t="n">
        <f aca="false" t="array" ref="AL12:AL12">IF(COLUMN() - ($E12 + 5) &lt; 0, 0,
  IF(COLUMN() - ($E12 + 5) = 0, $F12,
    AK12 * (1 - IFERROR(INDEX('Inputs &amp; Assuptions'!$D$13:$D$72, COLUMN() - ($E12 + 5)), 0))
  )
)</f>
        <v>949.063484842261</v>
      </c>
      <c r="AM12" s="80" t="n">
        <f aca="false" t="array" ref="AM12:AM12">IF(COLUMN() - ($E12 + 5) &lt; 0, 0,
  IF(COLUMN() - ($E12 + 5) = 0, $F12,
    AL12 * (1 - IFERROR(INDEX('Inputs &amp; Assuptions'!$D$13:$D$72, COLUMN() - ($E12 + 5)), 0))
  )
)</f>
        <v>948.58895309984</v>
      </c>
      <c r="AN12" s="80" t="n">
        <f aca="false" t="array" ref="AN12:AN12">IF(COLUMN() - ($E12 + 5) &lt; 0, 0,
  IF(COLUMN() - ($E12 + 5) = 0, $F12,
    AM12 * (1 - IFERROR(INDEX('Inputs &amp; Assuptions'!$D$13:$D$72, COLUMN() - ($E12 + 5)), 0))
  )
)</f>
        <v>948.11465862329</v>
      </c>
      <c r="AO12" s="80" t="n">
        <f aca="false" t="array" ref="AO12:AO12">IF(COLUMN() - ($E12 + 5) &lt; 0, 0,
  IF(COLUMN() - ($E12 + 5) = 0, $F12,
    AN12 * (1 - IFERROR(INDEX('Inputs &amp; Assuptions'!$D$13:$D$72, COLUMN() - ($E12 + 5)), 0))
  )
)</f>
        <v>947.640601293979</v>
      </c>
      <c r="AP12" s="80" t="n">
        <f aca="false" t="array" ref="AP12:AP12">IF(COLUMN() - ($E12 + 5) &lt; 0, 0,
  IF(COLUMN() - ($E12 + 5) = 0, $F12,
    AO12 * (1 - IFERROR(INDEX('Inputs &amp; Assuptions'!$D$13:$D$72, COLUMN() - ($E12 + 5)), 0))
  )
)</f>
        <v>947.166780993332</v>
      </c>
      <c r="AQ12" s="80" t="n">
        <f aca="false" t="array" ref="AQ12:AQ12">IF(COLUMN() - ($E12 + 5) &lt; 0, 0,
  IF(COLUMN() - ($E12 + 5) = 0, $F12,
    AP12 * (1 - IFERROR(INDEX('Inputs &amp; Assuptions'!$D$13:$D$72, COLUMN() - ($E12 + 5)), 0))
  )
)</f>
        <v>946.693197602835</v>
      </c>
      <c r="AR12" s="80" t="n">
        <f aca="false" t="array" ref="AR12:AR12">IF(COLUMN() - ($E12 + 5) &lt; 0, 0,
  IF(COLUMN() - ($E12 + 5) = 0, $F12,
    AQ12 * (1 - IFERROR(INDEX('Inputs &amp; Assuptions'!$D$13:$D$72, COLUMN() - ($E12 + 5)), 0))
  )
)</f>
        <v>946.219851004034</v>
      </c>
      <c r="AS12" s="80" t="n">
        <f aca="false" t="array" ref="AS12:AS12">IF(COLUMN() - ($E12 + 5) &lt; 0, 0,
  IF(COLUMN() - ($E12 + 5) = 0, $F12,
    AR12 * (1 - IFERROR(INDEX('Inputs &amp; Assuptions'!$D$13:$D$72, COLUMN() - ($E12 + 5)), 0))
  )
)</f>
        <v>945.746741078532</v>
      </c>
      <c r="AT12" s="80" t="n">
        <f aca="false" t="array" ref="AT12:AT12">IF(COLUMN() - ($E12 + 5) &lt; 0, 0,
  IF(COLUMN() - ($E12 + 5) = 0, $F12,
    AS12 * (1 - IFERROR(INDEX('Inputs &amp; Assuptions'!$D$13:$D$72, COLUMN() - ($E12 + 5)), 0))
  )
)</f>
        <v>945.273867707993</v>
      </c>
      <c r="AU12" s="80" t="n">
        <f aca="false" t="array" ref="AU12:AU12">IF(COLUMN() - ($E12 + 5) &lt; 0, 0,
  IF(COLUMN() - ($E12 + 5) = 0, $F12,
    AT12 * (1 - IFERROR(INDEX('Inputs &amp; Assuptions'!$D$13:$D$72, COLUMN() - ($E12 + 5)), 0))
  )
)</f>
        <v>944.801230774139</v>
      </c>
      <c r="AV12" s="80" t="n">
        <f aca="false" t="array" ref="AV12:AV12">IF(COLUMN() - ($E12 + 5) &lt; 0, 0,
  IF(COLUMN() - ($E12 + 5) = 0, $F12,
    AU12 * (1 - IFERROR(INDEX('Inputs &amp; Assuptions'!$D$13:$D$72, COLUMN() - ($E12 + 5)), 0))
  )
)</f>
        <v>944.328830158752</v>
      </c>
      <c r="AW12" s="80" t="n">
        <f aca="false" t="array" ref="AW12:AW12">IF(COLUMN() - ($E12 + 5) &lt; 0, 0,
  IF(COLUMN() - ($E12 + 5) = 0, $F12,
    AV12 * (1 - IFERROR(INDEX('Inputs &amp; Assuptions'!$D$13:$D$72, COLUMN() - ($E12 + 5)), 0))
  )
)</f>
        <v>943.856665743672</v>
      </c>
      <c r="AX12" s="80" t="n">
        <f aca="false" t="array" ref="AX12:AX12">IF(COLUMN() - ($E12 + 5) &lt; 0, 0,
  IF(COLUMN() - ($E12 + 5) = 0, $F12,
    AW12 * (1 - IFERROR(INDEX('Inputs &amp; Assuptions'!$D$13:$D$72, COLUMN() - ($E12 + 5)), 0))
  )
)</f>
        <v>943.384737410801</v>
      </c>
      <c r="AY12" s="80" t="n">
        <f aca="false" t="array" ref="AY12:AY12">IF(COLUMN() - ($E12 + 5) &lt; 0, 0,
  IF(COLUMN() - ($E12 + 5) = 0, $F12,
    AX12 * (1 - IFERROR(INDEX('Inputs &amp; Assuptions'!$D$13:$D$72, COLUMN() - ($E12 + 5)), 0))
  )
)</f>
        <v>942.913045042095</v>
      </c>
      <c r="AZ12" s="80" t="n">
        <f aca="false" t="array" ref="AZ12:AZ12">IF(COLUMN() - ($E12 + 5) &lt; 0, 0,
  IF(COLUMN() - ($E12 + 5) = 0, $F12,
    AY12 * (1 - IFERROR(INDEX('Inputs &amp; Assuptions'!$D$13:$D$72, COLUMN() - ($E12 + 5)), 0))
  )
)</f>
        <v>942.441588519574</v>
      </c>
      <c r="BA12" s="80" t="n">
        <f aca="false" t="array" ref="BA12:BA12">IF(COLUMN() - ($E12 + 5) &lt; 0, 0,
  IF(COLUMN() - ($E12 + 5) = 0, $F12,
    AZ12 * (1 - IFERROR(INDEX('Inputs &amp; Assuptions'!$D$13:$D$72, COLUMN() - ($E12 + 5)), 0))
  )
)</f>
        <v>941.970367725315</v>
      </c>
      <c r="BB12" s="80" t="n">
        <f aca="false" t="array" ref="BB12:BB12">IF(COLUMN() - ($E12 + 5) &lt; 0, 0,
  IF(COLUMN() - ($E12 + 5) = 0, $F12,
    BA12 * (1 - IFERROR(INDEX('Inputs &amp; Assuptions'!$D$13:$D$72, COLUMN() - ($E12 + 5)), 0))
  )
)</f>
        <v>941.499382541452</v>
      </c>
      <c r="BC12" s="80" t="n">
        <f aca="false" t="array" ref="BC12:BC12">IF(COLUMN() - ($E12 + 5) &lt; 0, 0,
  IF(COLUMN() - ($E12 + 5) = 0, $F12,
    BB12 * (1 - IFERROR(INDEX('Inputs &amp; Assuptions'!$D$13:$D$72, COLUMN() - ($E12 + 5)), 0))
  )
)</f>
        <v>941.028632850181</v>
      </c>
      <c r="BD12" s="80" t="n">
        <f aca="false" t="array" ref="BD12:BD12">IF(COLUMN() - ($E12 + 5) &lt; 0, 0,
  IF(COLUMN() - ($E12 + 5) = 0, $F12,
    BC12 * (1 - IFERROR(INDEX('Inputs &amp; Assuptions'!$D$13:$D$72, COLUMN() - ($E12 + 5)), 0))
  )
)</f>
        <v>940.558118533756</v>
      </c>
      <c r="BE12" s="80" t="n">
        <f aca="false" t="array" ref="BE12:BE12">IF(COLUMN() - ($E12 + 5) &lt; 0, 0,
  IF(COLUMN() - ($E12 + 5) = 0, $F12,
    BD12 * (1 - IFERROR(INDEX('Inputs &amp; Assuptions'!$D$13:$D$72, COLUMN() - ($E12 + 5)), 0))
  )
)</f>
        <v>940.087839474489</v>
      </c>
      <c r="BF12" s="80" t="n">
        <f aca="false" t="array" ref="BF12:BF12">IF(COLUMN() - ($E12 + 5) &lt; 0, 0,
  IF(COLUMN() - ($E12 + 5) = 0, $F12,
    BE12 * (1 - IFERROR(INDEX('Inputs &amp; Assuptions'!$D$13:$D$72, COLUMN() - ($E12 + 5)), 0))
  )
)</f>
        <v>939.617795554752</v>
      </c>
      <c r="BG12" s="80" t="n">
        <f aca="false" t="array" ref="BG12:BG12">IF(COLUMN() - ($E12 + 5) &lt; 0, 0,
  IF(COLUMN() - ($E12 + 5) = 0, $F12,
    BF12 * (1 - IFERROR(INDEX('Inputs &amp; Assuptions'!$D$13:$D$72, COLUMN() - ($E12 + 5)), 0))
  )
)</f>
        <v>939.147986656975</v>
      </c>
      <c r="BH12" s="80" t="n">
        <f aca="false" t="array" ref="BH12:BH12">IF(COLUMN() - ($E12 + 5) &lt; 0, 0,
  IF(COLUMN() - ($E12 + 5) = 0, $F12,
    BG12 * (1 - IFERROR(INDEX('Inputs &amp; Assuptions'!$D$13:$D$72, COLUMN() - ($E12 + 5)), 0))
  )
)</f>
        <v>938.678412663646</v>
      </c>
      <c r="BI12" s="80" t="n">
        <f aca="false" t="array" ref="BI12:BI12">IF(COLUMN() - ($E12 + 5) &lt; 0, 0,
  IF(COLUMN() - ($E12 + 5) = 0, $F12,
    BH12 * (1 - IFERROR(INDEX('Inputs &amp; Assuptions'!$D$13:$D$72, COLUMN() - ($E12 + 5)), 0))
  )
)</f>
        <v>938.209073457315</v>
      </c>
      <c r="BJ12" s="80" t="n">
        <f aca="false" t="array" ref="BJ12:BJ12">IF(COLUMN() - ($E12 + 5) &lt; 0, 0,
  IF(COLUMN() - ($E12 + 5) = 0, $F12,
    BI12 * (1 - IFERROR(INDEX('Inputs &amp; Assuptions'!$D$13:$D$72, COLUMN() - ($E12 + 5)), 0))
  )
)</f>
        <v>937.739968920586</v>
      </c>
      <c r="BK12" s="80" t="n">
        <f aca="false" t="array" ref="BK12:BK12">IF(COLUMN() - ($E12 + 5) &lt; 0, 0,
  IF(COLUMN() - ($E12 + 5) = 0, $F12,
    BJ12 * (1 - IFERROR(INDEX('Inputs &amp; Assuptions'!$D$13:$D$72, COLUMN() - ($E12 + 5)), 0))
  )
)</f>
        <v>937.271098936126</v>
      </c>
      <c r="BL12" s="80" t="n">
        <f aca="false" t="array" ref="BL12:BL12">IF(COLUMN() - ($E12 + 5) &lt; 0, 0,
  IF(COLUMN() - ($E12 + 5) = 0, $F12,
    BK12 * (1 - IFERROR(INDEX('Inputs &amp; Assuptions'!$D$13:$D$72, COLUMN() - ($E12 + 5)), 0))
  )
)</f>
        <v>936.802463386658</v>
      </c>
      <c r="BM12" s="81" t="n">
        <f aca="false" t="array" ref="BM12:BM12">IF(COLUMN() - ($E12 + 5) &lt; 0, 0,
  IF(COLUMN() - ($E12 + 5) = 0, $F12,
    BL12 * (1 - IFERROR(INDEX('Inputs &amp; Assuptions'!$D$13:$D$72, COLUMN() - ($E12 + 5)), 0))
  )
)</f>
        <v>936.334062154964</v>
      </c>
      <c r="BN12" s="76"/>
    </row>
    <row r="13" customFormat="false" ht="14.25" hidden="false" customHeight="false" outlineLevel="0" collapsed="false">
      <c r="A13" s="29" t="n">
        <f aca="false">A12+1</f>
        <v>8</v>
      </c>
      <c r="B13" s="77" t="n">
        <f aca="false">IF(MOD($A13-1, 12) = 0, $B12 * 1.05, $B12)</f>
        <v>1000</v>
      </c>
      <c r="C13" s="93" t="n">
        <f aca="false">$B13*(1-'Inputs &amp; Assuptions'!$D$12)</f>
        <v>978</v>
      </c>
      <c r="E13" s="29" t="n">
        <f aca="false">E12+1</f>
        <v>8</v>
      </c>
      <c r="F13" s="79"/>
      <c r="G13" s="80"/>
      <c r="H13" s="80"/>
      <c r="I13" s="80"/>
      <c r="J13" s="80"/>
      <c r="K13" s="80"/>
      <c r="L13" s="80"/>
      <c r="M13" s="80" t="n">
        <f aca="false">$C13</f>
        <v>978</v>
      </c>
      <c r="N13" s="80" t="n">
        <f aca="false" t="array" ref="N13:N13">IF(COLUMN() - ($E13 + 5) &lt; 0, 0,
  IF(COLUMN() - ($E13 + 5) = 0, $F13,
    M13 * (1 - IFERROR(INDEX('Inputs &amp; Assuptions'!$D$13:$D$72, COLUMN() - ($E13 + 5)), 0))
  )
)</f>
        <v>973.11</v>
      </c>
      <c r="O13" s="80" t="n">
        <f aca="false" t="array" ref="O13:O13">IF(COLUMN() - ($E13 + 5) &lt; 0, 0,
  IF(COLUMN() - ($E13 + 5) = 0, $F13,
    N13 * (1 - IFERROR(INDEX('Inputs &amp; Assuptions'!$D$13:$D$72, COLUMN() - ($E13 + 5)), 0))
  )
)</f>
        <v>969.412182</v>
      </c>
      <c r="P13" s="80" t="n">
        <f aca="false" t="array" ref="P13:P13">IF(COLUMN() - ($E13 + 5) &lt; 0, 0,
  IF(COLUMN() - ($E13 + 5) = 0, $F13,
    O13 * (1 - IFERROR(INDEX('Inputs &amp; Assuptions'!$D$13:$D$72, COLUMN() - ($E13 + 5)), 0))
  )
)</f>
        <v>966.988651545</v>
      </c>
      <c r="Q13" s="80" t="n">
        <f aca="false" t="array" ref="Q13:Q13">IF(COLUMN() - ($E13 + 5) &lt; 0, 0,
  IF(COLUMN() - ($E13 + 5) = 0, $F13,
    P13 * (1 - IFERROR(INDEX('Inputs &amp; Assuptions'!$D$13:$D$72, COLUMN() - ($E13 + 5)), 0))
  )
)</f>
        <v>964.764577646447</v>
      </c>
      <c r="R13" s="80" t="n">
        <f aca="false" t="array" ref="R13:R13">IF(COLUMN() - ($E13 + 5) &lt; 0, 0,
  IF(COLUMN() - ($E13 + 5) = 0, $F13,
    Q13 * (1 - IFERROR(INDEX('Inputs &amp; Assuptions'!$D$13:$D$72, COLUMN() - ($E13 + 5)), 0))
  )
)</f>
        <v>962.835048491154</v>
      </c>
      <c r="S13" s="80" t="n">
        <f aca="false" t="array" ref="S13:S13">IF(COLUMN() - ($E13 + 5) &lt; 0, 0,
  IF(COLUMN() - ($E13 + 5) = 0, $F13,
    R13 * (1 - IFERROR(INDEX('Inputs &amp; Assuptions'!$D$13:$D$72, COLUMN() - ($E13 + 5)), 0))
  )
)</f>
        <v>961.10194540387</v>
      </c>
      <c r="T13" s="80" t="n">
        <f aca="false" t="array" ref="T13:T13">IF(COLUMN() - ($E13 + 5) &lt; 0, 0,
  IF(COLUMN() - ($E13 + 5) = 0, $F13,
    S13 * (1 - IFERROR(INDEX('Inputs &amp; Assuptions'!$D$13:$D$72, COLUMN() - ($E13 + 5)), 0))
  )
)</f>
        <v>959.660292485764</v>
      </c>
      <c r="U13" s="80" t="n">
        <f aca="false" t="array" ref="U13:U13">IF(COLUMN() - ($E13 + 5) &lt; 0, 0,
  IF(COLUMN() - ($E13 + 5) = 0, $F13,
    T13 * (1 - IFERROR(INDEX('Inputs &amp; Assuptions'!$D$13:$D$72, COLUMN() - ($E13 + 5)), 0))
  )
)</f>
        <v>958.412734105532</v>
      </c>
      <c r="V13" s="80" t="n">
        <f aca="false" t="array" ref="V13:V13">IF(COLUMN() - ($E13 + 5) &lt; 0, 0,
  IF(COLUMN() - ($E13 + 5) = 0, $F13,
    U13 * (1 - IFERROR(INDEX('Inputs &amp; Assuptions'!$D$13:$D$72, COLUMN() - ($E13 + 5)), 0))
  )
)</f>
        <v>957.454321371427</v>
      </c>
      <c r="W13" s="80" t="n">
        <f aca="false" t="array" ref="W13:W13">IF(COLUMN() - ($E13 + 5) &lt; 0, 0,
  IF(COLUMN() - ($E13 + 5) = 0, $F13,
    V13 * (1 - IFERROR(INDEX('Inputs &amp; Assuptions'!$D$13:$D$72, COLUMN() - ($E13 + 5)), 0))
  )
)</f>
        <v>956.68835791433</v>
      </c>
      <c r="X13" s="80" t="n">
        <f aca="false" t="array" ref="X13:X13">IF(COLUMN() - ($E13 + 5) &lt; 0, 0,
  IF(COLUMN() - ($E13 + 5) = 0, $F13,
    W13 * (1 - IFERROR(INDEX('Inputs &amp; Assuptions'!$D$13:$D$72, COLUMN() - ($E13 + 5)), 0))
  )
)</f>
        <v>956.210013735373</v>
      </c>
      <c r="Y13" s="80" t="n">
        <f aca="false" t="array" ref="Y13:Y13">IF(COLUMN() - ($E13 + 5) &lt; 0, 0,
  IF(COLUMN() - ($E13 + 5) = 0, $F13,
    X13 * (1 - IFERROR(INDEX('Inputs &amp; Assuptions'!$D$13:$D$72, COLUMN() - ($E13 + 5)), 0))
  )
)</f>
        <v>955.731908728505</v>
      </c>
      <c r="Z13" s="80" t="n">
        <f aca="false" t="array" ref="Z13:Z13">IF(COLUMN() - ($E13 + 5) &lt; 0, 0,
  IF(COLUMN() - ($E13 + 5) = 0, $F13,
    Y13 * (1 - IFERROR(INDEX('Inputs &amp; Assuptions'!$D$13:$D$72, COLUMN() - ($E13 + 5)), 0))
  )
)</f>
        <v>955.254042774141</v>
      </c>
      <c r="AA13" s="80" t="n">
        <f aca="false" t="array" ref="AA13:AA13">IF(COLUMN() - ($E13 + 5) &lt; 0, 0,
  IF(COLUMN() - ($E13 + 5) = 0, $F13,
    Z13 * (1 - IFERROR(INDEX('Inputs &amp; Assuptions'!$D$13:$D$72, COLUMN() - ($E13 + 5)), 0))
  )
)</f>
        <v>954.776415752754</v>
      </c>
      <c r="AB13" s="80" t="n">
        <f aca="false" t="array" ref="AB13:AB13">IF(COLUMN() - ($E13 + 5) &lt; 0, 0,
  IF(COLUMN() - ($E13 + 5) = 0, $F13,
    AA13 * (1 - IFERROR(INDEX('Inputs &amp; Assuptions'!$D$13:$D$72, COLUMN() - ($E13 + 5)), 0))
  )
)</f>
        <v>954.299027544877</v>
      </c>
      <c r="AC13" s="80" t="n">
        <f aca="false" t="array" ref="AC13:AC13">IF(COLUMN() - ($E13 + 5) &lt; 0, 0,
  IF(COLUMN() - ($E13 + 5) = 0, $F13,
    AB13 * (1 - IFERROR(INDEX('Inputs &amp; Assuptions'!$D$13:$D$72, COLUMN() - ($E13 + 5)), 0))
  )
)</f>
        <v>953.821878031105</v>
      </c>
      <c r="AD13" s="80" t="n">
        <f aca="false" t="array" ref="AD13:AD13">IF(COLUMN() - ($E13 + 5) &lt; 0, 0,
  IF(COLUMN() - ($E13 + 5) = 0, $F13,
    AC13 * (1 - IFERROR(INDEX('Inputs &amp; Assuptions'!$D$13:$D$72, COLUMN() - ($E13 + 5)), 0))
  )
)</f>
        <v>953.34496709209</v>
      </c>
      <c r="AE13" s="80" t="n">
        <f aca="false" t="array" ref="AE13:AE13">IF(COLUMN() - ($E13 + 5) &lt; 0, 0,
  IF(COLUMN() - ($E13 + 5) = 0, $F13,
    AD13 * (1 - IFERROR(INDEX('Inputs &amp; Assuptions'!$D$13:$D$72, COLUMN() - ($E13 + 5)), 0))
  )
)</f>
        <v>952.868294608544</v>
      </c>
      <c r="AF13" s="80" t="n">
        <f aca="false" t="array" ref="AF13:AF13">IF(COLUMN() - ($E13 + 5) &lt; 0, 0,
  IF(COLUMN() - ($E13 + 5) = 0, $F13,
    AE13 * (1 - IFERROR(INDEX('Inputs &amp; Assuptions'!$D$13:$D$72, COLUMN() - ($E13 + 5)), 0))
  )
)</f>
        <v>952.391860461239</v>
      </c>
      <c r="AG13" s="80" t="n">
        <f aca="false" t="array" ref="AG13:AG13">IF(COLUMN() - ($E13 + 5) &lt; 0, 0,
  IF(COLUMN() - ($E13 + 5) = 0, $F13,
    AF13 * (1 - IFERROR(INDEX('Inputs &amp; Assuptions'!$D$13:$D$72, COLUMN() - ($E13 + 5)), 0))
  )
)</f>
        <v>951.915664531009</v>
      </c>
      <c r="AH13" s="80" t="n">
        <f aca="false" t="array" ref="AH13:AH13">IF(COLUMN() - ($E13 + 5) &lt; 0, 0,
  IF(COLUMN() - ($E13 + 5) = 0, $F13,
    AG13 * (1 - IFERROR(INDEX('Inputs &amp; Assuptions'!$D$13:$D$72, COLUMN() - ($E13 + 5)), 0))
  )
)</f>
        <v>951.439706698743</v>
      </c>
      <c r="AI13" s="80" t="n">
        <f aca="false" t="array" ref="AI13:AI13">IF(COLUMN() - ($E13 + 5) &lt; 0, 0,
  IF(COLUMN() - ($E13 + 5) = 0, $F13,
    AH13 * (1 - IFERROR(INDEX('Inputs &amp; Assuptions'!$D$13:$D$72, COLUMN() - ($E13 + 5)), 0))
  )
)</f>
        <v>950.963986845394</v>
      </c>
      <c r="AJ13" s="80" t="n">
        <f aca="false" t="array" ref="AJ13:AJ13">IF(COLUMN() - ($E13 + 5) &lt; 0, 0,
  IF(COLUMN() - ($E13 + 5) = 0, $F13,
    AI13 * (1 - IFERROR(INDEX('Inputs &amp; Assuptions'!$D$13:$D$72, COLUMN() - ($E13 + 5)), 0))
  )
)</f>
        <v>950.488504851972</v>
      </c>
      <c r="AK13" s="80" t="n">
        <f aca="false" t="array" ref="AK13:AK13">IF(COLUMN() - ($E13 + 5) &lt; 0, 0,
  IF(COLUMN() - ($E13 + 5) = 0, $F13,
    AJ13 * (1 - IFERROR(INDEX('Inputs &amp; Assuptions'!$D$13:$D$72, COLUMN() - ($E13 + 5)), 0))
  )
)</f>
        <v>950.013260599546</v>
      </c>
      <c r="AL13" s="80" t="n">
        <f aca="false" t="array" ref="AL13:AL13">IF(COLUMN() - ($E13 + 5) &lt; 0, 0,
  IF(COLUMN() - ($E13 + 5) = 0, $F13,
    AK13 * (1 - IFERROR(INDEX('Inputs &amp; Assuptions'!$D$13:$D$72, COLUMN() - ($E13 + 5)), 0))
  )
)</f>
        <v>949.538253969246</v>
      </c>
      <c r="AM13" s="80" t="n">
        <f aca="false" t="array" ref="AM13:AM13">IF(COLUMN() - ($E13 + 5) &lt; 0, 0,
  IF(COLUMN() - ($E13 + 5) = 0, $F13,
    AL13 * (1 - IFERROR(INDEX('Inputs &amp; Assuptions'!$D$13:$D$72, COLUMN() - ($E13 + 5)), 0))
  )
)</f>
        <v>949.063484842261</v>
      </c>
      <c r="AN13" s="80" t="n">
        <f aca="false" t="array" ref="AN13:AN13">IF(COLUMN() - ($E13 + 5) &lt; 0, 0,
  IF(COLUMN() - ($E13 + 5) = 0, $F13,
    AM13 * (1 - IFERROR(INDEX('Inputs &amp; Assuptions'!$D$13:$D$72, COLUMN() - ($E13 + 5)), 0))
  )
)</f>
        <v>948.58895309984</v>
      </c>
      <c r="AO13" s="80" t="n">
        <f aca="false" t="array" ref="AO13:AO13">IF(COLUMN() - ($E13 + 5) &lt; 0, 0,
  IF(COLUMN() - ($E13 + 5) = 0, $F13,
    AN13 * (1 - IFERROR(INDEX('Inputs &amp; Assuptions'!$D$13:$D$72, COLUMN() - ($E13 + 5)), 0))
  )
)</f>
        <v>948.11465862329</v>
      </c>
      <c r="AP13" s="80" t="n">
        <f aca="false" t="array" ref="AP13:AP13">IF(COLUMN() - ($E13 + 5) &lt; 0, 0,
  IF(COLUMN() - ($E13 + 5) = 0, $F13,
    AO13 * (1 - IFERROR(INDEX('Inputs &amp; Assuptions'!$D$13:$D$72, COLUMN() - ($E13 + 5)), 0))
  )
)</f>
        <v>947.640601293979</v>
      </c>
      <c r="AQ13" s="80" t="n">
        <f aca="false" t="array" ref="AQ13:AQ13">IF(COLUMN() - ($E13 + 5) &lt; 0, 0,
  IF(COLUMN() - ($E13 + 5) = 0, $F13,
    AP13 * (1 - IFERROR(INDEX('Inputs &amp; Assuptions'!$D$13:$D$72, COLUMN() - ($E13 + 5)), 0))
  )
)</f>
        <v>947.166780993332</v>
      </c>
      <c r="AR13" s="80" t="n">
        <f aca="false" t="array" ref="AR13:AR13">IF(COLUMN() - ($E13 + 5) &lt; 0, 0,
  IF(COLUMN() - ($E13 + 5) = 0, $F13,
    AQ13 * (1 - IFERROR(INDEX('Inputs &amp; Assuptions'!$D$13:$D$72, COLUMN() - ($E13 + 5)), 0))
  )
)</f>
        <v>946.693197602835</v>
      </c>
      <c r="AS13" s="80" t="n">
        <f aca="false" t="array" ref="AS13:AS13">IF(COLUMN() - ($E13 + 5) &lt; 0, 0,
  IF(COLUMN() - ($E13 + 5) = 0, $F13,
    AR13 * (1 - IFERROR(INDEX('Inputs &amp; Assuptions'!$D$13:$D$72, COLUMN() - ($E13 + 5)), 0))
  )
)</f>
        <v>946.219851004034</v>
      </c>
      <c r="AT13" s="80" t="n">
        <f aca="false" t="array" ref="AT13:AT13">IF(COLUMN() - ($E13 + 5) &lt; 0, 0,
  IF(COLUMN() - ($E13 + 5) = 0, $F13,
    AS13 * (1 - IFERROR(INDEX('Inputs &amp; Assuptions'!$D$13:$D$72, COLUMN() - ($E13 + 5)), 0))
  )
)</f>
        <v>945.746741078532</v>
      </c>
      <c r="AU13" s="80" t="n">
        <f aca="false" t="array" ref="AU13:AU13">IF(COLUMN() - ($E13 + 5) &lt; 0, 0,
  IF(COLUMN() - ($E13 + 5) = 0, $F13,
    AT13 * (1 - IFERROR(INDEX('Inputs &amp; Assuptions'!$D$13:$D$72, COLUMN() - ($E13 + 5)), 0))
  )
)</f>
        <v>945.273867707993</v>
      </c>
      <c r="AV13" s="80" t="n">
        <f aca="false" t="array" ref="AV13:AV13">IF(COLUMN() - ($E13 + 5) &lt; 0, 0,
  IF(COLUMN() - ($E13 + 5) = 0, $F13,
    AU13 * (1 - IFERROR(INDEX('Inputs &amp; Assuptions'!$D$13:$D$72, COLUMN() - ($E13 + 5)), 0))
  )
)</f>
        <v>944.801230774139</v>
      </c>
      <c r="AW13" s="80" t="n">
        <f aca="false" t="array" ref="AW13:AW13">IF(COLUMN() - ($E13 + 5) &lt; 0, 0,
  IF(COLUMN() - ($E13 + 5) = 0, $F13,
    AV13 * (1 - IFERROR(INDEX('Inputs &amp; Assuptions'!$D$13:$D$72, COLUMN() - ($E13 + 5)), 0))
  )
)</f>
        <v>944.328830158752</v>
      </c>
      <c r="AX13" s="80" t="n">
        <f aca="false" t="array" ref="AX13:AX13">IF(COLUMN() - ($E13 + 5) &lt; 0, 0,
  IF(COLUMN() - ($E13 + 5) = 0, $F13,
    AW13 * (1 - IFERROR(INDEX('Inputs &amp; Assuptions'!$D$13:$D$72, COLUMN() - ($E13 + 5)), 0))
  )
)</f>
        <v>943.856665743672</v>
      </c>
      <c r="AY13" s="80" t="n">
        <f aca="false" t="array" ref="AY13:AY13">IF(COLUMN() - ($E13 + 5) &lt; 0, 0,
  IF(COLUMN() - ($E13 + 5) = 0, $F13,
    AX13 * (1 - IFERROR(INDEX('Inputs &amp; Assuptions'!$D$13:$D$72, COLUMN() - ($E13 + 5)), 0))
  )
)</f>
        <v>943.384737410801</v>
      </c>
      <c r="AZ13" s="80" t="n">
        <f aca="false" t="array" ref="AZ13:AZ13">IF(COLUMN() - ($E13 + 5) &lt; 0, 0,
  IF(COLUMN() - ($E13 + 5) = 0, $F13,
    AY13 * (1 - IFERROR(INDEX('Inputs &amp; Assuptions'!$D$13:$D$72, COLUMN() - ($E13 + 5)), 0))
  )
)</f>
        <v>942.913045042095</v>
      </c>
      <c r="BA13" s="80" t="n">
        <f aca="false" t="array" ref="BA13:BA13">IF(COLUMN() - ($E13 + 5) &lt; 0, 0,
  IF(COLUMN() - ($E13 + 5) = 0, $F13,
    AZ13 * (1 - IFERROR(INDEX('Inputs &amp; Assuptions'!$D$13:$D$72, COLUMN() - ($E13 + 5)), 0))
  )
)</f>
        <v>942.441588519574</v>
      </c>
      <c r="BB13" s="80" t="n">
        <f aca="false" t="array" ref="BB13:BB13">IF(COLUMN() - ($E13 + 5) &lt; 0, 0,
  IF(COLUMN() - ($E13 + 5) = 0, $F13,
    BA13 * (1 - IFERROR(INDEX('Inputs &amp; Assuptions'!$D$13:$D$72, COLUMN() - ($E13 + 5)), 0))
  )
)</f>
        <v>941.970367725315</v>
      </c>
      <c r="BC13" s="80" t="n">
        <f aca="false" t="array" ref="BC13:BC13">IF(COLUMN() - ($E13 + 5) &lt; 0, 0,
  IF(COLUMN() - ($E13 + 5) = 0, $F13,
    BB13 * (1 - IFERROR(INDEX('Inputs &amp; Assuptions'!$D$13:$D$72, COLUMN() - ($E13 + 5)), 0))
  )
)</f>
        <v>941.499382541452</v>
      </c>
      <c r="BD13" s="80" t="n">
        <f aca="false" t="array" ref="BD13:BD13">IF(COLUMN() - ($E13 + 5) &lt; 0, 0,
  IF(COLUMN() - ($E13 + 5) = 0, $F13,
    BC13 * (1 - IFERROR(INDEX('Inputs &amp; Assuptions'!$D$13:$D$72, COLUMN() - ($E13 + 5)), 0))
  )
)</f>
        <v>941.028632850181</v>
      </c>
      <c r="BE13" s="80" t="n">
        <f aca="false" t="array" ref="BE13:BE13">IF(COLUMN() - ($E13 + 5) &lt; 0, 0,
  IF(COLUMN() - ($E13 + 5) = 0, $F13,
    BD13 * (1 - IFERROR(INDEX('Inputs &amp; Assuptions'!$D$13:$D$72, COLUMN() - ($E13 + 5)), 0))
  )
)</f>
        <v>940.558118533756</v>
      </c>
      <c r="BF13" s="80" t="n">
        <f aca="false" t="array" ref="BF13:BF13">IF(COLUMN() - ($E13 + 5) &lt; 0, 0,
  IF(COLUMN() - ($E13 + 5) = 0, $F13,
    BE13 * (1 - IFERROR(INDEX('Inputs &amp; Assuptions'!$D$13:$D$72, COLUMN() - ($E13 + 5)), 0))
  )
)</f>
        <v>940.087839474489</v>
      </c>
      <c r="BG13" s="80" t="n">
        <f aca="false" t="array" ref="BG13:BG13">IF(COLUMN() - ($E13 + 5) &lt; 0, 0,
  IF(COLUMN() - ($E13 + 5) = 0, $F13,
    BF13 * (1 - IFERROR(INDEX('Inputs &amp; Assuptions'!$D$13:$D$72, COLUMN() - ($E13 + 5)), 0))
  )
)</f>
        <v>939.617795554752</v>
      </c>
      <c r="BH13" s="80" t="n">
        <f aca="false" t="array" ref="BH13:BH13">IF(COLUMN() - ($E13 + 5) &lt; 0, 0,
  IF(COLUMN() - ($E13 + 5) = 0, $F13,
    BG13 * (1 - IFERROR(INDEX('Inputs &amp; Assuptions'!$D$13:$D$72, COLUMN() - ($E13 + 5)), 0))
  )
)</f>
        <v>939.147986656975</v>
      </c>
      <c r="BI13" s="80" t="n">
        <f aca="false" t="array" ref="BI13:BI13">IF(COLUMN() - ($E13 + 5) &lt; 0, 0,
  IF(COLUMN() - ($E13 + 5) = 0, $F13,
    BH13 * (1 - IFERROR(INDEX('Inputs &amp; Assuptions'!$D$13:$D$72, COLUMN() - ($E13 + 5)), 0))
  )
)</f>
        <v>938.678412663646</v>
      </c>
      <c r="BJ13" s="80" t="n">
        <f aca="false" t="array" ref="BJ13:BJ13">IF(COLUMN() - ($E13 + 5) &lt; 0, 0,
  IF(COLUMN() - ($E13 + 5) = 0, $F13,
    BI13 * (1 - IFERROR(INDEX('Inputs &amp; Assuptions'!$D$13:$D$72, COLUMN() - ($E13 + 5)), 0))
  )
)</f>
        <v>938.209073457315</v>
      </c>
      <c r="BK13" s="80" t="n">
        <f aca="false" t="array" ref="BK13:BK13">IF(COLUMN() - ($E13 + 5) &lt; 0, 0,
  IF(COLUMN() - ($E13 + 5) = 0, $F13,
    BJ13 * (1 - IFERROR(INDEX('Inputs &amp; Assuptions'!$D$13:$D$72, COLUMN() - ($E13 + 5)), 0))
  )
)</f>
        <v>937.739968920586</v>
      </c>
      <c r="BL13" s="80" t="n">
        <f aca="false" t="array" ref="BL13:BL13">IF(COLUMN() - ($E13 + 5) &lt; 0, 0,
  IF(COLUMN() - ($E13 + 5) = 0, $F13,
    BK13 * (1 - IFERROR(INDEX('Inputs &amp; Assuptions'!$D$13:$D$72, COLUMN() - ($E13 + 5)), 0))
  )
)</f>
        <v>937.271098936126</v>
      </c>
      <c r="BM13" s="81" t="n">
        <f aca="false" t="array" ref="BM13:BM13">IF(COLUMN() - ($E13 + 5) &lt; 0, 0,
  IF(COLUMN() - ($E13 + 5) = 0, $F13,
    BL13 * (1 - IFERROR(INDEX('Inputs &amp; Assuptions'!$D$13:$D$72, COLUMN() - ($E13 + 5)), 0))
  )
)</f>
        <v>936.802463386658</v>
      </c>
      <c r="BN13" s="76"/>
    </row>
    <row r="14" customFormat="false" ht="14.25" hidden="false" customHeight="false" outlineLevel="0" collapsed="false">
      <c r="A14" s="29" t="n">
        <f aca="false">A13+1</f>
        <v>9</v>
      </c>
      <c r="B14" s="77" t="n">
        <f aca="false">IF(MOD($A14-1, 12) = 0, $B13 * 1.05, $B13)</f>
        <v>1000</v>
      </c>
      <c r="C14" s="93" t="n">
        <f aca="false">$B14*(1-'Inputs &amp; Assuptions'!$D$12)</f>
        <v>978</v>
      </c>
      <c r="E14" s="29" t="n">
        <f aca="false">E13+1</f>
        <v>9</v>
      </c>
      <c r="F14" s="79"/>
      <c r="G14" s="80"/>
      <c r="H14" s="80"/>
      <c r="I14" s="80"/>
      <c r="J14" s="80"/>
      <c r="K14" s="80"/>
      <c r="L14" s="80"/>
      <c r="M14" s="80"/>
      <c r="N14" s="80" t="n">
        <f aca="false">$C14</f>
        <v>978</v>
      </c>
      <c r="O14" s="80" t="n">
        <f aca="false" t="array" ref="O14:O14">IF(COLUMN() - ($E14 + 5) &lt; 0, 0,
  IF(COLUMN() - ($E14 + 5) = 0, $F14,
    N14 * (1 - IFERROR(INDEX('Inputs &amp; Assuptions'!$D$13:$D$72, COLUMN() - ($E14 + 5)), 0))
  )
)</f>
        <v>973.11</v>
      </c>
      <c r="P14" s="80" t="n">
        <f aca="false" t="array" ref="P14:P14">IF(COLUMN() - ($E14 + 5) &lt; 0, 0,
  IF(COLUMN() - ($E14 + 5) = 0, $F14,
    O14 * (1 - IFERROR(INDEX('Inputs &amp; Assuptions'!$D$13:$D$72, COLUMN() - ($E14 + 5)), 0))
  )
)</f>
        <v>969.412182</v>
      </c>
      <c r="Q14" s="80" t="n">
        <f aca="false" t="array" ref="Q14:Q14">IF(COLUMN() - ($E14 + 5) &lt; 0, 0,
  IF(COLUMN() - ($E14 + 5) = 0, $F14,
    P14 * (1 - IFERROR(INDEX('Inputs &amp; Assuptions'!$D$13:$D$72, COLUMN() - ($E14 + 5)), 0))
  )
)</f>
        <v>966.988651545</v>
      </c>
      <c r="R14" s="80" t="n">
        <f aca="false" t="array" ref="R14:R14">IF(COLUMN() - ($E14 + 5) &lt; 0, 0,
  IF(COLUMN() - ($E14 + 5) = 0, $F14,
    Q14 * (1 - IFERROR(INDEX('Inputs &amp; Assuptions'!$D$13:$D$72, COLUMN() - ($E14 + 5)), 0))
  )
)</f>
        <v>964.764577646447</v>
      </c>
      <c r="S14" s="80" t="n">
        <f aca="false" t="array" ref="S14:S14">IF(COLUMN() - ($E14 + 5) &lt; 0, 0,
  IF(COLUMN() - ($E14 + 5) = 0, $F14,
    R14 * (1 - IFERROR(INDEX('Inputs &amp; Assuptions'!$D$13:$D$72, COLUMN() - ($E14 + 5)), 0))
  )
)</f>
        <v>962.835048491154</v>
      </c>
      <c r="T14" s="80" t="n">
        <f aca="false" t="array" ref="T14:T14">IF(COLUMN() - ($E14 + 5) &lt; 0, 0,
  IF(COLUMN() - ($E14 + 5) = 0, $F14,
    S14 * (1 - IFERROR(INDEX('Inputs &amp; Assuptions'!$D$13:$D$72, COLUMN() - ($E14 + 5)), 0))
  )
)</f>
        <v>961.10194540387</v>
      </c>
      <c r="U14" s="80" t="n">
        <f aca="false" t="array" ref="U14:U14">IF(COLUMN() - ($E14 + 5) &lt; 0, 0,
  IF(COLUMN() - ($E14 + 5) = 0, $F14,
    T14 * (1 - IFERROR(INDEX('Inputs &amp; Assuptions'!$D$13:$D$72, COLUMN() - ($E14 + 5)), 0))
  )
)</f>
        <v>959.660292485764</v>
      </c>
      <c r="V14" s="80" t="n">
        <f aca="false" t="array" ref="V14:V14">IF(COLUMN() - ($E14 + 5) &lt; 0, 0,
  IF(COLUMN() - ($E14 + 5) = 0, $F14,
    U14 * (1 - IFERROR(INDEX('Inputs &amp; Assuptions'!$D$13:$D$72, COLUMN() - ($E14 + 5)), 0))
  )
)</f>
        <v>958.412734105532</v>
      </c>
      <c r="W14" s="80" t="n">
        <f aca="false" t="array" ref="W14:W14">IF(COLUMN() - ($E14 + 5) &lt; 0, 0,
  IF(COLUMN() - ($E14 + 5) = 0, $F14,
    V14 * (1 - IFERROR(INDEX('Inputs &amp; Assuptions'!$D$13:$D$72, COLUMN() - ($E14 + 5)), 0))
  )
)</f>
        <v>957.454321371427</v>
      </c>
      <c r="X14" s="80" t="n">
        <f aca="false" t="array" ref="X14:X14">IF(COLUMN() - ($E14 + 5) &lt; 0, 0,
  IF(COLUMN() - ($E14 + 5) = 0, $F14,
    W14 * (1 - IFERROR(INDEX('Inputs &amp; Assuptions'!$D$13:$D$72, COLUMN() - ($E14 + 5)), 0))
  )
)</f>
        <v>956.68835791433</v>
      </c>
      <c r="Y14" s="80" t="n">
        <f aca="false" t="array" ref="Y14:Y14">IF(COLUMN() - ($E14 + 5) &lt; 0, 0,
  IF(COLUMN() - ($E14 + 5) = 0, $F14,
    X14 * (1 - IFERROR(INDEX('Inputs &amp; Assuptions'!$D$13:$D$72, COLUMN() - ($E14 + 5)), 0))
  )
)</f>
        <v>956.210013735373</v>
      </c>
      <c r="Z14" s="80" t="n">
        <f aca="false" t="array" ref="Z14:Z14">IF(COLUMN() - ($E14 + 5) &lt; 0, 0,
  IF(COLUMN() - ($E14 + 5) = 0, $F14,
    Y14 * (1 - IFERROR(INDEX('Inputs &amp; Assuptions'!$D$13:$D$72, COLUMN() - ($E14 + 5)), 0))
  )
)</f>
        <v>955.731908728505</v>
      </c>
      <c r="AA14" s="80" t="n">
        <f aca="false" t="array" ref="AA14:AA14">IF(COLUMN() - ($E14 + 5) &lt; 0, 0,
  IF(COLUMN() - ($E14 + 5) = 0, $F14,
    Z14 * (1 - IFERROR(INDEX('Inputs &amp; Assuptions'!$D$13:$D$72, COLUMN() - ($E14 + 5)), 0))
  )
)</f>
        <v>955.254042774141</v>
      </c>
      <c r="AB14" s="80" t="n">
        <f aca="false" t="array" ref="AB14:AB14">IF(COLUMN() - ($E14 + 5) &lt; 0, 0,
  IF(COLUMN() - ($E14 + 5) = 0, $F14,
    AA14 * (1 - IFERROR(INDEX('Inputs &amp; Assuptions'!$D$13:$D$72, COLUMN() - ($E14 + 5)), 0))
  )
)</f>
        <v>954.776415752754</v>
      </c>
      <c r="AC14" s="80" t="n">
        <f aca="false" t="array" ref="AC14:AC14">IF(COLUMN() - ($E14 + 5) &lt; 0, 0,
  IF(COLUMN() - ($E14 + 5) = 0, $F14,
    AB14 * (1 - IFERROR(INDEX('Inputs &amp; Assuptions'!$D$13:$D$72, COLUMN() - ($E14 + 5)), 0))
  )
)</f>
        <v>954.299027544877</v>
      </c>
      <c r="AD14" s="80" t="n">
        <f aca="false" t="array" ref="AD14:AD14">IF(COLUMN() - ($E14 + 5) &lt; 0, 0,
  IF(COLUMN() - ($E14 + 5) = 0, $F14,
    AC14 * (1 - IFERROR(INDEX('Inputs &amp; Assuptions'!$D$13:$D$72, COLUMN() - ($E14 + 5)), 0))
  )
)</f>
        <v>953.821878031105</v>
      </c>
      <c r="AE14" s="80" t="n">
        <f aca="false" t="array" ref="AE14:AE14">IF(COLUMN() - ($E14 + 5) &lt; 0, 0,
  IF(COLUMN() - ($E14 + 5) = 0, $F14,
    AD14 * (1 - IFERROR(INDEX('Inputs &amp; Assuptions'!$D$13:$D$72, COLUMN() - ($E14 + 5)), 0))
  )
)</f>
        <v>953.34496709209</v>
      </c>
      <c r="AF14" s="80" t="n">
        <f aca="false" t="array" ref="AF14:AF14">IF(COLUMN() - ($E14 + 5) &lt; 0, 0,
  IF(COLUMN() - ($E14 + 5) = 0, $F14,
    AE14 * (1 - IFERROR(INDEX('Inputs &amp; Assuptions'!$D$13:$D$72, COLUMN() - ($E14 + 5)), 0))
  )
)</f>
        <v>952.868294608544</v>
      </c>
      <c r="AG14" s="80" t="n">
        <f aca="false" t="array" ref="AG14:AG14">IF(COLUMN() - ($E14 + 5) &lt; 0, 0,
  IF(COLUMN() - ($E14 + 5) = 0, $F14,
    AF14 * (1 - IFERROR(INDEX('Inputs &amp; Assuptions'!$D$13:$D$72, COLUMN() - ($E14 + 5)), 0))
  )
)</f>
        <v>952.391860461239</v>
      </c>
      <c r="AH14" s="80" t="n">
        <f aca="false" t="array" ref="AH14:AH14">IF(COLUMN() - ($E14 + 5) &lt; 0, 0,
  IF(COLUMN() - ($E14 + 5) = 0, $F14,
    AG14 * (1 - IFERROR(INDEX('Inputs &amp; Assuptions'!$D$13:$D$72, COLUMN() - ($E14 + 5)), 0))
  )
)</f>
        <v>951.915664531009</v>
      </c>
      <c r="AI14" s="80" t="n">
        <f aca="false" t="array" ref="AI14:AI14">IF(COLUMN() - ($E14 + 5) &lt; 0, 0,
  IF(COLUMN() - ($E14 + 5) = 0, $F14,
    AH14 * (1 - IFERROR(INDEX('Inputs &amp; Assuptions'!$D$13:$D$72, COLUMN() - ($E14 + 5)), 0))
  )
)</f>
        <v>951.439706698743</v>
      </c>
      <c r="AJ14" s="80" t="n">
        <f aca="false" t="array" ref="AJ14:AJ14">IF(COLUMN() - ($E14 + 5) &lt; 0, 0,
  IF(COLUMN() - ($E14 + 5) = 0, $F14,
    AI14 * (1 - IFERROR(INDEX('Inputs &amp; Assuptions'!$D$13:$D$72, COLUMN() - ($E14 + 5)), 0))
  )
)</f>
        <v>950.963986845394</v>
      </c>
      <c r="AK14" s="80" t="n">
        <f aca="false" t="array" ref="AK14:AK14">IF(COLUMN() - ($E14 + 5) &lt; 0, 0,
  IF(COLUMN() - ($E14 + 5) = 0, $F14,
    AJ14 * (1 - IFERROR(INDEX('Inputs &amp; Assuptions'!$D$13:$D$72, COLUMN() - ($E14 + 5)), 0))
  )
)</f>
        <v>950.488504851972</v>
      </c>
      <c r="AL14" s="80" t="n">
        <f aca="false" t="array" ref="AL14:AL14">IF(COLUMN() - ($E14 + 5) &lt; 0, 0,
  IF(COLUMN() - ($E14 + 5) = 0, $F14,
    AK14 * (1 - IFERROR(INDEX('Inputs &amp; Assuptions'!$D$13:$D$72, COLUMN() - ($E14 + 5)), 0))
  )
)</f>
        <v>950.013260599546</v>
      </c>
      <c r="AM14" s="80" t="n">
        <f aca="false" t="array" ref="AM14:AM14">IF(COLUMN() - ($E14 + 5) &lt; 0, 0,
  IF(COLUMN() - ($E14 + 5) = 0, $F14,
    AL14 * (1 - IFERROR(INDEX('Inputs &amp; Assuptions'!$D$13:$D$72, COLUMN() - ($E14 + 5)), 0))
  )
)</f>
        <v>949.538253969246</v>
      </c>
      <c r="AN14" s="80" t="n">
        <f aca="false" t="array" ref="AN14:AN14">IF(COLUMN() - ($E14 + 5) &lt; 0, 0,
  IF(COLUMN() - ($E14 + 5) = 0, $F14,
    AM14 * (1 - IFERROR(INDEX('Inputs &amp; Assuptions'!$D$13:$D$72, COLUMN() - ($E14 + 5)), 0))
  )
)</f>
        <v>949.063484842261</v>
      </c>
      <c r="AO14" s="80" t="n">
        <f aca="false" t="array" ref="AO14:AO14">IF(COLUMN() - ($E14 + 5) &lt; 0, 0,
  IF(COLUMN() - ($E14 + 5) = 0, $F14,
    AN14 * (1 - IFERROR(INDEX('Inputs &amp; Assuptions'!$D$13:$D$72, COLUMN() - ($E14 + 5)), 0))
  )
)</f>
        <v>948.58895309984</v>
      </c>
      <c r="AP14" s="80" t="n">
        <f aca="false" t="array" ref="AP14:AP14">IF(COLUMN() - ($E14 + 5) &lt; 0, 0,
  IF(COLUMN() - ($E14 + 5) = 0, $F14,
    AO14 * (1 - IFERROR(INDEX('Inputs &amp; Assuptions'!$D$13:$D$72, COLUMN() - ($E14 + 5)), 0))
  )
)</f>
        <v>948.11465862329</v>
      </c>
      <c r="AQ14" s="80" t="n">
        <f aca="false" t="array" ref="AQ14:AQ14">IF(COLUMN() - ($E14 + 5) &lt; 0, 0,
  IF(COLUMN() - ($E14 + 5) = 0, $F14,
    AP14 * (1 - IFERROR(INDEX('Inputs &amp; Assuptions'!$D$13:$D$72, COLUMN() - ($E14 + 5)), 0))
  )
)</f>
        <v>947.640601293979</v>
      </c>
      <c r="AR14" s="80" t="n">
        <f aca="false" t="array" ref="AR14:AR14">IF(COLUMN() - ($E14 + 5) &lt; 0, 0,
  IF(COLUMN() - ($E14 + 5) = 0, $F14,
    AQ14 * (1 - IFERROR(INDEX('Inputs &amp; Assuptions'!$D$13:$D$72, COLUMN() - ($E14 + 5)), 0))
  )
)</f>
        <v>947.166780993332</v>
      </c>
      <c r="AS14" s="80" t="n">
        <f aca="false" t="array" ref="AS14:AS14">IF(COLUMN() - ($E14 + 5) &lt; 0, 0,
  IF(COLUMN() - ($E14 + 5) = 0, $F14,
    AR14 * (1 - IFERROR(INDEX('Inputs &amp; Assuptions'!$D$13:$D$72, COLUMN() - ($E14 + 5)), 0))
  )
)</f>
        <v>946.693197602835</v>
      </c>
      <c r="AT14" s="80" t="n">
        <f aca="false" t="array" ref="AT14:AT14">IF(COLUMN() - ($E14 + 5) &lt; 0, 0,
  IF(COLUMN() - ($E14 + 5) = 0, $F14,
    AS14 * (1 - IFERROR(INDEX('Inputs &amp; Assuptions'!$D$13:$D$72, COLUMN() - ($E14 + 5)), 0))
  )
)</f>
        <v>946.219851004034</v>
      </c>
      <c r="AU14" s="80" t="n">
        <f aca="false" t="array" ref="AU14:AU14">IF(COLUMN() - ($E14 + 5) &lt; 0, 0,
  IF(COLUMN() - ($E14 + 5) = 0, $F14,
    AT14 * (1 - IFERROR(INDEX('Inputs &amp; Assuptions'!$D$13:$D$72, COLUMN() - ($E14 + 5)), 0))
  )
)</f>
        <v>945.746741078532</v>
      </c>
      <c r="AV14" s="80" t="n">
        <f aca="false" t="array" ref="AV14:AV14">IF(COLUMN() - ($E14 + 5) &lt; 0, 0,
  IF(COLUMN() - ($E14 + 5) = 0, $F14,
    AU14 * (1 - IFERROR(INDEX('Inputs &amp; Assuptions'!$D$13:$D$72, COLUMN() - ($E14 + 5)), 0))
  )
)</f>
        <v>945.273867707993</v>
      </c>
      <c r="AW14" s="80" t="n">
        <f aca="false" t="array" ref="AW14:AW14">IF(COLUMN() - ($E14 + 5) &lt; 0, 0,
  IF(COLUMN() - ($E14 + 5) = 0, $F14,
    AV14 * (1 - IFERROR(INDEX('Inputs &amp; Assuptions'!$D$13:$D$72, COLUMN() - ($E14 + 5)), 0))
  )
)</f>
        <v>944.801230774139</v>
      </c>
      <c r="AX14" s="80" t="n">
        <f aca="false" t="array" ref="AX14:AX14">IF(COLUMN() - ($E14 + 5) &lt; 0, 0,
  IF(COLUMN() - ($E14 + 5) = 0, $F14,
    AW14 * (1 - IFERROR(INDEX('Inputs &amp; Assuptions'!$D$13:$D$72, COLUMN() - ($E14 + 5)), 0))
  )
)</f>
        <v>944.328830158752</v>
      </c>
      <c r="AY14" s="80" t="n">
        <f aca="false" t="array" ref="AY14:AY14">IF(COLUMN() - ($E14 + 5) &lt; 0, 0,
  IF(COLUMN() - ($E14 + 5) = 0, $F14,
    AX14 * (1 - IFERROR(INDEX('Inputs &amp; Assuptions'!$D$13:$D$72, COLUMN() - ($E14 + 5)), 0))
  )
)</f>
        <v>943.856665743672</v>
      </c>
      <c r="AZ14" s="80" t="n">
        <f aca="false" t="array" ref="AZ14:AZ14">IF(COLUMN() - ($E14 + 5) &lt; 0, 0,
  IF(COLUMN() - ($E14 + 5) = 0, $F14,
    AY14 * (1 - IFERROR(INDEX('Inputs &amp; Assuptions'!$D$13:$D$72, COLUMN() - ($E14 + 5)), 0))
  )
)</f>
        <v>943.384737410801</v>
      </c>
      <c r="BA14" s="80" t="n">
        <f aca="false" t="array" ref="BA14:BA14">IF(COLUMN() - ($E14 + 5) &lt; 0, 0,
  IF(COLUMN() - ($E14 + 5) = 0, $F14,
    AZ14 * (1 - IFERROR(INDEX('Inputs &amp; Assuptions'!$D$13:$D$72, COLUMN() - ($E14 + 5)), 0))
  )
)</f>
        <v>942.913045042095</v>
      </c>
      <c r="BB14" s="80" t="n">
        <f aca="false" t="array" ref="BB14:BB14">IF(COLUMN() - ($E14 + 5) &lt; 0, 0,
  IF(COLUMN() - ($E14 + 5) = 0, $F14,
    BA14 * (1 - IFERROR(INDEX('Inputs &amp; Assuptions'!$D$13:$D$72, COLUMN() - ($E14 + 5)), 0))
  )
)</f>
        <v>942.441588519574</v>
      </c>
      <c r="BC14" s="80" t="n">
        <f aca="false" t="array" ref="BC14:BC14">IF(COLUMN() - ($E14 + 5) &lt; 0, 0,
  IF(COLUMN() - ($E14 + 5) = 0, $F14,
    BB14 * (1 - IFERROR(INDEX('Inputs &amp; Assuptions'!$D$13:$D$72, COLUMN() - ($E14 + 5)), 0))
  )
)</f>
        <v>941.970367725315</v>
      </c>
      <c r="BD14" s="80" t="n">
        <f aca="false" t="array" ref="BD14:BD14">IF(COLUMN() - ($E14 + 5) &lt; 0, 0,
  IF(COLUMN() - ($E14 + 5) = 0, $F14,
    BC14 * (1 - IFERROR(INDEX('Inputs &amp; Assuptions'!$D$13:$D$72, COLUMN() - ($E14 + 5)), 0))
  )
)</f>
        <v>941.499382541452</v>
      </c>
      <c r="BE14" s="80" t="n">
        <f aca="false" t="array" ref="BE14:BE14">IF(COLUMN() - ($E14 + 5) &lt; 0, 0,
  IF(COLUMN() - ($E14 + 5) = 0, $F14,
    BD14 * (1 - IFERROR(INDEX('Inputs &amp; Assuptions'!$D$13:$D$72, COLUMN() - ($E14 + 5)), 0))
  )
)</f>
        <v>941.028632850181</v>
      </c>
      <c r="BF14" s="80" t="n">
        <f aca="false" t="array" ref="BF14:BF14">IF(COLUMN() - ($E14 + 5) &lt; 0, 0,
  IF(COLUMN() - ($E14 + 5) = 0, $F14,
    BE14 * (1 - IFERROR(INDEX('Inputs &amp; Assuptions'!$D$13:$D$72, COLUMN() - ($E14 + 5)), 0))
  )
)</f>
        <v>940.558118533756</v>
      </c>
      <c r="BG14" s="80" t="n">
        <f aca="false" t="array" ref="BG14:BG14">IF(COLUMN() - ($E14 + 5) &lt; 0, 0,
  IF(COLUMN() - ($E14 + 5) = 0, $F14,
    BF14 * (1 - IFERROR(INDEX('Inputs &amp; Assuptions'!$D$13:$D$72, COLUMN() - ($E14 + 5)), 0))
  )
)</f>
        <v>940.087839474489</v>
      </c>
      <c r="BH14" s="80" t="n">
        <f aca="false" t="array" ref="BH14:BH14">IF(COLUMN() - ($E14 + 5) &lt; 0, 0,
  IF(COLUMN() - ($E14 + 5) = 0, $F14,
    BG14 * (1 - IFERROR(INDEX('Inputs &amp; Assuptions'!$D$13:$D$72, COLUMN() - ($E14 + 5)), 0))
  )
)</f>
        <v>939.617795554752</v>
      </c>
      <c r="BI14" s="80" t="n">
        <f aca="false" t="array" ref="BI14:BI14">IF(COLUMN() - ($E14 + 5) &lt; 0, 0,
  IF(COLUMN() - ($E14 + 5) = 0, $F14,
    BH14 * (1 - IFERROR(INDEX('Inputs &amp; Assuptions'!$D$13:$D$72, COLUMN() - ($E14 + 5)), 0))
  )
)</f>
        <v>939.147986656975</v>
      </c>
      <c r="BJ14" s="80" t="n">
        <f aca="false" t="array" ref="BJ14:BJ14">IF(COLUMN() - ($E14 + 5) &lt; 0, 0,
  IF(COLUMN() - ($E14 + 5) = 0, $F14,
    BI14 * (1 - IFERROR(INDEX('Inputs &amp; Assuptions'!$D$13:$D$72, COLUMN() - ($E14 + 5)), 0))
  )
)</f>
        <v>938.678412663646</v>
      </c>
      <c r="BK14" s="80" t="n">
        <f aca="false" t="array" ref="BK14:BK14">IF(COLUMN() - ($E14 + 5) &lt; 0, 0,
  IF(COLUMN() - ($E14 + 5) = 0, $F14,
    BJ14 * (1 - IFERROR(INDEX('Inputs &amp; Assuptions'!$D$13:$D$72, COLUMN() - ($E14 + 5)), 0))
  )
)</f>
        <v>938.209073457315</v>
      </c>
      <c r="BL14" s="80" t="n">
        <f aca="false" t="array" ref="BL14:BL14">IF(COLUMN() - ($E14 + 5) &lt; 0, 0,
  IF(COLUMN() - ($E14 + 5) = 0, $F14,
    BK14 * (1 - IFERROR(INDEX('Inputs &amp; Assuptions'!$D$13:$D$72, COLUMN() - ($E14 + 5)), 0))
  )
)</f>
        <v>937.739968920586</v>
      </c>
      <c r="BM14" s="81" t="n">
        <f aca="false" t="array" ref="BM14:BM14">IF(COLUMN() - ($E14 + 5) &lt; 0, 0,
  IF(COLUMN() - ($E14 + 5) = 0, $F14,
    BL14 * (1 - IFERROR(INDEX('Inputs &amp; Assuptions'!$D$13:$D$72, COLUMN() - ($E14 + 5)), 0))
  )
)</f>
        <v>937.271098936126</v>
      </c>
      <c r="BN14" s="76"/>
    </row>
    <row r="15" customFormat="false" ht="14.25" hidden="false" customHeight="false" outlineLevel="0" collapsed="false">
      <c r="A15" s="29" t="n">
        <f aca="false">A14+1</f>
        <v>10</v>
      </c>
      <c r="B15" s="77" t="n">
        <f aca="false">IF(MOD($A15-1, 12) = 0, $B14 * 1.05, $B14)</f>
        <v>1000</v>
      </c>
      <c r="C15" s="93" t="n">
        <f aca="false">$B15*(1-'Inputs &amp; Assuptions'!$D$12)</f>
        <v>978</v>
      </c>
      <c r="E15" s="29" t="n">
        <f aca="false">E14+1</f>
        <v>10</v>
      </c>
      <c r="F15" s="79"/>
      <c r="G15" s="80"/>
      <c r="H15" s="80"/>
      <c r="I15" s="80"/>
      <c r="J15" s="80"/>
      <c r="K15" s="80"/>
      <c r="L15" s="80"/>
      <c r="M15" s="80"/>
      <c r="N15" s="80"/>
      <c r="O15" s="80" t="n">
        <f aca="false">$C15</f>
        <v>978</v>
      </c>
      <c r="P15" s="80" t="n">
        <f aca="false" t="array" ref="P15:P15">IF(COLUMN() - ($E15 + 5) &lt; 0, 0,
  IF(COLUMN() - ($E15 + 5) = 0, $F15,
    O15 * (1 - IFERROR(INDEX('Inputs &amp; Assuptions'!$D$13:$D$72, COLUMN() - ($E15 + 5)), 0))
  )
)</f>
        <v>973.11</v>
      </c>
      <c r="Q15" s="80" t="n">
        <f aca="false" t="array" ref="Q15:Q15">IF(COLUMN() - ($E15 + 5) &lt; 0, 0,
  IF(COLUMN() - ($E15 + 5) = 0, $F15,
    P15 * (1 - IFERROR(INDEX('Inputs &amp; Assuptions'!$D$13:$D$72, COLUMN() - ($E15 + 5)), 0))
  )
)</f>
        <v>969.412182</v>
      </c>
      <c r="R15" s="80" t="n">
        <f aca="false" t="array" ref="R15:R15">IF(COLUMN() - ($E15 + 5) &lt; 0, 0,
  IF(COLUMN() - ($E15 + 5) = 0, $F15,
    Q15 * (1 - IFERROR(INDEX('Inputs &amp; Assuptions'!$D$13:$D$72, COLUMN() - ($E15 + 5)), 0))
  )
)</f>
        <v>966.988651545</v>
      </c>
      <c r="S15" s="80" t="n">
        <f aca="false" t="array" ref="S15:S15">IF(COLUMN() - ($E15 + 5) &lt; 0, 0,
  IF(COLUMN() - ($E15 + 5) = 0, $F15,
    R15 * (1 - IFERROR(INDEX('Inputs &amp; Assuptions'!$D$13:$D$72, COLUMN() - ($E15 + 5)), 0))
  )
)</f>
        <v>964.764577646447</v>
      </c>
      <c r="T15" s="80" t="n">
        <f aca="false" t="array" ref="T15:T15">IF(COLUMN() - ($E15 + 5) &lt; 0, 0,
  IF(COLUMN() - ($E15 + 5) = 0, $F15,
    S15 * (1 - IFERROR(INDEX('Inputs &amp; Assuptions'!$D$13:$D$72, COLUMN() - ($E15 + 5)), 0))
  )
)</f>
        <v>962.835048491154</v>
      </c>
      <c r="U15" s="80" t="n">
        <f aca="false" t="array" ref="U15:U15">IF(COLUMN() - ($E15 + 5) &lt; 0, 0,
  IF(COLUMN() - ($E15 + 5) = 0, $F15,
    T15 * (1 - IFERROR(INDEX('Inputs &amp; Assuptions'!$D$13:$D$72, COLUMN() - ($E15 + 5)), 0))
  )
)</f>
        <v>961.10194540387</v>
      </c>
      <c r="V15" s="80" t="n">
        <f aca="false" t="array" ref="V15:V15">IF(COLUMN() - ($E15 + 5) &lt; 0, 0,
  IF(COLUMN() - ($E15 + 5) = 0, $F15,
    U15 * (1 - IFERROR(INDEX('Inputs &amp; Assuptions'!$D$13:$D$72, COLUMN() - ($E15 + 5)), 0))
  )
)</f>
        <v>959.660292485764</v>
      </c>
      <c r="W15" s="80" t="n">
        <f aca="false" t="array" ref="W15:W15">IF(COLUMN() - ($E15 + 5) &lt; 0, 0,
  IF(COLUMN() - ($E15 + 5) = 0, $F15,
    V15 * (1 - IFERROR(INDEX('Inputs &amp; Assuptions'!$D$13:$D$72, COLUMN() - ($E15 + 5)), 0))
  )
)</f>
        <v>958.412734105532</v>
      </c>
      <c r="X15" s="80" t="n">
        <f aca="false" t="array" ref="X15:X15">IF(COLUMN() - ($E15 + 5) &lt; 0, 0,
  IF(COLUMN() - ($E15 + 5) = 0, $F15,
    W15 * (1 - IFERROR(INDEX('Inputs &amp; Assuptions'!$D$13:$D$72, COLUMN() - ($E15 + 5)), 0))
  )
)</f>
        <v>957.454321371427</v>
      </c>
      <c r="Y15" s="80" t="n">
        <f aca="false" t="array" ref="Y15:Y15">IF(COLUMN() - ($E15 + 5) &lt; 0, 0,
  IF(COLUMN() - ($E15 + 5) = 0, $F15,
    X15 * (1 - IFERROR(INDEX('Inputs &amp; Assuptions'!$D$13:$D$72, COLUMN() - ($E15 + 5)), 0))
  )
)</f>
        <v>956.68835791433</v>
      </c>
      <c r="Z15" s="80" t="n">
        <f aca="false" t="array" ref="Z15:Z15">IF(COLUMN() - ($E15 + 5) &lt; 0, 0,
  IF(COLUMN() - ($E15 + 5) = 0, $F15,
    Y15 * (1 - IFERROR(INDEX('Inputs &amp; Assuptions'!$D$13:$D$72, COLUMN() - ($E15 + 5)), 0))
  )
)</f>
        <v>956.210013735373</v>
      </c>
      <c r="AA15" s="80" t="n">
        <f aca="false" t="array" ref="AA15:AA15">IF(COLUMN() - ($E15 + 5) &lt; 0, 0,
  IF(COLUMN() - ($E15 + 5) = 0, $F15,
    Z15 * (1 - IFERROR(INDEX('Inputs &amp; Assuptions'!$D$13:$D$72, COLUMN() - ($E15 + 5)), 0))
  )
)</f>
        <v>955.731908728505</v>
      </c>
      <c r="AB15" s="80" t="n">
        <f aca="false" t="array" ref="AB15:AB15">IF(COLUMN() - ($E15 + 5) &lt; 0, 0,
  IF(COLUMN() - ($E15 + 5) = 0, $F15,
    AA15 * (1 - IFERROR(INDEX('Inputs &amp; Assuptions'!$D$13:$D$72, COLUMN() - ($E15 + 5)), 0))
  )
)</f>
        <v>955.254042774141</v>
      </c>
      <c r="AC15" s="80" t="n">
        <f aca="false" t="array" ref="AC15:AC15">IF(COLUMN() - ($E15 + 5) &lt; 0, 0,
  IF(COLUMN() - ($E15 + 5) = 0, $F15,
    AB15 * (1 - IFERROR(INDEX('Inputs &amp; Assuptions'!$D$13:$D$72, COLUMN() - ($E15 + 5)), 0))
  )
)</f>
        <v>954.776415752754</v>
      </c>
      <c r="AD15" s="80" t="n">
        <f aca="false" t="array" ref="AD15:AD15">IF(COLUMN() - ($E15 + 5) &lt; 0, 0,
  IF(COLUMN() - ($E15 + 5) = 0, $F15,
    AC15 * (1 - IFERROR(INDEX('Inputs &amp; Assuptions'!$D$13:$D$72, COLUMN() - ($E15 + 5)), 0))
  )
)</f>
        <v>954.299027544877</v>
      </c>
      <c r="AE15" s="80" t="n">
        <f aca="false" t="array" ref="AE15:AE15">IF(COLUMN() - ($E15 + 5) &lt; 0, 0,
  IF(COLUMN() - ($E15 + 5) = 0, $F15,
    AD15 * (1 - IFERROR(INDEX('Inputs &amp; Assuptions'!$D$13:$D$72, COLUMN() - ($E15 + 5)), 0))
  )
)</f>
        <v>953.821878031105</v>
      </c>
      <c r="AF15" s="80" t="n">
        <f aca="false" t="array" ref="AF15:AF15">IF(COLUMN() - ($E15 + 5) &lt; 0, 0,
  IF(COLUMN() - ($E15 + 5) = 0, $F15,
    AE15 * (1 - IFERROR(INDEX('Inputs &amp; Assuptions'!$D$13:$D$72, COLUMN() - ($E15 + 5)), 0))
  )
)</f>
        <v>953.34496709209</v>
      </c>
      <c r="AG15" s="80" t="n">
        <f aca="false" t="array" ref="AG15:AG15">IF(COLUMN() - ($E15 + 5) &lt; 0, 0,
  IF(COLUMN() - ($E15 + 5) = 0, $F15,
    AF15 * (1 - IFERROR(INDEX('Inputs &amp; Assuptions'!$D$13:$D$72, COLUMN() - ($E15 + 5)), 0))
  )
)</f>
        <v>952.868294608544</v>
      </c>
      <c r="AH15" s="80" t="n">
        <f aca="false" t="array" ref="AH15:AH15">IF(COLUMN() - ($E15 + 5) &lt; 0, 0,
  IF(COLUMN() - ($E15 + 5) = 0, $F15,
    AG15 * (1 - IFERROR(INDEX('Inputs &amp; Assuptions'!$D$13:$D$72, COLUMN() - ($E15 + 5)), 0))
  )
)</f>
        <v>952.391860461239</v>
      </c>
      <c r="AI15" s="80" t="n">
        <f aca="false" t="array" ref="AI15:AI15">IF(COLUMN() - ($E15 + 5) &lt; 0, 0,
  IF(COLUMN() - ($E15 + 5) = 0, $F15,
    AH15 * (1 - IFERROR(INDEX('Inputs &amp; Assuptions'!$D$13:$D$72, COLUMN() - ($E15 + 5)), 0))
  )
)</f>
        <v>951.915664531009</v>
      </c>
      <c r="AJ15" s="80" t="n">
        <f aca="false" t="array" ref="AJ15:AJ15">IF(COLUMN() - ($E15 + 5) &lt; 0, 0,
  IF(COLUMN() - ($E15 + 5) = 0, $F15,
    AI15 * (1 - IFERROR(INDEX('Inputs &amp; Assuptions'!$D$13:$D$72, COLUMN() - ($E15 + 5)), 0))
  )
)</f>
        <v>951.439706698743</v>
      </c>
      <c r="AK15" s="80" t="n">
        <f aca="false" t="array" ref="AK15:AK15">IF(COLUMN() - ($E15 + 5) &lt; 0, 0,
  IF(COLUMN() - ($E15 + 5) = 0, $F15,
    AJ15 * (1 - IFERROR(INDEX('Inputs &amp; Assuptions'!$D$13:$D$72, COLUMN() - ($E15 + 5)), 0))
  )
)</f>
        <v>950.963986845394</v>
      </c>
      <c r="AL15" s="80" t="n">
        <f aca="false" t="array" ref="AL15:AL15">IF(COLUMN() - ($E15 + 5) &lt; 0, 0,
  IF(COLUMN() - ($E15 + 5) = 0, $F15,
    AK15 * (1 - IFERROR(INDEX('Inputs &amp; Assuptions'!$D$13:$D$72, COLUMN() - ($E15 + 5)), 0))
  )
)</f>
        <v>950.488504851972</v>
      </c>
      <c r="AM15" s="80" t="n">
        <f aca="false" t="array" ref="AM15:AM15">IF(COLUMN() - ($E15 + 5) &lt; 0, 0,
  IF(COLUMN() - ($E15 + 5) = 0, $F15,
    AL15 * (1 - IFERROR(INDEX('Inputs &amp; Assuptions'!$D$13:$D$72, COLUMN() - ($E15 + 5)), 0))
  )
)</f>
        <v>950.013260599546</v>
      </c>
      <c r="AN15" s="80" t="n">
        <f aca="false" t="array" ref="AN15:AN15">IF(COLUMN() - ($E15 + 5) &lt; 0, 0,
  IF(COLUMN() - ($E15 + 5) = 0, $F15,
    AM15 * (1 - IFERROR(INDEX('Inputs &amp; Assuptions'!$D$13:$D$72, COLUMN() - ($E15 + 5)), 0))
  )
)</f>
        <v>949.538253969246</v>
      </c>
      <c r="AO15" s="80" t="n">
        <f aca="false" t="array" ref="AO15:AO15">IF(COLUMN() - ($E15 + 5) &lt; 0, 0,
  IF(COLUMN() - ($E15 + 5) = 0, $F15,
    AN15 * (1 - IFERROR(INDEX('Inputs &amp; Assuptions'!$D$13:$D$72, COLUMN() - ($E15 + 5)), 0))
  )
)</f>
        <v>949.063484842261</v>
      </c>
      <c r="AP15" s="80" t="n">
        <f aca="false" t="array" ref="AP15:AP15">IF(COLUMN() - ($E15 + 5) &lt; 0, 0,
  IF(COLUMN() - ($E15 + 5) = 0, $F15,
    AO15 * (1 - IFERROR(INDEX('Inputs &amp; Assuptions'!$D$13:$D$72, COLUMN() - ($E15 + 5)), 0))
  )
)</f>
        <v>948.58895309984</v>
      </c>
      <c r="AQ15" s="80" t="n">
        <f aca="false" t="array" ref="AQ15:AQ15">IF(COLUMN() - ($E15 + 5) &lt; 0, 0,
  IF(COLUMN() - ($E15 + 5) = 0, $F15,
    AP15 * (1 - IFERROR(INDEX('Inputs &amp; Assuptions'!$D$13:$D$72, COLUMN() - ($E15 + 5)), 0))
  )
)</f>
        <v>948.11465862329</v>
      </c>
      <c r="AR15" s="80" t="n">
        <f aca="false" t="array" ref="AR15:AR15">IF(COLUMN() - ($E15 + 5) &lt; 0, 0,
  IF(COLUMN() - ($E15 + 5) = 0, $F15,
    AQ15 * (1 - IFERROR(INDEX('Inputs &amp; Assuptions'!$D$13:$D$72, COLUMN() - ($E15 + 5)), 0))
  )
)</f>
        <v>947.640601293979</v>
      </c>
      <c r="AS15" s="80" t="n">
        <f aca="false" t="array" ref="AS15:AS15">IF(COLUMN() - ($E15 + 5) &lt; 0, 0,
  IF(COLUMN() - ($E15 + 5) = 0, $F15,
    AR15 * (1 - IFERROR(INDEX('Inputs &amp; Assuptions'!$D$13:$D$72, COLUMN() - ($E15 + 5)), 0))
  )
)</f>
        <v>947.166780993332</v>
      </c>
      <c r="AT15" s="80" t="n">
        <f aca="false" t="array" ref="AT15:AT15">IF(COLUMN() - ($E15 + 5) &lt; 0, 0,
  IF(COLUMN() - ($E15 + 5) = 0, $F15,
    AS15 * (1 - IFERROR(INDEX('Inputs &amp; Assuptions'!$D$13:$D$72, COLUMN() - ($E15 + 5)), 0))
  )
)</f>
        <v>946.693197602835</v>
      </c>
      <c r="AU15" s="80" t="n">
        <f aca="false" t="array" ref="AU15:AU15">IF(COLUMN() - ($E15 + 5) &lt; 0, 0,
  IF(COLUMN() - ($E15 + 5) = 0, $F15,
    AT15 * (1 - IFERROR(INDEX('Inputs &amp; Assuptions'!$D$13:$D$72, COLUMN() - ($E15 + 5)), 0))
  )
)</f>
        <v>946.219851004034</v>
      </c>
      <c r="AV15" s="80" t="n">
        <f aca="false" t="array" ref="AV15:AV15">IF(COLUMN() - ($E15 + 5) &lt; 0, 0,
  IF(COLUMN() - ($E15 + 5) = 0, $F15,
    AU15 * (1 - IFERROR(INDEX('Inputs &amp; Assuptions'!$D$13:$D$72, COLUMN() - ($E15 + 5)), 0))
  )
)</f>
        <v>945.746741078532</v>
      </c>
      <c r="AW15" s="80" t="n">
        <f aca="false" t="array" ref="AW15:AW15">IF(COLUMN() - ($E15 + 5) &lt; 0, 0,
  IF(COLUMN() - ($E15 + 5) = 0, $F15,
    AV15 * (1 - IFERROR(INDEX('Inputs &amp; Assuptions'!$D$13:$D$72, COLUMN() - ($E15 + 5)), 0))
  )
)</f>
        <v>945.273867707993</v>
      </c>
      <c r="AX15" s="80" t="n">
        <f aca="false" t="array" ref="AX15:AX15">IF(COLUMN() - ($E15 + 5) &lt; 0, 0,
  IF(COLUMN() - ($E15 + 5) = 0, $F15,
    AW15 * (1 - IFERROR(INDEX('Inputs &amp; Assuptions'!$D$13:$D$72, COLUMN() - ($E15 + 5)), 0))
  )
)</f>
        <v>944.801230774139</v>
      </c>
      <c r="AY15" s="80" t="n">
        <f aca="false" t="array" ref="AY15:AY15">IF(COLUMN() - ($E15 + 5) &lt; 0, 0,
  IF(COLUMN() - ($E15 + 5) = 0, $F15,
    AX15 * (1 - IFERROR(INDEX('Inputs &amp; Assuptions'!$D$13:$D$72, COLUMN() - ($E15 + 5)), 0))
  )
)</f>
        <v>944.328830158752</v>
      </c>
      <c r="AZ15" s="80" t="n">
        <f aca="false" t="array" ref="AZ15:AZ15">IF(COLUMN() - ($E15 + 5) &lt; 0, 0,
  IF(COLUMN() - ($E15 + 5) = 0, $F15,
    AY15 * (1 - IFERROR(INDEX('Inputs &amp; Assuptions'!$D$13:$D$72, COLUMN() - ($E15 + 5)), 0))
  )
)</f>
        <v>943.856665743672</v>
      </c>
      <c r="BA15" s="80" t="n">
        <f aca="false" t="array" ref="BA15:BA15">IF(COLUMN() - ($E15 + 5) &lt; 0, 0,
  IF(COLUMN() - ($E15 + 5) = 0, $F15,
    AZ15 * (1 - IFERROR(INDEX('Inputs &amp; Assuptions'!$D$13:$D$72, COLUMN() - ($E15 + 5)), 0))
  )
)</f>
        <v>943.384737410801</v>
      </c>
      <c r="BB15" s="80" t="n">
        <f aca="false" t="array" ref="BB15:BB15">IF(COLUMN() - ($E15 + 5) &lt; 0, 0,
  IF(COLUMN() - ($E15 + 5) = 0, $F15,
    BA15 * (1 - IFERROR(INDEX('Inputs &amp; Assuptions'!$D$13:$D$72, COLUMN() - ($E15 + 5)), 0))
  )
)</f>
        <v>942.913045042095</v>
      </c>
      <c r="BC15" s="80" t="n">
        <f aca="false" t="array" ref="BC15:BC15">IF(COLUMN() - ($E15 + 5) &lt; 0, 0,
  IF(COLUMN() - ($E15 + 5) = 0, $F15,
    BB15 * (1 - IFERROR(INDEX('Inputs &amp; Assuptions'!$D$13:$D$72, COLUMN() - ($E15 + 5)), 0))
  )
)</f>
        <v>942.441588519574</v>
      </c>
      <c r="BD15" s="80" t="n">
        <f aca="false" t="array" ref="BD15:BD15">IF(COLUMN() - ($E15 + 5) &lt; 0, 0,
  IF(COLUMN() - ($E15 + 5) = 0, $F15,
    BC15 * (1 - IFERROR(INDEX('Inputs &amp; Assuptions'!$D$13:$D$72, COLUMN() - ($E15 + 5)), 0))
  )
)</f>
        <v>941.970367725315</v>
      </c>
      <c r="BE15" s="80" t="n">
        <f aca="false" t="array" ref="BE15:BE15">IF(COLUMN() - ($E15 + 5) &lt; 0, 0,
  IF(COLUMN() - ($E15 + 5) = 0, $F15,
    BD15 * (1 - IFERROR(INDEX('Inputs &amp; Assuptions'!$D$13:$D$72, COLUMN() - ($E15 + 5)), 0))
  )
)</f>
        <v>941.499382541452</v>
      </c>
      <c r="BF15" s="80" t="n">
        <f aca="false" t="array" ref="BF15:BF15">IF(COLUMN() - ($E15 + 5) &lt; 0, 0,
  IF(COLUMN() - ($E15 + 5) = 0, $F15,
    BE15 * (1 - IFERROR(INDEX('Inputs &amp; Assuptions'!$D$13:$D$72, COLUMN() - ($E15 + 5)), 0))
  )
)</f>
        <v>941.028632850181</v>
      </c>
      <c r="BG15" s="80" t="n">
        <f aca="false" t="array" ref="BG15:BG15">IF(COLUMN() - ($E15 + 5) &lt; 0, 0,
  IF(COLUMN() - ($E15 + 5) = 0, $F15,
    BF15 * (1 - IFERROR(INDEX('Inputs &amp; Assuptions'!$D$13:$D$72, COLUMN() - ($E15 + 5)), 0))
  )
)</f>
        <v>940.558118533756</v>
      </c>
      <c r="BH15" s="80" t="n">
        <f aca="false" t="array" ref="BH15:BH15">IF(COLUMN() - ($E15 + 5) &lt; 0, 0,
  IF(COLUMN() - ($E15 + 5) = 0, $F15,
    BG15 * (1 - IFERROR(INDEX('Inputs &amp; Assuptions'!$D$13:$D$72, COLUMN() - ($E15 + 5)), 0))
  )
)</f>
        <v>940.087839474489</v>
      </c>
      <c r="BI15" s="80" t="n">
        <f aca="false" t="array" ref="BI15:BI15">IF(COLUMN() - ($E15 + 5) &lt; 0, 0,
  IF(COLUMN() - ($E15 + 5) = 0, $F15,
    BH15 * (1 - IFERROR(INDEX('Inputs &amp; Assuptions'!$D$13:$D$72, COLUMN() - ($E15 + 5)), 0))
  )
)</f>
        <v>939.617795554752</v>
      </c>
      <c r="BJ15" s="80" t="n">
        <f aca="false" t="array" ref="BJ15:BJ15">IF(COLUMN() - ($E15 + 5) &lt; 0, 0,
  IF(COLUMN() - ($E15 + 5) = 0, $F15,
    BI15 * (1 - IFERROR(INDEX('Inputs &amp; Assuptions'!$D$13:$D$72, COLUMN() - ($E15 + 5)), 0))
  )
)</f>
        <v>939.147986656975</v>
      </c>
      <c r="BK15" s="80" t="n">
        <f aca="false" t="array" ref="BK15:BK15">IF(COLUMN() - ($E15 + 5) &lt; 0, 0,
  IF(COLUMN() - ($E15 + 5) = 0, $F15,
    BJ15 * (1 - IFERROR(INDEX('Inputs &amp; Assuptions'!$D$13:$D$72, COLUMN() - ($E15 + 5)), 0))
  )
)</f>
        <v>938.678412663646</v>
      </c>
      <c r="BL15" s="80" t="n">
        <f aca="false" t="array" ref="BL15:BL15">IF(COLUMN() - ($E15 + 5) &lt; 0, 0,
  IF(COLUMN() - ($E15 + 5) = 0, $F15,
    BK15 * (1 - IFERROR(INDEX('Inputs &amp; Assuptions'!$D$13:$D$72, COLUMN() - ($E15 + 5)), 0))
  )
)</f>
        <v>938.209073457315</v>
      </c>
      <c r="BM15" s="81" t="n">
        <f aca="false" t="array" ref="BM15:BM15">IF(COLUMN() - ($E15 + 5) &lt; 0, 0,
  IF(COLUMN() - ($E15 + 5) = 0, $F15,
    BL15 * (1 - IFERROR(INDEX('Inputs &amp; Assuptions'!$D$13:$D$72, COLUMN() - ($E15 + 5)), 0))
  )
)</f>
        <v>937.739968920586</v>
      </c>
      <c r="BN15" s="76"/>
    </row>
    <row r="16" customFormat="false" ht="14.25" hidden="false" customHeight="false" outlineLevel="0" collapsed="false">
      <c r="A16" s="29" t="n">
        <f aca="false">A15+1</f>
        <v>11</v>
      </c>
      <c r="B16" s="77" t="n">
        <f aca="false">IF(MOD($A16-1, 12) = 0, $B15 * 1.05, $B15)</f>
        <v>1000</v>
      </c>
      <c r="C16" s="93" t="n">
        <f aca="false">$B16*(1-'Inputs &amp; Assuptions'!$D$12)</f>
        <v>978</v>
      </c>
      <c r="E16" s="29" t="n">
        <f aca="false">E15+1</f>
        <v>11</v>
      </c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 t="n">
        <f aca="false">$C16</f>
        <v>978</v>
      </c>
      <c r="Q16" s="80" t="n">
        <f aca="false" t="array" ref="Q16:Q16">IF(COLUMN() - ($E16 + 5) &lt; 0, 0,
  IF(COLUMN() - ($E16 + 5) = 0, $F16,
    P16 * (1 - IFERROR(INDEX('Inputs &amp; Assuptions'!$D$13:$D$72, COLUMN() - ($E16 + 5)), 0))
  )
)</f>
        <v>973.11</v>
      </c>
      <c r="R16" s="80" t="n">
        <f aca="false" t="array" ref="R16:R16">IF(COLUMN() - ($E16 + 5) &lt; 0, 0,
  IF(COLUMN() - ($E16 + 5) = 0, $F16,
    Q16 * (1 - IFERROR(INDEX('Inputs &amp; Assuptions'!$D$13:$D$72, COLUMN() - ($E16 + 5)), 0))
  )
)</f>
        <v>969.412182</v>
      </c>
      <c r="S16" s="80" t="n">
        <f aca="false" t="array" ref="S16:S16">IF(COLUMN() - ($E16 + 5) &lt; 0, 0,
  IF(COLUMN() - ($E16 + 5) = 0, $F16,
    R16 * (1 - IFERROR(INDEX('Inputs &amp; Assuptions'!$D$13:$D$72, COLUMN() - ($E16 + 5)), 0))
  )
)</f>
        <v>966.988651545</v>
      </c>
      <c r="T16" s="80" t="n">
        <f aca="false" t="array" ref="T16:T16">IF(COLUMN() - ($E16 + 5) &lt; 0, 0,
  IF(COLUMN() - ($E16 + 5) = 0, $F16,
    S16 * (1 - IFERROR(INDEX('Inputs &amp; Assuptions'!$D$13:$D$72, COLUMN() - ($E16 + 5)), 0))
  )
)</f>
        <v>964.764577646447</v>
      </c>
      <c r="U16" s="80" t="n">
        <f aca="false" t="array" ref="U16:U16">IF(COLUMN() - ($E16 + 5) &lt; 0, 0,
  IF(COLUMN() - ($E16 + 5) = 0, $F16,
    T16 * (1 - IFERROR(INDEX('Inputs &amp; Assuptions'!$D$13:$D$72, COLUMN() - ($E16 + 5)), 0))
  )
)</f>
        <v>962.835048491154</v>
      </c>
      <c r="V16" s="80" t="n">
        <f aca="false" t="array" ref="V16:V16">IF(COLUMN() - ($E16 + 5) &lt; 0, 0,
  IF(COLUMN() - ($E16 + 5) = 0, $F16,
    U16 * (1 - IFERROR(INDEX('Inputs &amp; Assuptions'!$D$13:$D$72, COLUMN() - ($E16 + 5)), 0))
  )
)</f>
        <v>961.10194540387</v>
      </c>
      <c r="W16" s="80" t="n">
        <f aca="false" t="array" ref="W16:W16">IF(COLUMN() - ($E16 + 5) &lt; 0, 0,
  IF(COLUMN() - ($E16 + 5) = 0, $F16,
    V16 * (1 - IFERROR(INDEX('Inputs &amp; Assuptions'!$D$13:$D$72, COLUMN() - ($E16 + 5)), 0))
  )
)</f>
        <v>959.660292485764</v>
      </c>
      <c r="X16" s="80" t="n">
        <f aca="false" t="array" ref="X16:X16">IF(COLUMN() - ($E16 + 5) &lt; 0, 0,
  IF(COLUMN() - ($E16 + 5) = 0, $F16,
    W16 * (1 - IFERROR(INDEX('Inputs &amp; Assuptions'!$D$13:$D$72, COLUMN() - ($E16 + 5)), 0))
  )
)</f>
        <v>958.412734105532</v>
      </c>
      <c r="Y16" s="80" t="n">
        <f aca="false" t="array" ref="Y16:Y16">IF(COLUMN() - ($E16 + 5) &lt; 0, 0,
  IF(COLUMN() - ($E16 + 5) = 0, $F16,
    X16 * (1 - IFERROR(INDEX('Inputs &amp; Assuptions'!$D$13:$D$72, COLUMN() - ($E16 + 5)), 0))
  )
)</f>
        <v>957.454321371427</v>
      </c>
      <c r="Z16" s="80" t="n">
        <f aca="false" t="array" ref="Z16:Z16">IF(COLUMN() - ($E16 + 5) &lt; 0, 0,
  IF(COLUMN() - ($E16 + 5) = 0, $F16,
    Y16 * (1 - IFERROR(INDEX('Inputs &amp; Assuptions'!$D$13:$D$72, COLUMN() - ($E16 + 5)), 0))
  )
)</f>
        <v>956.68835791433</v>
      </c>
      <c r="AA16" s="80" t="n">
        <f aca="false" t="array" ref="AA16:AA16">IF(COLUMN() - ($E16 + 5) &lt; 0, 0,
  IF(COLUMN() - ($E16 + 5) = 0, $F16,
    Z16 * (1 - IFERROR(INDEX('Inputs &amp; Assuptions'!$D$13:$D$72, COLUMN() - ($E16 + 5)), 0))
  )
)</f>
        <v>956.210013735373</v>
      </c>
      <c r="AB16" s="80" t="n">
        <f aca="false" t="array" ref="AB16:AB16">IF(COLUMN() - ($E16 + 5) &lt; 0, 0,
  IF(COLUMN() - ($E16 + 5) = 0, $F16,
    AA16 * (1 - IFERROR(INDEX('Inputs &amp; Assuptions'!$D$13:$D$72, COLUMN() - ($E16 + 5)), 0))
  )
)</f>
        <v>955.731908728505</v>
      </c>
      <c r="AC16" s="80" t="n">
        <f aca="false" t="array" ref="AC16:AC16">IF(COLUMN() - ($E16 + 5) &lt; 0, 0,
  IF(COLUMN() - ($E16 + 5) = 0, $F16,
    AB16 * (1 - IFERROR(INDEX('Inputs &amp; Assuptions'!$D$13:$D$72, COLUMN() - ($E16 + 5)), 0))
  )
)</f>
        <v>955.254042774141</v>
      </c>
      <c r="AD16" s="80" t="n">
        <f aca="false" t="array" ref="AD16:AD16">IF(COLUMN() - ($E16 + 5) &lt; 0, 0,
  IF(COLUMN() - ($E16 + 5) = 0, $F16,
    AC16 * (1 - IFERROR(INDEX('Inputs &amp; Assuptions'!$D$13:$D$72, COLUMN() - ($E16 + 5)), 0))
  )
)</f>
        <v>954.776415752754</v>
      </c>
      <c r="AE16" s="80" t="n">
        <f aca="false" t="array" ref="AE16:AE16">IF(COLUMN() - ($E16 + 5) &lt; 0, 0,
  IF(COLUMN() - ($E16 + 5) = 0, $F16,
    AD16 * (1 - IFERROR(INDEX('Inputs &amp; Assuptions'!$D$13:$D$72, COLUMN() - ($E16 + 5)), 0))
  )
)</f>
        <v>954.299027544877</v>
      </c>
      <c r="AF16" s="80" t="n">
        <f aca="false" t="array" ref="AF16:AF16">IF(COLUMN() - ($E16 + 5) &lt; 0, 0,
  IF(COLUMN() - ($E16 + 5) = 0, $F16,
    AE16 * (1 - IFERROR(INDEX('Inputs &amp; Assuptions'!$D$13:$D$72, COLUMN() - ($E16 + 5)), 0))
  )
)</f>
        <v>953.821878031105</v>
      </c>
      <c r="AG16" s="80" t="n">
        <f aca="false" t="array" ref="AG16:AG16">IF(COLUMN() - ($E16 + 5) &lt; 0, 0,
  IF(COLUMN() - ($E16 + 5) = 0, $F16,
    AF16 * (1 - IFERROR(INDEX('Inputs &amp; Assuptions'!$D$13:$D$72, COLUMN() - ($E16 + 5)), 0))
  )
)</f>
        <v>953.34496709209</v>
      </c>
      <c r="AH16" s="80" t="n">
        <f aca="false" t="array" ref="AH16:AH16">IF(COLUMN() - ($E16 + 5) &lt; 0, 0,
  IF(COLUMN() - ($E16 + 5) = 0, $F16,
    AG16 * (1 - IFERROR(INDEX('Inputs &amp; Assuptions'!$D$13:$D$72, COLUMN() - ($E16 + 5)), 0))
  )
)</f>
        <v>952.868294608544</v>
      </c>
      <c r="AI16" s="80" t="n">
        <f aca="false" t="array" ref="AI16:AI16">IF(COLUMN() - ($E16 + 5) &lt; 0, 0,
  IF(COLUMN() - ($E16 + 5) = 0, $F16,
    AH16 * (1 - IFERROR(INDEX('Inputs &amp; Assuptions'!$D$13:$D$72, COLUMN() - ($E16 + 5)), 0))
  )
)</f>
        <v>952.391860461239</v>
      </c>
      <c r="AJ16" s="80" t="n">
        <f aca="false" t="array" ref="AJ16:AJ16">IF(COLUMN() - ($E16 + 5) &lt; 0, 0,
  IF(COLUMN() - ($E16 + 5) = 0, $F16,
    AI16 * (1 - IFERROR(INDEX('Inputs &amp; Assuptions'!$D$13:$D$72, COLUMN() - ($E16 + 5)), 0))
  )
)</f>
        <v>951.915664531009</v>
      </c>
      <c r="AK16" s="80" t="n">
        <f aca="false" t="array" ref="AK16:AK16">IF(COLUMN() - ($E16 + 5) &lt; 0, 0,
  IF(COLUMN() - ($E16 + 5) = 0, $F16,
    AJ16 * (1 - IFERROR(INDEX('Inputs &amp; Assuptions'!$D$13:$D$72, COLUMN() - ($E16 + 5)), 0))
  )
)</f>
        <v>951.439706698743</v>
      </c>
      <c r="AL16" s="80" t="n">
        <f aca="false" t="array" ref="AL16:AL16">IF(COLUMN() - ($E16 + 5) &lt; 0, 0,
  IF(COLUMN() - ($E16 + 5) = 0, $F16,
    AK16 * (1 - IFERROR(INDEX('Inputs &amp; Assuptions'!$D$13:$D$72, COLUMN() - ($E16 + 5)), 0))
  )
)</f>
        <v>950.963986845394</v>
      </c>
      <c r="AM16" s="80" t="n">
        <f aca="false" t="array" ref="AM16:AM16">IF(COLUMN() - ($E16 + 5) &lt; 0, 0,
  IF(COLUMN() - ($E16 + 5) = 0, $F16,
    AL16 * (1 - IFERROR(INDEX('Inputs &amp; Assuptions'!$D$13:$D$72, COLUMN() - ($E16 + 5)), 0))
  )
)</f>
        <v>950.488504851972</v>
      </c>
      <c r="AN16" s="80" t="n">
        <f aca="false" t="array" ref="AN16:AN16">IF(COLUMN() - ($E16 + 5) &lt; 0, 0,
  IF(COLUMN() - ($E16 + 5) = 0, $F16,
    AM16 * (1 - IFERROR(INDEX('Inputs &amp; Assuptions'!$D$13:$D$72, COLUMN() - ($E16 + 5)), 0))
  )
)</f>
        <v>950.013260599546</v>
      </c>
      <c r="AO16" s="80" t="n">
        <f aca="false" t="array" ref="AO16:AO16">IF(COLUMN() - ($E16 + 5) &lt; 0, 0,
  IF(COLUMN() - ($E16 + 5) = 0, $F16,
    AN16 * (1 - IFERROR(INDEX('Inputs &amp; Assuptions'!$D$13:$D$72, COLUMN() - ($E16 + 5)), 0))
  )
)</f>
        <v>949.538253969246</v>
      </c>
      <c r="AP16" s="80" t="n">
        <f aca="false" t="array" ref="AP16:AP16">IF(COLUMN() - ($E16 + 5) &lt; 0, 0,
  IF(COLUMN() - ($E16 + 5) = 0, $F16,
    AO16 * (1 - IFERROR(INDEX('Inputs &amp; Assuptions'!$D$13:$D$72, COLUMN() - ($E16 + 5)), 0))
  )
)</f>
        <v>949.063484842261</v>
      </c>
      <c r="AQ16" s="80" t="n">
        <f aca="false" t="array" ref="AQ16:AQ16">IF(COLUMN() - ($E16 + 5) &lt; 0, 0,
  IF(COLUMN() - ($E16 + 5) = 0, $F16,
    AP16 * (1 - IFERROR(INDEX('Inputs &amp; Assuptions'!$D$13:$D$72, COLUMN() - ($E16 + 5)), 0))
  )
)</f>
        <v>948.58895309984</v>
      </c>
      <c r="AR16" s="80" t="n">
        <f aca="false" t="array" ref="AR16:AR16">IF(COLUMN() - ($E16 + 5) &lt; 0, 0,
  IF(COLUMN() - ($E16 + 5) = 0, $F16,
    AQ16 * (1 - IFERROR(INDEX('Inputs &amp; Assuptions'!$D$13:$D$72, COLUMN() - ($E16 + 5)), 0))
  )
)</f>
        <v>948.11465862329</v>
      </c>
      <c r="AS16" s="80" t="n">
        <f aca="false" t="array" ref="AS16:AS16">IF(COLUMN() - ($E16 + 5) &lt; 0, 0,
  IF(COLUMN() - ($E16 + 5) = 0, $F16,
    AR16 * (1 - IFERROR(INDEX('Inputs &amp; Assuptions'!$D$13:$D$72, COLUMN() - ($E16 + 5)), 0))
  )
)</f>
        <v>947.640601293979</v>
      </c>
      <c r="AT16" s="80" t="n">
        <f aca="false" t="array" ref="AT16:AT16">IF(COLUMN() - ($E16 + 5) &lt; 0, 0,
  IF(COLUMN() - ($E16 + 5) = 0, $F16,
    AS16 * (1 - IFERROR(INDEX('Inputs &amp; Assuptions'!$D$13:$D$72, COLUMN() - ($E16 + 5)), 0))
  )
)</f>
        <v>947.166780993332</v>
      </c>
      <c r="AU16" s="80" t="n">
        <f aca="false" t="array" ref="AU16:AU16">IF(COLUMN() - ($E16 + 5) &lt; 0, 0,
  IF(COLUMN() - ($E16 + 5) = 0, $F16,
    AT16 * (1 - IFERROR(INDEX('Inputs &amp; Assuptions'!$D$13:$D$72, COLUMN() - ($E16 + 5)), 0))
  )
)</f>
        <v>946.693197602835</v>
      </c>
      <c r="AV16" s="80" t="n">
        <f aca="false" t="array" ref="AV16:AV16">IF(COLUMN() - ($E16 + 5) &lt; 0, 0,
  IF(COLUMN() - ($E16 + 5) = 0, $F16,
    AU16 * (1 - IFERROR(INDEX('Inputs &amp; Assuptions'!$D$13:$D$72, COLUMN() - ($E16 + 5)), 0))
  )
)</f>
        <v>946.219851004034</v>
      </c>
      <c r="AW16" s="80" t="n">
        <f aca="false" t="array" ref="AW16:AW16">IF(COLUMN() - ($E16 + 5) &lt; 0, 0,
  IF(COLUMN() - ($E16 + 5) = 0, $F16,
    AV16 * (1 - IFERROR(INDEX('Inputs &amp; Assuptions'!$D$13:$D$72, COLUMN() - ($E16 + 5)), 0))
  )
)</f>
        <v>945.746741078532</v>
      </c>
      <c r="AX16" s="80" t="n">
        <f aca="false" t="array" ref="AX16:AX16">IF(COLUMN() - ($E16 + 5) &lt; 0, 0,
  IF(COLUMN() - ($E16 + 5) = 0, $F16,
    AW16 * (1 - IFERROR(INDEX('Inputs &amp; Assuptions'!$D$13:$D$72, COLUMN() - ($E16 + 5)), 0))
  )
)</f>
        <v>945.273867707993</v>
      </c>
      <c r="AY16" s="80" t="n">
        <f aca="false" t="array" ref="AY16:AY16">IF(COLUMN() - ($E16 + 5) &lt; 0, 0,
  IF(COLUMN() - ($E16 + 5) = 0, $F16,
    AX16 * (1 - IFERROR(INDEX('Inputs &amp; Assuptions'!$D$13:$D$72, COLUMN() - ($E16 + 5)), 0))
  )
)</f>
        <v>944.801230774139</v>
      </c>
      <c r="AZ16" s="80" t="n">
        <f aca="false" t="array" ref="AZ16:AZ16">IF(COLUMN() - ($E16 + 5) &lt; 0, 0,
  IF(COLUMN() - ($E16 + 5) = 0, $F16,
    AY16 * (1 - IFERROR(INDEX('Inputs &amp; Assuptions'!$D$13:$D$72, COLUMN() - ($E16 + 5)), 0))
  )
)</f>
        <v>944.328830158752</v>
      </c>
      <c r="BA16" s="80" t="n">
        <f aca="false" t="array" ref="BA16:BA16">IF(COLUMN() - ($E16 + 5) &lt; 0, 0,
  IF(COLUMN() - ($E16 + 5) = 0, $F16,
    AZ16 * (1 - IFERROR(INDEX('Inputs &amp; Assuptions'!$D$13:$D$72, COLUMN() - ($E16 + 5)), 0))
  )
)</f>
        <v>943.856665743672</v>
      </c>
      <c r="BB16" s="80" t="n">
        <f aca="false" t="array" ref="BB16:BB16">IF(COLUMN() - ($E16 + 5) &lt; 0, 0,
  IF(COLUMN() - ($E16 + 5) = 0, $F16,
    BA16 * (1 - IFERROR(INDEX('Inputs &amp; Assuptions'!$D$13:$D$72, COLUMN() - ($E16 + 5)), 0))
  )
)</f>
        <v>943.384737410801</v>
      </c>
      <c r="BC16" s="80" t="n">
        <f aca="false" t="array" ref="BC16:BC16">IF(COLUMN() - ($E16 + 5) &lt; 0, 0,
  IF(COLUMN() - ($E16 + 5) = 0, $F16,
    BB16 * (1 - IFERROR(INDEX('Inputs &amp; Assuptions'!$D$13:$D$72, COLUMN() - ($E16 + 5)), 0))
  )
)</f>
        <v>942.913045042095</v>
      </c>
      <c r="BD16" s="80" t="n">
        <f aca="false" t="array" ref="BD16:BD16">IF(COLUMN() - ($E16 + 5) &lt; 0, 0,
  IF(COLUMN() - ($E16 + 5) = 0, $F16,
    BC16 * (1 - IFERROR(INDEX('Inputs &amp; Assuptions'!$D$13:$D$72, COLUMN() - ($E16 + 5)), 0))
  )
)</f>
        <v>942.441588519574</v>
      </c>
      <c r="BE16" s="80" t="n">
        <f aca="false" t="array" ref="BE16:BE16">IF(COLUMN() - ($E16 + 5) &lt; 0, 0,
  IF(COLUMN() - ($E16 + 5) = 0, $F16,
    BD16 * (1 - IFERROR(INDEX('Inputs &amp; Assuptions'!$D$13:$D$72, COLUMN() - ($E16 + 5)), 0))
  )
)</f>
        <v>941.970367725315</v>
      </c>
      <c r="BF16" s="80" t="n">
        <f aca="false" t="array" ref="BF16:BF16">IF(COLUMN() - ($E16 + 5) &lt; 0, 0,
  IF(COLUMN() - ($E16 + 5) = 0, $F16,
    BE16 * (1 - IFERROR(INDEX('Inputs &amp; Assuptions'!$D$13:$D$72, COLUMN() - ($E16 + 5)), 0))
  )
)</f>
        <v>941.499382541452</v>
      </c>
      <c r="BG16" s="80" t="n">
        <f aca="false" t="array" ref="BG16:BG16">IF(COLUMN() - ($E16 + 5) &lt; 0, 0,
  IF(COLUMN() - ($E16 + 5) = 0, $F16,
    BF16 * (1 - IFERROR(INDEX('Inputs &amp; Assuptions'!$D$13:$D$72, COLUMN() - ($E16 + 5)), 0))
  )
)</f>
        <v>941.028632850181</v>
      </c>
      <c r="BH16" s="80" t="n">
        <f aca="false" t="array" ref="BH16:BH16">IF(COLUMN() - ($E16 + 5) &lt; 0, 0,
  IF(COLUMN() - ($E16 + 5) = 0, $F16,
    BG16 * (1 - IFERROR(INDEX('Inputs &amp; Assuptions'!$D$13:$D$72, COLUMN() - ($E16 + 5)), 0))
  )
)</f>
        <v>940.558118533756</v>
      </c>
      <c r="BI16" s="80" t="n">
        <f aca="false" t="array" ref="BI16:BI16">IF(COLUMN() - ($E16 + 5) &lt; 0, 0,
  IF(COLUMN() - ($E16 + 5) = 0, $F16,
    BH16 * (1 - IFERROR(INDEX('Inputs &amp; Assuptions'!$D$13:$D$72, COLUMN() - ($E16 + 5)), 0))
  )
)</f>
        <v>940.087839474489</v>
      </c>
      <c r="BJ16" s="80" t="n">
        <f aca="false" t="array" ref="BJ16:BJ16">IF(COLUMN() - ($E16 + 5) &lt; 0, 0,
  IF(COLUMN() - ($E16 + 5) = 0, $F16,
    BI16 * (1 - IFERROR(INDEX('Inputs &amp; Assuptions'!$D$13:$D$72, COLUMN() - ($E16 + 5)), 0))
  )
)</f>
        <v>939.617795554752</v>
      </c>
      <c r="BK16" s="80" t="n">
        <f aca="false" t="array" ref="BK16:BK16">IF(COLUMN() - ($E16 + 5) &lt; 0, 0,
  IF(COLUMN() - ($E16 + 5) = 0, $F16,
    BJ16 * (1 - IFERROR(INDEX('Inputs &amp; Assuptions'!$D$13:$D$72, COLUMN() - ($E16 + 5)), 0))
  )
)</f>
        <v>939.147986656975</v>
      </c>
      <c r="BL16" s="80" t="n">
        <f aca="false" t="array" ref="BL16:BL16">IF(COLUMN() - ($E16 + 5) &lt; 0, 0,
  IF(COLUMN() - ($E16 + 5) = 0, $F16,
    BK16 * (1 - IFERROR(INDEX('Inputs &amp; Assuptions'!$D$13:$D$72, COLUMN() - ($E16 + 5)), 0))
  )
)</f>
        <v>938.678412663646</v>
      </c>
      <c r="BM16" s="81" t="n">
        <f aca="false" t="array" ref="BM16:BM16">IF(COLUMN() - ($E16 + 5) &lt; 0, 0,
  IF(COLUMN() - ($E16 + 5) = 0, $F16,
    BL16 * (1 - IFERROR(INDEX('Inputs &amp; Assuptions'!$D$13:$D$72, COLUMN() - ($E16 + 5)), 0))
  )
)</f>
        <v>938.209073457315</v>
      </c>
      <c r="BN16" s="76"/>
    </row>
    <row r="17" customFormat="false" ht="14.25" hidden="false" customHeight="false" outlineLevel="0" collapsed="false">
      <c r="A17" s="29" t="n">
        <f aca="false">A16+1</f>
        <v>12</v>
      </c>
      <c r="B17" s="77" t="n">
        <f aca="false">IF(MOD($A17-1, 12) = 0, $B16 * 1.05, $B16)</f>
        <v>1000</v>
      </c>
      <c r="C17" s="93" t="n">
        <f aca="false">$B17*(1-'Inputs &amp; Assuptions'!$D$12)</f>
        <v>978</v>
      </c>
      <c r="E17" s="29" t="n">
        <f aca="false">E16+1</f>
        <v>12</v>
      </c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 t="n">
        <f aca="false">$C17</f>
        <v>978</v>
      </c>
      <c r="R17" s="80" t="n">
        <f aca="false" t="array" ref="R17:R17">IF(COLUMN() - ($E17 + 5) &lt; 0, 0,
  IF(COLUMN() - ($E17 + 5) = 0, $F17,
    Q17 * (1 - IFERROR(INDEX('Inputs &amp; Assuptions'!$D$13:$D$72, COLUMN() - ($E17 + 5)), 0))
  )
)</f>
        <v>973.11</v>
      </c>
      <c r="S17" s="80" t="n">
        <f aca="false" t="array" ref="S17:S17">IF(COLUMN() - ($E17 + 5) &lt; 0, 0,
  IF(COLUMN() - ($E17 + 5) = 0, $F17,
    R17 * (1 - IFERROR(INDEX('Inputs &amp; Assuptions'!$D$13:$D$72, COLUMN() - ($E17 + 5)), 0))
  )
)</f>
        <v>969.412182</v>
      </c>
      <c r="T17" s="80" t="n">
        <f aca="false" t="array" ref="T17:T17">IF(COLUMN() - ($E17 + 5) &lt; 0, 0,
  IF(COLUMN() - ($E17 + 5) = 0, $F17,
    S17 * (1 - IFERROR(INDEX('Inputs &amp; Assuptions'!$D$13:$D$72, COLUMN() - ($E17 + 5)), 0))
  )
)</f>
        <v>966.988651545</v>
      </c>
      <c r="U17" s="80" t="n">
        <f aca="false" t="array" ref="U17:U17">IF(COLUMN() - ($E17 + 5) &lt; 0, 0,
  IF(COLUMN() - ($E17 + 5) = 0, $F17,
    T17 * (1 - IFERROR(INDEX('Inputs &amp; Assuptions'!$D$13:$D$72, COLUMN() - ($E17 + 5)), 0))
  )
)</f>
        <v>964.764577646447</v>
      </c>
      <c r="V17" s="80" t="n">
        <f aca="false" t="array" ref="V17:V17">IF(COLUMN() - ($E17 + 5) &lt; 0, 0,
  IF(COLUMN() - ($E17 + 5) = 0, $F17,
    U17 * (1 - IFERROR(INDEX('Inputs &amp; Assuptions'!$D$13:$D$72, COLUMN() - ($E17 + 5)), 0))
  )
)</f>
        <v>962.835048491154</v>
      </c>
      <c r="W17" s="80" t="n">
        <f aca="false" t="array" ref="W17:W17">IF(COLUMN() - ($E17 + 5) &lt; 0, 0,
  IF(COLUMN() - ($E17 + 5) = 0, $F17,
    V17 * (1 - IFERROR(INDEX('Inputs &amp; Assuptions'!$D$13:$D$72, COLUMN() - ($E17 + 5)), 0))
  )
)</f>
        <v>961.10194540387</v>
      </c>
      <c r="X17" s="80" t="n">
        <f aca="false" t="array" ref="X17:X17">IF(COLUMN() - ($E17 + 5) &lt; 0, 0,
  IF(COLUMN() - ($E17 + 5) = 0, $F17,
    W17 * (1 - IFERROR(INDEX('Inputs &amp; Assuptions'!$D$13:$D$72, COLUMN() - ($E17 + 5)), 0))
  )
)</f>
        <v>959.660292485764</v>
      </c>
      <c r="Y17" s="80" t="n">
        <f aca="false" t="array" ref="Y17:Y17">IF(COLUMN() - ($E17 + 5) &lt; 0, 0,
  IF(COLUMN() - ($E17 + 5) = 0, $F17,
    X17 * (1 - IFERROR(INDEX('Inputs &amp; Assuptions'!$D$13:$D$72, COLUMN() - ($E17 + 5)), 0))
  )
)</f>
        <v>958.412734105532</v>
      </c>
      <c r="Z17" s="80" t="n">
        <f aca="false" t="array" ref="Z17:Z17">IF(COLUMN() - ($E17 + 5) &lt; 0, 0,
  IF(COLUMN() - ($E17 + 5) = 0, $F17,
    Y17 * (1 - IFERROR(INDEX('Inputs &amp; Assuptions'!$D$13:$D$72, COLUMN() - ($E17 + 5)), 0))
  )
)</f>
        <v>957.454321371427</v>
      </c>
      <c r="AA17" s="80" t="n">
        <f aca="false" t="array" ref="AA17:AA17">IF(COLUMN() - ($E17 + 5) &lt; 0, 0,
  IF(COLUMN() - ($E17 + 5) = 0, $F17,
    Z17 * (1 - IFERROR(INDEX('Inputs &amp; Assuptions'!$D$13:$D$72, COLUMN() - ($E17 + 5)), 0))
  )
)</f>
        <v>956.68835791433</v>
      </c>
      <c r="AB17" s="80" t="n">
        <f aca="false" t="array" ref="AB17:AB17">IF(COLUMN() - ($E17 + 5) &lt; 0, 0,
  IF(COLUMN() - ($E17 + 5) = 0, $F17,
    AA17 * (1 - IFERROR(INDEX('Inputs &amp; Assuptions'!$D$13:$D$72, COLUMN() - ($E17 + 5)), 0))
  )
)</f>
        <v>956.210013735373</v>
      </c>
      <c r="AC17" s="80" t="n">
        <f aca="false" t="array" ref="AC17:AC17">IF(COLUMN() - ($E17 + 5) &lt; 0, 0,
  IF(COLUMN() - ($E17 + 5) = 0, $F17,
    AB17 * (1 - IFERROR(INDEX('Inputs &amp; Assuptions'!$D$13:$D$72, COLUMN() - ($E17 + 5)), 0))
  )
)</f>
        <v>955.731908728505</v>
      </c>
      <c r="AD17" s="80" t="n">
        <f aca="false" t="array" ref="AD17:AD17">IF(COLUMN() - ($E17 + 5) &lt; 0, 0,
  IF(COLUMN() - ($E17 + 5) = 0, $F17,
    AC17 * (1 - IFERROR(INDEX('Inputs &amp; Assuptions'!$D$13:$D$72, COLUMN() - ($E17 + 5)), 0))
  )
)</f>
        <v>955.254042774141</v>
      </c>
      <c r="AE17" s="80" t="n">
        <f aca="false" t="array" ref="AE17:AE17">IF(COLUMN() - ($E17 + 5) &lt; 0, 0,
  IF(COLUMN() - ($E17 + 5) = 0, $F17,
    AD17 * (1 - IFERROR(INDEX('Inputs &amp; Assuptions'!$D$13:$D$72, COLUMN() - ($E17 + 5)), 0))
  )
)</f>
        <v>954.776415752754</v>
      </c>
      <c r="AF17" s="80" t="n">
        <f aca="false" t="array" ref="AF17:AF17">IF(COLUMN() - ($E17 + 5) &lt; 0, 0,
  IF(COLUMN() - ($E17 + 5) = 0, $F17,
    AE17 * (1 - IFERROR(INDEX('Inputs &amp; Assuptions'!$D$13:$D$72, COLUMN() - ($E17 + 5)), 0))
  )
)</f>
        <v>954.299027544877</v>
      </c>
      <c r="AG17" s="80" t="n">
        <f aca="false" t="array" ref="AG17:AG17">IF(COLUMN() - ($E17 + 5) &lt; 0, 0,
  IF(COLUMN() - ($E17 + 5) = 0, $F17,
    AF17 * (1 - IFERROR(INDEX('Inputs &amp; Assuptions'!$D$13:$D$72, COLUMN() - ($E17 + 5)), 0))
  )
)</f>
        <v>953.821878031105</v>
      </c>
      <c r="AH17" s="80" t="n">
        <f aca="false" t="array" ref="AH17:AH17">IF(COLUMN() - ($E17 + 5) &lt; 0, 0,
  IF(COLUMN() - ($E17 + 5) = 0, $F17,
    AG17 * (1 - IFERROR(INDEX('Inputs &amp; Assuptions'!$D$13:$D$72, COLUMN() - ($E17 + 5)), 0))
  )
)</f>
        <v>953.34496709209</v>
      </c>
      <c r="AI17" s="80" t="n">
        <f aca="false" t="array" ref="AI17:AI17">IF(COLUMN() - ($E17 + 5) &lt; 0, 0,
  IF(COLUMN() - ($E17 + 5) = 0, $F17,
    AH17 * (1 - IFERROR(INDEX('Inputs &amp; Assuptions'!$D$13:$D$72, COLUMN() - ($E17 + 5)), 0))
  )
)</f>
        <v>952.868294608544</v>
      </c>
      <c r="AJ17" s="80" t="n">
        <f aca="false" t="array" ref="AJ17:AJ17">IF(COLUMN() - ($E17 + 5) &lt; 0, 0,
  IF(COLUMN() - ($E17 + 5) = 0, $F17,
    AI17 * (1 - IFERROR(INDEX('Inputs &amp; Assuptions'!$D$13:$D$72, COLUMN() - ($E17 + 5)), 0))
  )
)</f>
        <v>952.391860461239</v>
      </c>
      <c r="AK17" s="80" t="n">
        <f aca="false" t="array" ref="AK17:AK17">IF(COLUMN() - ($E17 + 5) &lt; 0, 0,
  IF(COLUMN() - ($E17 + 5) = 0, $F17,
    AJ17 * (1 - IFERROR(INDEX('Inputs &amp; Assuptions'!$D$13:$D$72, COLUMN() - ($E17 + 5)), 0))
  )
)</f>
        <v>951.915664531009</v>
      </c>
      <c r="AL17" s="80" t="n">
        <f aca="false" t="array" ref="AL17:AL17">IF(COLUMN() - ($E17 + 5) &lt; 0, 0,
  IF(COLUMN() - ($E17 + 5) = 0, $F17,
    AK17 * (1 - IFERROR(INDEX('Inputs &amp; Assuptions'!$D$13:$D$72, COLUMN() - ($E17 + 5)), 0))
  )
)</f>
        <v>951.439706698743</v>
      </c>
      <c r="AM17" s="80" t="n">
        <f aca="false" t="array" ref="AM17:AM17">IF(COLUMN() - ($E17 + 5) &lt; 0, 0,
  IF(COLUMN() - ($E17 + 5) = 0, $F17,
    AL17 * (1 - IFERROR(INDEX('Inputs &amp; Assuptions'!$D$13:$D$72, COLUMN() - ($E17 + 5)), 0))
  )
)</f>
        <v>950.963986845394</v>
      </c>
      <c r="AN17" s="80" t="n">
        <f aca="false" t="array" ref="AN17:AN17">IF(COLUMN() - ($E17 + 5) &lt; 0, 0,
  IF(COLUMN() - ($E17 + 5) = 0, $F17,
    AM17 * (1 - IFERROR(INDEX('Inputs &amp; Assuptions'!$D$13:$D$72, COLUMN() - ($E17 + 5)), 0))
  )
)</f>
        <v>950.488504851972</v>
      </c>
      <c r="AO17" s="80" t="n">
        <f aca="false" t="array" ref="AO17:AO17">IF(COLUMN() - ($E17 + 5) &lt; 0, 0,
  IF(COLUMN() - ($E17 + 5) = 0, $F17,
    AN17 * (1 - IFERROR(INDEX('Inputs &amp; Assuptions'!$D$13:$D$72, COLUMN() - ($E17 + 5)), 0))
  )
)</f>
        <v>950.013260599546</v>
      </c>
      <c r="AP17" s="80" t="n">
        <f aca="false" t="array" ref="AP17:AP17">IF(COLUMN() - ($E17 + 5) &lt; 0, 0,
  IF(COLUMN() - ($E17 + 5) = 0, $F17,
    AO17 * (1 - IFERROR(INDEX('Inputs &amp; Assuptions'!$D$13:$D$72, COLUMN() - ($E17 + 5)), 0))
  )
)</f>
        <v>949.538253969246</v>
      </c>
      <c r="AQ17" s="80" t="n">
        <f aca="false" t="array" ref="AQ17:AQ17">IF(COLUMN() - ($E17 + 5) &lt; 0, 0,
  IF(COLUMN() - ($E17 + 5) = 0, $F17,
    AP17 * (1 - IFERROR(INDEX('Inputs &amp; Assuptions'!$D$13:$D$72, COLUMN() - ($E17 + 5)), 0))
  )
)</f>
        <v>949.063484842261</v>
      </c>
      <c r="AR17" s="80" t="n">
        <f aca="false" t="array" ref="AR17:AR17">IF(COLUMN() - ($E17 + 5) &lt; 0, 0,
  IF(COLUMN() - ($E17 + 5) = 0, $F17,
    AQ17 * (1 - IFERROR(INDEX('Inputs &amp; Assuptions'!$D$13:$D$72, COLUMN() - ($E17 + 5)), 0))
  )
)</f>
        <v>948.58895309984</v>
      </c>
      <c r="AS17" s="80" t="n">
        <f aca="false" t="array" ref="AS17:AS17">IF(COLUMN() - ($E17 + 5) &lt; 0, 0,
  IF(COLUMN() - ($E17 + 5) = 0, $F17,
    AR17 * (1 - IFERROR(INDEX('Inputs &amp; Assuptions'!$D$13:$D$72, COLUMN() - ($E17 + 5)), 0))
  )
)</f>
        <v>948.11465862329</v>
      </c>
      <c r="AT17" s="80" t="n">
        <f aca="false" t="array" ref="AT17:AT17">IF(COLUMN() - ($E17 + 5) &lt; 0, 0,
  IF(COLUMN() - ($E17 + 5) = 0, $F17,
    AS17 * (1 - IFERROR(INDEX('Inputs &amp; Assuptions'!$D$13:$D$72, COLUMN() - ($E17 + 5)), 0))
  )
)</f>
        <v>947.640601293979</v>
      </c>
      <c r="AU17" s="80" t="n">
        <f aca="false" t="array" ref="AU17:AU17">IF(COLUMN() - ($E17 + 5) &lt; 0, 0,
  IF(COLUMN() - ($E17 + 5) = 0, $F17,
    AT17 * (1 - IFERROR(INDEX('Inputs &amp; Assuptions'!$D$13:$D$72, COLUMN() - ($E17 + 5)), 0))
  )
)</f>
        <v>947.166780993332</v>
      </c>
      <c r="AV17" s="80" t="n">
        <f aca="false" t="array" ref="AV17:AV17">IF(COLUMN() - ($E17 + 5) &lt; 0, 0,
  IF(COLUMN() - ($E17 + 5) = 0, $F17,
    AU17 * (1 - IFERROR(INDEX('Inputs &amp; Assuptions'!$D$13:$D$72, COLUMN() - ($E17 + 5)), 0))
  )
)</f>
        <v>946.693197602835</v>
      </c>
      <c r="AW17" s="80" t="n">
        <f aca="false" t="array" ref="AW17:AW17">IF(COLUMN() - ($E17 + 5) &lt; 0, 0,
  IF(COLUMN() - ($E17 + 5) = 0, $F17,
    AV17 * (1 - IFERROR(INDEX('Inputs &amp; Assuptions'!$D$13:$D$72, COLUMN() - ($E17 + 5)), 0))
  )
)</f>
        <v>946.219851004034</v>
      </c>
      <c r="AX17" s="80" t="n">
        <f aca="false" t="array" ref="AX17:AX17">IF(COLUMN() - ($E17 + 5) &lt; 0, 0,
  IF(COLUMN() - ($E17 + 5) = 0, $F17,
    AW17 * (1 - IFERROR(INDEX('Inputs &amp; Assuptions'!$D$13:$D$72, COLUMN() - ($E17 + 5)), 0))
  )
)</f>
        <v>945.746741078532</v>
      </c>
      <c r="AY17" s="80" t="n">
        <f aca="false" t="array" ref="AY17:AY17">IF(COLUMN() - ($E17 + 5) &lt; 0, 0,
  IF(COLUMN() - ($E17 + 5) = 0, $F17,
    AX17 * (1 - IFERROR(INDEX('Inputs &amp; Assuptions'!$D$13:$D$72, COLUMN() - ($E17 + 5)), 0))
  )
)</f>
        <v>945.273867707993</v>
      </c>
      <c r="AZ17" s="80" t="n">
        <f aca="false" t="array" ref="AZ17:AZ17">IF(COLUMN() - ($E17 + 5) &lt; 0, 0,
  IF(COLUMN() - ($E17 + 5) = 0, $F17,
    AY17 * (1 - IFERROR(INDEX('Inputs &amp; Assuptions'!$D$13:$D$72, COLUMN() - ($E17 + 5)), 0))
  )
)</f>
        <v>944.801230774139</v>
      </c>
      <c r="BA17" s="80" t="n">
        <f aca="false" t="array" ref="BA17:BA17">IF(COLUMN() - ($E17 + 5) &lt; 0, 0,
  IF(COLUMN() - ($E17 + 5) = 0, $F17,
    AZ17 * (1 - IFERROR(INDEX('Inputs &amp; Assuptions'!$D$13:$D$72, COLUMN() - ($E17 + 5)), 0))
  )
)</f>
        <v>944.328830158752</v>
      </c>
      <c r="BB17" s="80" t="n">
        <f aca="false" t="array" ref="BB17:BB17">IF(COLUMN() - ($E17 + 5) &lt; 0, 0,
  IF(COLUMN() - ($E17 + 5) = 0, $F17,
    BA17 * (1 - IFERROR(INDEX('Inputs &amp; Assuptions'!$D$13:$D$72, COLUMN() - ($E17 + 5)), 0))
  )
)</f>
        <v>943.856665743672</v>
      </c>
      <c r="BC17" s="80" t="n">
        <f aca="false" t="array" ref="BC17:BC17">IF(COLUMN() - ($E17 + 5) &lt; 0, 0,
  IF(COLUMN() - ($E17 + 5) = 0, $F17,
    BB17 * (1 - IFERROR(INDEX('Inputs &amp; Assuptions'!$D$13:$D$72, COLUMN() - ($E17 + 5)), 0))
  )
)</f>
        <v>943.384737410801</v>
      </c>
      <c r="BD17" s="80" t="n">
        <f aca="false" t="array" ref="BD17:BD17">IF(COLUMN() - ($E17 + 5) &lt; 0, 0,
  IF(COLUMN() - ($E17 + 5) = 0, $F17,
    BC17 * (1 - IFERROR(INDEX('Inputs &amp; Assuptions'!$D$13:$D$72, COLUMN() - ($E17 + 5)), 0))
  )
)</f>
        <v>942.913045042095</v>
      </c>
      <c r="BE17" s="80" t="n">
        <f aca="false" t="array" ref="BE17:BE17">IF(COLUMN() - ($E17 + 5) &lt; 0, 0,
  IF(COLUMN() - ($E17 + 5) = 0, $F17,
    BD17 * (1 - IFERROR(INDEX('Inputs &amp; Assuptions'!$D$13:$D$72, COLUMN() - ($E17 + 5)), 0))
  )
)</f>
        <v>942.441588519574</v>
      </c>
      <c r="BF17" s="80" t="n">
        <f aca="false" t="array" ref="BF17:BF17">IF(COLUMN() - ($E17 + 5) &lt; 0, 0,
  IF(COLUMN() - ($E17 + 5) = 0, $F17,
    BE17 * (1 - IFERROR(INDEX('Inputs &amp; Assuptions'!$D$13:$D$72, COLUMN() - ($E17 + 5)), 0))
  )
)</f>
        <v>941.970367725315</v>
      </c>
      <c r="BG17" s="80" t="n">
        <f aca="false" t="array" ref="BG17:BG17">IF(COLUMN() - ($E17 + 5) &lt; 0, 0,
  IF(COLUMN() - ($E17 + 5) = 0, $F17,
    BF17 * (1 - IFERROR(INDEX('Inputs &amp; Assuptions'!$D$13:$D$72, COLUMN() - ($E17 + 5)), 0))
  )
)</f>
        <v>941.499382541452</v>
      </c>
      <c r="BH17" s="80" t="n">
        <f aca="false" t="array" ref="BH17:BH17">IF(COLUMN() - ($E17 + 5) &lt; 0, 0,
  IF(COLUMN() - ($E17 + 5) = 0, $F17,
    BG17 * (1 - IFERROR(INDEX('Inputs &amp; Assuptions'!$D$13:$D$72, COLUMN() - ($E17 + 5)), 0))
  )
)</f>
        <v>941.028632850181</v>
      </c>
      <c r="BI17" s="80" t="n">
        <f aca="false" t="array" ref="BI17:BI17">IF(COLUMN() - ($E17 + 5) &lt; 0, 0,
  IF(COLUMN() - ($E17 + 5) = 0, $F17,
    BH17 * (1 - IFERROR(INDEX('Inputs &amp; Assuptions'!$D$13:$D$72, COLUMN() - ($E17 + 5)), 0))
  )
)</f>
        <v>940.558118533756</v>
      </c>
      <c r="BJ17" s="80" t="n">
        <f aca="false" t="array" ref="BJ17:BJ17">IF(COLUMN() - ($E17 + 5) &lt; 0, 0,
  IF(COLUMN() - ($E17 + 5) = 0, $F17,
    BI17 * (1 - IFERROR(INDEX('Inputs &amp; Assuptions'!$D$13:$D$72, COLUMN() - ($E17 + 5)), 0))
  )
)</f>
        <v>940.087839474489</v>
      </c>
      <c r="BK17" s="80" t="n">
        <f aca="false" t="array" ref="BK17:BK17">IF(COLUMN() - ($E17 + 5) &lt; 0, 0,
  IF(COLUMN() - ($E17 + 5) = 0, $F17,
    BJ17 * (1 - IFERROR(INDEX('Inputs &amp; Assuptions'!$D$13:$D$72, COLUMN() - ($E17 + 5)), 0))
  )
)</f>
        <v>939.617795554752</v>
      </c>
      <c r="BL17" s="80" t="n">
        <f aca="false" t="array" ref="BL17:BL17">IF(COLUMN() - ($E17 + 5) &lt; 0, 0,
  IF(COLUMN() - ($E17 + 5) = 0, $F17,
    BK17 * (1 - IFERROR(INDEX('Inputs &amp; Assuptions'!$D$13:$D$72, COLUMN() - ($E17 + 5)), 0))
  )
)</f>
        <v>939.147986656975</v>
      </c>
      <c r="BM17" s="81" t="n">
        <f aca="false" t="array" ref="BM17:BM17">IF(COLUMN() - ($E17 + 5) &lt; 0, 0,
  IF(COLUMN() - ($E17 + 5) = 0, $F17,
    BL17 * (1 - IFERROR(INDEX('Inputs &amp; Assuptions'!$D$13:$D$72, COLUMN() - ($E17 + 5)), 0))
  )
)</f>
        <v>938.678412663646</v>
      </c>
      <c r="BN17" s="76"/>
    </row>
    <row r="18" customFormat="false" ht="14.25" hidden="false" customHeight="false" outlineLevel="0" collapsed="false">
      <c r="A18" s="29" t="n">
        <f aca="false">A17+1</f>
        <v>13</v>
      </c>
      <c r="B18" s="77" t="n">
        <f aca="false">IF(MOD($A18-1, 12) = 0, $B17 * 1.05, $B17)</f>
        <v>1050</v>
      </c>
      <c r="C18" s="93" t="n">
        <f aca="false">$B18*(1-'Inputs &amp; Assuptions'!$D$12)</f>
        <v>1026.9</v>
      </c>
      <c r="E18" s="29" t="n">
        <f aca="false">E17+1</f>
        <v>13</v>
      </c>
      <c r="F18" s="79"/>
      <c r="G18" s="80"/>
      <c r="H18" s="80"/>
      <c r="I18" s="90"/>
      <c r="J18" s="80"/>
      <c r="K18" s="80"/>
      <c r="L18" s="80"/>
      <c r="M18" s="80"/>
      <c r="N18" s="80"/>
      <c r="O18" s="80"/>
      <c r="P18" s="80"/>
      <c r="Q18" s="80"/>
      <c r="R18" s="80" t="n">
        <f aca="false">$C18</f>
        <v>1026.9</v>
      </c>
      <c r="S18" s="80" t="n">
        <f aca="false" t="array" ref="S18:S18">IF(COLUMN() - ($E18 + 5) &lt; 0, 0,
  IF(COLUMN() - ($E18 + 5) = 0, $F18,
    R18 * (1 - IFERROR(INDEX('Inputs &amp; Assuptions'!$D$13:$D$72, COLUMN() - ($E18 + 5)), 0))
  )
)</f>
        <v>1021.7655</v>
      </c>
      <c r="T18" s="80" t="n">
        <f aca="false" t="array" ref="T18:T18">IF(COLUMN() - ($E18 + 5) &lt; 0, 0,
  IF(COLUMN() - ($E18 + 5) = 0, $F18,
    S18 * (1 - IFERROR(INDEX('Inputs &amp; Assuptions'!$D$13:$D$72, COLUMN() - ($E18 + 5)), 0))
  )
)</f>
        <v>1017.8827911</v>
      </c>
      <c r="U18" s="80" t="n">
        <f aca="false" t="array" ref="U18:U18">IF(COLUMN() - ($E18 + 5) &lt; 0, 0,
  IF(COLUMN() - ($E18 + 5) = 0, $F18,
    T18 * (1 - IFERROR(INDEX('Inputs &amp; Assuptions'!$D$13:$D$72, COLUMN() - ($E18 + 5)), 0))
  )
)</f>
        <v>1015.33808412225</v>
      </c>
      <c r="V18" s="80" t="n">
        <f aca="false" t="array" ref="V18:V18">IF(COLUMN() - ($E18 + 5) &lt; 0, 0,
  IF(COLUMN() - ($E18 + 5) = 0, $F18,
    U18 * (1 - IFERROR(INDEX('Inputs &amp; Assuptions'!$D$13:$D$72, COLUMN() - ($E18 + 5)), 0))
  )
)</f>
        <v>1013.00280652877</v>
      </c>
      <c r="W18" s="80" t="n">
        <f aca="false" t="array" ref="W18:W18">IF(COLUMN() - ($E18 + 5) &lt; 0, 0,
  IF(COLUMN() - ($E18 + 5) = 0, $F18,
    V18 * (1 - IFERROR(INDEX('Inputs &amp; Assuptions'!$D$13:$D$72, COLUMN() - ($E18 + 5)), 0))
  )
)</f>
        <v>1010.97680091571</v>
      </c>
      <c r="X18" s="80" t="n">
        <f aca="false" t="array" ref="X18:X18">IF(COLUMN() - ($E18 + 5) &lt; 0, 0,
  IF(COLUMN() - ($E18 + 5) = 0, $F18,
    W18 * (1 - IFERROR(INDEX('Inputs &amp; Assuptions'!$D$13:$D$72, COLUMN() - ($E18 + 5)), 0))
  )
)</f>
        <v>1009.15704267406</v>
      </c>
      <c r="Y18" s="80" t="n">
        <f aca="false" t="array" ref="Y18:Y18">IF(COLUMN() - ($E18 + 5) &lt; 0, 0,
  IF(COLUMN() - ($E18 + 5) = 0, $F18,
    X18 * (1 - IFERROR(INDEX('Inputs &amp; Assuptions'!$D$13:$D$72, COLUMN() - ($E18 + 5)), 0))
  )
)</f>
        <v>1007.64330711005</v>
      </c>
      <c r="Z18" s="80" t="n">
        <f aca="false" t="array" ref="Z18:Z18">IF(COLUMN() - ($E18 + 5) &lt; 0, 0,
  IF(COLUMN() - ($E18 + 5) = 0, $F18,
    Y18 * (1 - IFERROR(INDEX('Inputs &amp; Assuptions'!$D$13:$D$72, COLUMN() - ($E18 + 5)), 0))
  )
)</f>
        <v>1006.33337081081</v>
      </c>
      <c r="AA18" s="80" t="n">
        <f aca="false" t="array" ref="AA18:AA18">IF(COLUMN() - ($E18 + 5) &lt; 0, 0,
  IF(COLUMN() - ($E18 + 5) = 0, $F18,
    Z18 * (1 - IFERROR(INDEX('Inputs &amp; Assuptions'!$D$13:$D$72, COLUMN() - ($E18 + 5)), 0))
  )
)</f>
        <v>1005.32703744</v>
      </c>
      <c r="AB18" s="80" t="n">
        <f aca="false" t="array" ref="AB18:AB18">IF(COLUMN() - ($E18 + 5) &lt; 0, 0,
  IF(COLUMN() - ($E18 + 5) = 0, $F18,
    AA18 * (1 - IFERROR(INDEX('Inputs &amp; Assuptions'!$D$13:$D$72, COLUMN() - ($E18 + 5)), 0))
  )
)</f>
        <v>1004.52277581005</v>
      </c>
      <c r="AC18" s="80" t="n">
        <f aca="false" t="array" ref="AC18:AC18">IF(COLUMN() - ($E18 + 5) &lt; 0, 0,
  IF(COLUMN() - ($E18 + 5) = 0, $F18,
    AB18 * (1 - IFERROR(INDEX('Inputs &amp; Assuptions'!$D$13:$D$72, COLUMN() - ($E18 + 5)), 0))
  )
)</f>
        <v>1004.02051442214</v>
      </c>
      <c r="AD18" s="80" t="n">
        <f aca="false" t="array" ref="AD18:AD18">IF(COLUMN() - ($E18 + 5) &lt; 0, 0,
  IF(COLUMN() - ($E18 + 5) = 0, $F18,
    AC18 * (1 - IFERROR(INDEX('Inputs &amp; Assuptions'!$D$13:$D$72, COLUMN() - ($E18 + 5)), 0))
  )
)</f>
        <v>1003.51850416493</v>
      </c>
      <c r="AE18" s="80" t="n">
        <f aca="false" t="array" ref="AE18:AE18">IF(COLUMN() - ($E18 + 5) &lt; 0, 0,
  IF(COLUMN() - ($E18 + 5) = 0, $F18,
    AD18 * (1 - IFERROR(INDEX('Inputs &amp; Assuptions'!$D$13:$D$72, COLUMN() - ($E18 + 5)), 0))
  )
)</f>
        <v>1003.01674491285</v>
      </c>
      <c r="AF18" s="80" t="n">
        <f aca="false" t="array" ref="AF18:AF18">IF(COLUMN() - ($E18 + 5) &lt; 0, 0,
  IF(COLUMN() - ($E18 + 5) = 0, $F18,
    AE18 * (1 - IFERROR(INDEX('Inputs &amp; Assuptions'!$D$13:$D$72, COLUMN() - ($E18 + 5)), 0))
  )
)</f>
        <v>1002.51523654039</v>
      </c>
      <c r="AG18" s="80" t="n">
        <f aca="false" t="array" ref="AG18:AG18">IF(COLUMN() - ($E18 + 5) &lt; 0, 0,
  IF(COLUMN() - ($E18 + 5) = 0, $F18,
    AF18 * (1 - IFERROR(INDEX('Inputs &amp; Assuptions'!$D$13:$D$72, COLUMN() - ($E18 + 5)), 0))
  )
)</f>
        <v>1002.01397892212</v>
      </c>
      <c r="AH18" s="80" t="n">
        <f aca="false" t="array" ref="AH18:AH18">IF(COLUMN() - ($E18 + 5) &lt; 0, 0,
  IF(COLUMN() - ($E18 + 5) = 0, $F18,
    AG18 * (1 - IFERROR(INDEX('Inputs &amp; Assuptions'!$D$13:$D$72, COLUMN() - ($E18 + 5)), 0))
  )
)</f>
        <v>1001.51297193266</v>
      </c>
      <c r="AI18" s="80" t="n">
        <f aca="false" t="array" ref="AI18:AI18">IF(COLUMN() - ($E18 + 5) &lt; 0, 0,
  IF(COLUMN() - ($E18 + 5) = 0, $F18,
    AH18 * (1 - IFERROR(INDEX('Inputs &amp; Assuptions'!$D$13:$D$72, COLUMN() - ($E18 + 5)), 0))
  )
)</f>
        <v>1001.01221544669</v>
      </c>
      <c r="AJ18" s="80" t="n">
        <f aca="false" t="array" ref="AJ18:AJ18">IF(COLUMN() - ($E18 + 5) &lt; 0, 0,
  IF(COLUMN() - ($E18 + 5) = 0, $F18,
    AI18 * (1 - IFERROR(INDEX('Inputs &amp; Assuptions'!$D$13:$D$72, COLUMN() - ($E18 + 5)), 0))
  )
)</f>
        <v>1000.51170933897</v>
      </c>
      <c r="AK18" s="80" t="n">
        <f aca="false" t="array" ref="AK18:AK18">IF(COLUMN() - ($E18 + 5) &lt; 0, 0,
  IF(COLUMN() - ($E18 + 5) = 0, $F18,
    AJ18 * (1 - IFERROR(INDEX('Inputs &amp; Assuptions'!$D$13:$D$72, COLUMN() - ($E18 + 5)), 0))
  )
)</f>
        <v>1000.0114534843</v>
      </c>
      <c r="AL18" s="80" t="n">
        <f aca="false" t="array" ref="AL18:AL18">IF(COLUMN() - ($E18 + 5) &lt; 0, 0,
  IF(COLUMN() - ($E18 + 5) = 0, $F18,
    AK18 * (1 - IFERROR(INDEX('Inputs &amp; Assuptions'!$D$13:$D$72, COLUMN() - ($E18 + 5)), 0))
  )
)</f>
        <v>999.511447757559</v>
      </c>
      <c r="AM18" s="80" t="n">
        <f aca="false" t="array" ref="AM18:AM18">IF(COLUMN() - ($E18 + 5) &lt; 0, 0,
  IF(COLUMN() - ($E18 + 5) = 0, $F18,
    AL18 * (1 - IFERROR(INDEX('Inputs &amp; Assuptions'!$D$13:$D$72, COLUMN() - ($E18 + 5)), 0))
  )
)</f>
        <v>999.011692033681</v>
      </c>
      <c r="AN18" s="80" t="n">
        <f aca="false" t="array" ref="AN18:AN18">IF(COLUMN() - ($E18 + 5) &lt; 0, 0,
  IF(COLUMN() - ($E18 + 5) = 0, $F18,
    AM18 * (1 - IFERROR(INDEX('Inputs &amp; Assuptions'!$D$13:$D$72, COLUMN() - ($E18 + 5)), 0))
  )
)</f>
        <v>998.512186187664</v>
      </c>
      <c r="AO18" s="80" t="n">
        <f aca="false" t="array" ref="AO18:AO18">IF(COLUMN() - ($E18 + 5) &lt; 0, 0,
  IF(COLUMN() - ($E18 + 5) = 0, $F18,
    AN18 * (1 - IFERROR(INDEX('Inputs &amp; Assuptions'!$D$13:$D$72, COLUMN() - ($E18 + 5)), 0))
  )
)</f>
        <v>998.01293009457</v>
      </c>
      <c r="AP18" s="80" t="n">
        <f aca="false" t="array" ref="AP18:AP18">IF(COLUMN() - ($E18 + 5) &lt; 0, 0,
  IF(COLUMN() - ($E18 + 5) = 0, $F18,
    AO18 * (1 - IFERROR(INDEX('Inputs &amp; Assuptions'!$D$13:$D$72, COLUMN() - ($E18 + 5)), 0))
  )
)</f>
        <v>997.513923629523</v>
      </c>
      <c r="AQ18" s="80" t="n">
        <f aca="false" t="array" ref="AQ18:AQ18">IF(COLUMN() - ($E18 + 5) &lt; 0, 0,
  IF(COLUMN() - ($E18 + 5) = 0, $F18,
    AP18 * (1 - IFERROR(INDEX('Inputs &amp; Assuptions'!$D$13:$D$72, COLUMN() - ($E18 + 5)), 0))
  )
)</f>
        <v>997.015166667708</v>
      </c>
      <c r="AR18" s="80" t="n">
        <f aca="false" t="array" ref="AR18:AR18">IF(COLUMN() - ($E18 + 5) &lt; 0, 0,
  IF(COLUMN() - ($E18 + 5) = 0, $F18,
    AQ18 * (1 - IFERROR(INDEX('Inputs &amp; Assuptions'!$D$13:$D$72, COLUMN() - ($E18 + 5)), 0))
  )
)</f>
        <v>996.516659084374</v>
      </c>
      <c r="AS18" s="80" t="n">
        <f aca="false" t="array" ref="AS18:AS18">IF(COLUMN() - ($E18 + 5) &lt; 0, 0,
  IF(COLUMN() - ($E18 + 5) = 0, $F18,
    AR18 * (1 - IFERROR(INDEX('Inputs &amp; Assuptions'!$D$13:$D$72, COLUMN() - ($E18 + 5)), 0))
  )
)</f>
        <v>996.018400754832</v>
      </c>
      <c r="AT18" s="80" t="n">
        <f aca="false" t="array" ref="AT18:AT18">IF(COLUMN() - ($E18 + 5) &lt; 0, 0,
  IF(COLUMN() - ($E18 + 5) = 0, $F18,
    AS18 * (1 - IFERROR(INDEX('Inputs &amp; Assuptions'!$D$13:$D$72, COLUMN() - ($E18 + 5)), 0))
  )
)</f>
        <v>995.520391554455</v>
      </c>
      <c r="AU18" s="80" t="n">
        <f aca="false" t="array" ref="AU18:AU18">IF(COLUMN() - ($E18 + 5) &lt; 0, 0,
  IF(COLUMN() - ($E18 + 5) = 0, $F18,
    AT18 * (1 - IFERROR(INDEX('Inputs &amp; Assuptions'!$D$13:$D$72, COLUMN() - ($E18 + 5)), 0))
  )
)</f>
        <v>995.022631358678</v>
      </c>
      <c r="AV18" s="80" t="n">
        <f aca="false" t="array" ref="AV18:AV18">IF(COLUMN() - ($E18 + 5) &lt; 0, 0,
  IF(COLUMN() - ($E18 + 5) = 0, $F18,
    AU18 * (1 - IFERROR(INDEX('Inputs &amp; Assuptions'!$D$13:$D$72, COLUMN() - ($E18 + 5)), 0))
  )
)</f>
        <v>994.525120042998</v>
      </c>
      <c r="AW18" s="80" t="n">
        <f aca="false" t="array" ref="AW18:AW18">IF(COLUMN() - ($E18 + 5) &lt; 0, 0,
  IF(COLUMN() - ($E18 + 5) = 0, $F18,
    AV18 * (1 - IFERROR(INDEX('Inputs &amp; Assuptions'!$D$13:$D$72, COLUMN() - ($E18 + 5)), 0))
  )
)</f>
        <v>994.027857482977</v>
      </c>
      <c r="AX18" s="80" t="n">
        <f aca="false" t="array" ref="AX18:AX18">IF(COLUMN() - ($E18 + 5) &lt; 0, 0,
  IF(COLUMN() - ($E18 + 5) = 0, $F18,
    AW18 * (1 - IFERROR(INDEX('Inputs &amp; Assuptions'!$D$13:$D$72, COLUMN() - ($E18 + 5)), 0))
  )
)</f>
        <v>993.530843554236</v>
      </c>
      <c r="AY18" s="80" t="n">
        <f aca="false" t="array" ref="AY18:AY18">IF(COLUMN() - ($E18 + 5) &lt; 0, 0,
  IF(COLUMN() - ($E18 + 5) = 0, $F18,
    AX18 * (1 - IFERROR(INDEX('Inputs &amp; Assuptions'!$D$13:$D$72, COLUMN() - ($E18 + 5)), 0))
  )
)</f>
        <v>993.034078132459</v>
      </c>
      <c r="AZ18" s="80" t="n">
        <f aca="false" t="array" ref="AZ18:AZ18">IF(COLUMN() - ($E18 + 5) &lt; 0, 0,
  IF(COLUMN() - ($E18 + 5) = 0, $F18,
    AY18 * (1 - IFERROR(INDEX('Inputs &amp; Assuptions'!$D$13:$D$72, COLUMN() - ($E18 + 5)), 0))
  )
)</f>
        <v>992.537561093392</v>
      </c>
      <c r="BA18" s="80" t="n">
        <f aca="false" t="array" ref="BA18:BA18">IF(COLUMN() - ($E18 + 5) &lt; 0, 0,
  IF(COLUMN() - ($E18 + 5) = 0, $F18,
    AZ18 * (1 - IFERROR(INDEX('Inputs &amp; Assuptions'!$D$13:$D$72, COLUMN() - ($E18 + 5)), 0))
  )
)</f>
        <v>992.041292312846</v>
      </c>
      <c r="BB18" s="80" t="n">
        <f aca="false" t="array" ref="BB18:BB18">IF(COLUMN() - ($E18 + 5) &lt; 0, 0,
  IF(COLUMN() - ($E18 + 5) = 0, $F18,
    BA18 * (1 - IFERROR(INDEX('Inputs &amp; Assuptions'!$D$13:$D$72, COLUMN() - ($E18 + 5)), 0))
  )
)</f>
        <v>991.545271666689</v>
      </c>
      <c r="BC18" s="80" t="n">
        <f aca="false" t="array" ref="BC18:BC18">IF(COLUMN() - ($E18 + 5) &lt; 0, 0,
  IF(COLUMN() - ($E18 + 5) = 0, $F18,
    BB18 * (1 - IFERROR(INDEX('Inputs &amp; Assuptions'!$D$13:$D$72, COLUMN() - ($E18 + 5)), 0))
  )
)</f>
        <v>991.049499030856</v>
      </c>
      <c r="BD18" s="80" t="n">
        <f aca="false" t="array" ref="BD18:BD18">IF(COLUMN() - ($E18 + 5) &lt; 0, 0,
  IF(COLUMN() - ($E18 + 5) = 0, $F18,
    BC18 * (1 - IFERROR(INDEX('Inputs &amp; Assuptions'!$D$13:$D$72, COLUMN() - ($E18 + 5)), 0))
  )
)</f>
        <v>990.553974281341</v>
      </c>
      <c r="BE18" s="80" t="n">
        <f aca="false" t="array" ref="BE18:BE18">IF(COLUMN() - ($E18 + 5) &lt; 0, 0,
  IF(COLUMN() - ($E18 + 5) = 0, $F18,
    BD18 * (1 - IFERROR(INDEX('Inputs &amp; Assuptions'!$D$13:$D$72, COLUMN() - ($E18 + 5)), 0))
  )
)</f>
        <v>990.0586972942</v>
      </c>
      <c r="BF18" s="80" t="n">
        <f aca="false" t="array" ref="BF18:BF18">IF(COLUMN() - ($E18 + 5) &lt; 0, 0,
  IF(COLUMN() - ($E18 + 5) = 0, $F18,
    BE18 * (1 - IFERROR(INDEX('Inputs &amp; Assuptions'!$D$13:$D$72, COLUMN() - ($E18 + 5)), 0))
  )
)</f>
        <v>989.563667945553</v>
      </c>
      <c r="BG18" s="80" t="n">
        <f aca="false" t="array" ref="BG18:BG18">IF(COLUMN() - ($E18 + 5) &lt; 0, 0,
  IF(COLUMN() - ($E18 + 5) = 0, $F18,
    BF18 * (1 - IFERROR(INDEX('Inputs &amp; Assuptions'!$D$13:$D$72, COLUMN() - ($E18 + 5)), 0))
  )
)</f>
        <v>989.06888611158</v>
      </c>
      <c r="BH18" s="80" t="n">
        <f aca="false" t="array" ref="BH18:BH18">IF(COLUMN() - ($E18 + 5) &lt; 0, 0,
  IF(COLUMN() - ($E18 + 5) = 0, $F18,
    BG18 * (1 - IFERROR(INDEX('Inputs &amp; Assuptions'!$D$13:$D$72, COLUMN() - ($E18 + 5)), 0))
  )
)</f>
        <v>988.574351668525</v>
      </c>
      <c r="BI18" s="80" t="n">
        <f aca="false" t="array" ref="BI18:BI18">IF(COLUMN() - ($E18 + 5) &lt; 0, 0,
  IF(COLUMN() - ($E18 + 5) = 0, $F18,
    BH18 * (1 - IFERROR(INDEX('Inputs &amp; Assuptions'!$D$13:$D$72, COLUMN() - ($E18 + 5)), 0))
  )
)</f>
        <v>988.08006449269</v>
      </c>
      <c r="BJ18" s="80" t="n">
        <f aca="false" t="array" ref="BJ18:BJ18">IF(COLUMN() - ($E18 + 5) &lt; 0, 0,
  IF(COLUMN() - ($E18 + 5) = 0, $F18,
    BI18 * (1 - IFERROR(INDEX('Inputs &amp; Assuptions'!$D$13:$D$72, COLUMN() - ($E18 + 5)), 0))
  )
)</f>
        <v>987.586024460444</v>
      </c>
      <c r="BK18" s="80" t="n">
        <f aca="false" t="array" ref="BK18:BK18">IF(COLUMN() - ($E18 + 5) &lt; 0, 0,
  IF(COLUMN() - ($E18 + 5) = 0, $F18,
    BJ18 * (1 - IFERROR(INDEX('Inputs &amp; Assuptions'!$D$13:$D$72, COLUMN() - ($E18 + 5)), 0))
  )
)</f>
        <v>987.092231448214</v>
      </c>
      <c r="BL18" s="80" t="n">
        <f aca="false" t="array" ref="BL18:BL18">IF(COLUMN() - ($E18 + 5) &lt; 0, 0,
  IF(COLUMN() - ($E18 + 5) = 0, $F18,
    BK18 * (1 - IFERROR(INDEX('Inputs &amp; Assuptions'!$D$13:$D$72, COLUMN() - ($E18 + 5)), 0))
  )
)</f>
        <v>986.59868533249</v>
      </c>
      <c r="BM18" s="81" t="n">
        <f aca="false" t="array" ref="BM18:BM18">IF(COLUMN() - ($E18 + 5) &lt; 0, 0,
  IF(COLUMN() - ($E18 + 5) = 0, $F18,
    BL18 * (1 - IFERROR(INDEX('Inputs &amp; Assuptions'!$D$13:$D$72, COLUMN() - ($E18 + 5)), 0))
  )
)</f>
        <v>986.105385989824</v>
      </c>
      <c r="BN18" s="76"/>
    </row>
    <row r="19" customFormat="false" ht="14.25" hidden="false" customHeight="false" outlineLevel="0" collapsed="false">
      <c r="A19" s="29" t="n">
        <f aca="false">A18+1</f>
        <v>14</v>
      </c>
      <c r="B19" s="77" t="n">
        <f aca="false">IF(MOD($A19-1, 12) = 0, $B18 * 1.05, $B18)</f>
        <v>1050</v>
      </c>
      <c r="C19" s="93" t="n">
        <f aca="false">$B19*(1-'Inputs &amp; Assuptions'!$D$12)</f>
        <v>1026.9</v>
      </c>
      <c r="E19" s="29" t="n">
        <f aca="false">E18+1</f>
        <v>14</v>
      </c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 t="n">
        <f aca="false">$C19</f>
        <v>1026.9</v>
      </c>
      <c r="T19" s="80" t="n">
        <f aca="false" t="array" ref="T19:T19">IF(COLUMN() - ($E19 + 5) &lt; 0, 0,
  IF(COLUMN() - ($E19 + 5) = 0, $F19,
    S19 * (1 - IFERROR(INDEX('Inputs &amp; Assuptions'!$D$13:$D$72, COLUMN() - ($E19 + 5)), 0))
  )
)</f>
        <v>1021.7655</v>
      </c>
      <c r="U19" s="80" t="n">
        <f aca="false" t="array" ref="U19:U19">IF(COLUMN() - ($E19 + 5) &lt; 0, 0,
  IF(COLUMN() - ($E19 + 5) = 0, $F19,
    T19 * (1 - IFERROR(INDEX('Inputs &amp; Assuptions'!$D$13:$D$72, COLUMN() - ($E19 + 5)), 0))
  )
)</f>
        <v>1017.8827911</v>
      </c>
      <c r="V19" s="80" t="n">
        <f aca="false" t="array" ref="V19:V19">IF(COLUMN() - ($E19 + 5) &lt; 0, 0,
  IF(COLUMN() - ($E19 + 5) = 0, $F19,
    U19 * (1 - IFERROR(INDEX('Inputs &amp; Assuptions'!$D$13:$D$72, COLUMN() - ($E19 + 5)), 0))
  )
)</f>
        <v>1015.33808412225</v>
      </c>
      <c r="W19" s="80" t="n">
        <f aca="false" t="array" ref="W19:W19">IF(COLUMN() - ($E19 + 5) &lt; 0, 0,
  IF(COLUMN() - ($E19 + 5) = 0, $F19,
    V19 * (1 - IFERROR(INDEX('Inputs &amp; Assuptions'!$D$13:$D$72, COLUMN() - ($E19 + 5)), 0))
  )
)</f>
        <v>1013.00280652877</v>
      </c>
      <c r="X19" s="80" t="n">
        <f aca="false" t="array" ref="X19:X19">IF(COLUMN() - ($E19 + 5) &lt; 0, 0,
  IF(COLUMN() - ($E19 + 5) = 0, $F19,
    W19 * (1 - IFERROR(INDEX('Inputs &amp; Assuptions'!$D$13:$D$72, COLUMN() - ($E19 + 5)), 0))
  )
)</f>
        <v>1010.97680091571</v>
      </c>
      <c r="Y19" s="80" t="n">
        <f aca="false" t="array" ref="Y19:Y19">IF(COLUMN() - ($E19 + 5) &lt; 0, 0,
  IF(COLUMN() - ($E19 + 5) = 0, $F19,
    X19 * (1 - IFERROR(INDEX('Inputs &amp; Assuptions'!$D$13:$D$72, COLUMN() - ($E19 + 5)), 0))
  )
)</f>
        <v>1009.15704267406</v>
      </c>
      <c r="Z19" s="80" t="n">
        <f aca="false" t="array" ref="Z19:Z19">IF(COLUMN() - ($E19 + 5) &lt; 0, 0,
  IF(COLUMN() - ($E19 + 5) = 0, $F19,
    Y19 * (1 - IFERROR(INDEX('Inputs &amp; Assuptions'!$D$13:$D$72, COLUMN() - ($E19 + 5)), 0))
  )
)</f>
        <v>1007.64330711005</v>
      </c>
      <c r="AA19" s="80" t="n">
        <f aca="false" t="array" ref="AA19:AA19">IF(COLUMN() - ($E19 + 5) &lt; 0, 0,
  IF(COLUMN() - ($E19 + 5) = 0, $F19,
    Z19 * (1 - IFERROR(INDEX('Inputs &amp; Assuptions'!$D$13:$D$72, COLUMN() - ($E19 + 5)), 0))
  )
)</f>
        <v>1006.33337081081</v>
      </c>
      <c r="AB19" s="80" t="n">
        <f aca="false" t="array" ref="AB19:AB19">IF(COLUMN() - ($E19 + 5) &lt; 0, 0,
  IF(COLUMN() - ($E19 + 5) = 0, $F19,
    AA19 * (1 - IFERROR(INDEX('Inputs &amp; Assuptions'!$D$13:$D$72, COLUMN() - ($E19 + 5)), 0))
  )
)</f>
        <v>1005.32703744</v>
      </c>
      <c r="AC19" s="80" t="n">
        <f aca="false" t="array" ref="AC19:AC19">IF(COLUMN() - ($E19 + 5) &lt; 0, 0,
  IF(COLUMN() - ($E19 + 5) = 0, $F19,
    AB19 * (1 - IFERROR(INDEX('Inputs &amp; Assuptions'!$D$13:$D$72, COLUMN() - ($E19 + 5)), 0))
  )
)</f>
        <v>1004.52277581005</v>
      </c>
      <c r="AD19" s="80" t="n">
        <f aca="false" t="array" ref="AD19:AD19">IF(COLUMN() - ($E19 + 5) &lt; 0, 0,
  IF(COLUMN() - ($E19 + 5) = 0, $F19,
    AC19 * (1 - IFERROR(INDEX('Inputs &amp; Assuptions'!$D$13:$D$72, COLUMN() - ($E19 + 5)), 0))
  )
)</f>
        <v>1004.02051442214</v>
      </c>
      <c r="AE19" s="80" t="n">
        <f aca="false" t="array" ref="AE19:AE19">IF(COLUMN() - ($E19 + 5) &lt; 0, 0,
  IF(COLUMN() - ($E19 + 5) = 0, $F19,
    AD19 * (1 - IFERROR(INDEX('Inputs &amp; Assuptions'!$D$13:$D$72, COLUMN() - ($E19 + 5)), 0))
  )
)</f>
        <v>1003.51850416493</v>
      </c>
      <c r="AF19" s="80" t="n">
        <f aca="false" t="array" ref="AF19:AF19">IF(COLUMN() - ($E19 + 5) &lt; 0, 0,
  IF(COLUMN() - ($E19 + 5) = 0, $F19,
    AE19 * (1 - IFERROR(INDEX('Inputs &amp; Assuptions'!$D$13:$D$72, COLUMN() - ($E19 + 5)), 0))
  )
)</f>
        <v>1003.01674491285</v>
      </c>
      <c r="AG19" s="80" t="n">
        <f aca="false" t="array" ref="AG19:AG19">IF(COLUMN() - ($E19 + 5) &lt; 0, 0,
  IF(COLUMN() - ($E19 + 5) = 0, $F19,
    AF19 * (1 - IFERROR(INDEX('Inputs &amp; Assuptions'!$D$13:$D$72, COLUMN() - ($E19 + 5)), 0))
  )
)</f>
        <v>1002.51523654039</v>
      </c>
      <c r="AH19" s="80" t="n">
        <f aca="false" t="array" ref="AH19:AH19">IF(COLUMN() - ($E19 + 5) &lt; 0, 0,
  IF(COLUMN() - ($E19 + 5) = 0, $F19,
    AG19 * (1 - IFERROR(INDEX('Inputs &amp; Assuptions'!$D$13:$D$72, COLUMN() - ($E19 + 5)), 0))
  )
)</f>
        <v>1002.01397892212</v>
      </c>
      <c r="AI19" s="80" t="n">
        <f aca="false" t="array" ref="AI19:AI19">IF(COLUMN() - ($E19 + 5) &lt; 0, 0,
  IF(COLUMN() - ($E19 + 5) = 0, $F19,
    AH19 * (1 - IFERROR(INDEX('Inputs &amp; Assuptions'!$D$13:$D$72, COLUMN() - ($E19 + 5)), 0))
  )
)</f>
        <v>1001.51297193266</v>
      </c>
      <c r="AJ19" s="80" t="n">
        <f aca="false" t="array" ref="AJ19:AJ19">IF(COLUMN() - ($E19 + 5) &lt; 0, 0,
  IF(COLUMN() - ($E19 + 5) = 0, $F19,
    AI19 * (1 - IFERROR(INDEX('Inputs &amp; Assuptions'!$D$13:$D$72, COLUMN() - ($E19 + 5)), 0))
  )
)</f>
        <v>1001.01221544669</v>
      </c>
      <c r="AK19" s="80" t="n">
        <f aca="false" t="array" ref="AK19:AK19">IF(COLUMN() - ($E19 + 5) &lt; 0, 0,
  IF(COLUMN() - ($E19 + 5) = 0, $F19,
    AJ19 * (1 - IFERROR(INDEX('Inputs &amp; Assuptions'!$D$13:$D$72, COLUMN() - ($E19 + 5)), 0))
  )
)</f>
        <v>1000.51170933897</v>
      </c>
      <c r="AL19" s="80" t="n">
        <f aca="false" t="array" ref="AL19:AL19">IF(COLUMN() - ($E19 + 5) &lt; 0, 0,
  IF(COLUMN() - ($E19 + 5) = 0, $F19,
    AK19 * (1 - IFERROR(INDEX('Inputs &amp; Assuptions'!$D$13:$D$72, COLUMN() - ($E19 + 5)), 0))
  )
)</f>
        <v>1000.0114534843</v>
      </c>
      <c r="AM19" s="80" t="n">
        <f aca="false" t="array" ref="AM19:AM19">IF(COLUMN() - ($E19 + 5) &lt; 0, 0,
  IF(COLUMN() - ($E19 + 5) = 0, $F19,
    AL19 * (1 - IFERROR(INDEX('Inputs &amp; Assuptions'!$D$13:$D$72, COLUMN() - ($E19 + 5)), 0))
  )
)</f>
        <v>999.511447757559</v>
      </c>
      <c r="AN19" s="80" t="n">
        <f aca="false" t="array" ref="AN19:AN19">IF(COLUMN() - ($E19 + 5) &lt; 0, 0,
  IF(COLUMN() - ($E19 + 5) = 0, $F19,
    AM19 * (1 - IFERROR(INDEX('Inputs &amp; Assuptions'!$D$13:$D$72, COLUMN() - ($E19 + 5)), 0))
  )
)</f>
        <v>999.011692033681</v>
      </c>
      <c r="AO19" s="80" t="n">
        <f aca="false" t="array" ref="AO19:AO19">IF(COLUMN() - ($E19 + 5) &lt; 0, 0,
  IF(COLUMN() - ($E19 + 5) = 0, $F19,
    AN19 * (1 - IFERROR(INDEX('Inputs &amp; Assuptions'!$D$13:$D$72, COLUMN() - ($E19 + 5)), 0))
  )
)</f>
        <v>998.512186187664</v>
      </c>
      <c r="AP19" s="80" t="n">
        <f aca="false" t="array" ref="AP19:AP19">IF(COLUMN() - ($E19 + 5) &lt; 0, 0,
  IF(COLUMN() - ($E19 + 5) = 0, $F19,
    AO19 * (1 - IFERROR(INDEX('Inputs &amp; Assuptions'!$D$13:$D$72, COLUMN() - ($E19 + 5)), 0))
  )
)</f>
        <v>998.01293009457</v>
      </c>
      <c r="AQ19" s="80" t="n">
        <f aca="false" t="array" ref="AQ19:AQ19">IF(COLUMN() - ($E19 + 5) &lt; 0, 0,
  IF(COLUMN() - ($E19 + 5) = 0, $F19,
    AP19 * (1 - IFERROR(INDEX('Inputs &amp; Assuptions'!$D$13:$D$72, COLUMN() - ($E19 + 5)), 0))
  )
)</f>
        <v>997.513923629523</v>
      </c>
      <c r="AR19" s="80" t="n">
        <f aca="false" t="array" ref="AR19:AR19">IF(COLUMN() - ($E19 + 5) &lt; 0, 0,
  IF(COLUMN() - ($E19 + 5) = 0, $F19,
    AQ19 * (1 - IFERROR(INDEX('Inputs &amp; Assuptions'!$D$13:$D$72, COLUMN() - ($E19 + 5)), 0))
  )
)</f>
        <v>997.015166667708</v>
      </c>
      <c r="AS19" s="80" t="n">
        <f aca="false" t="array" ref="AS19:AS19">IF(COLUMN() - ($E19 + 5) &lt; 0, 0,
  IF(COLUMN() - ($E19 + 5) = 0, $F19,
    AR19 * (1 - IFERROR(INDEX('Inputs &amp; Assuptions'!$D$13:$D$72, COLUMN() - ($E19 + 5)), 0))
  )
)</f>
        <v>996.516659084374</v>
      </c>
      <c r="AT19" s="80" t="n">
        <f aca="false" t="array" ref="AT19:AT19">IF(COLUMN() - ($E19 + 5) &lt; 0, 0,
  IF(COLUMN() - ($E19 + 5) = 0, $F19,
    AS19 * (1 - IFERROR(INDEX('Inputs &amp; Assuptions'!$D$13:$D$72, COLUMN() - ($E19 + 5)), 0))
  )
)</f>
        <v>996.018400754832</v>
      </c>
      <c r="AU19" s="80" t="n">
        <f aca="false" t="array" ref="AU19:AU19">IF(COLUMN() - ($E19 + 5) &lt; 0, 0,
  IF(COLUMN() - ($E19 + 5) = 0, $F19,
    AT19 * (1 - IFERROR(INDEX('Inputs &amp; Assuptions'!$D$13:$D$72, COLUMN() - ($E19 + 5)), 0))
  )
)</f>
        <v>995.520391554455</v>
      </c>
      <c r="AV19" s="80" t="n">
        <f aca="false" t="array" ref="AV19:AV19">IF(COLUMN() - ($E19 + 5) &lt; 0, 0,
  IF(COLUMN() - ($E19 + 5) = 0, $F19,
    AU19 * (1 - IFERROR(INDEX('Inputs &amp; Assuptions'!$D$13:$D$72, COLUMN() - ($E19 + 5)), 0))
  )
)</f>
        <v>995.022631358678</v>
      </c>
      <c r="AW19" s="80" t="n">
        <f aca="false" t="array" ref="AW19:AW19">IF(COLUMN() - ($E19 + 5) &lt; 0, 0,
  IF(COLUMN() - ($E19 + 5) = 0, $F19,
    AV19 * (1 - IFERROR(INDEX('Inputs &amp; Assuptions'!$D$13:$D$72, COLUMN() - ($E19 + 5)), 0))
  )
)</f>
        <v>994.525120042998</v>
      </c>
      <c r="AX19" s="80" t="n">
        <f aca="false" t="array" ref="AX19:AX19">IF(COLUMN() - ($E19 + 5) &lt; 0, 0,
  IF(COLUMN() - ($E19 + 5) = 0, $F19,
    AW19 * (1 - IFERROR(INDEX('Inputs &amp; Assuptions'!$D$13:$D$72, COLUMN() - ($E19 + 5)), 0))
  )
)</f>
        <v>994.027857482977</v>
      </c>
      <c r="AY19" s="80" t="n">
        <f aca="false" t="array" ref="AY19:AY19">IF(COLUMN() - ($E19 + 5) &lt; 0, 0,
  IF(COLUMN() - ($E19 + 5) = 0, $F19,
    AX19 * (1 - IFERROR(INDEX('Inputs &amp; Assuptions'!$D$13:$D$72, COLUMN() - ($E19 + 5)), 0))
  )
)</f>
        <v>993.530843554236</v>
      </c>
      <c r="AZ19" s="80" t="n">
        <f aca="false" t="array" ref="AZ19:AZ19">IF(COLUMN() - ($E19 + 5) &lt; 0, 0,
  IF(COLUMN() - ($E19 + 5) = 0, $F19,
    AY19 * (1 - IFERROR(INDEX('Inputs &amp; Assuptions'!$D$13:$D$72, COLUMN() - ($E19 + 5)), 0))
  )
)</f>
        <v>993.034078132459</v>
      </c>
      <c r="BA19" s="80" t="n">
        <f aca="false" t="array" ref="BA19:BA19">IF(COLUMN() - ($E19 + 5) &lt; 0, 0,
  IF(COLUMN() - ($E19 + 5) = 0, $F19,
    AZ19 * (1 - IFERROR(INDEX('Inputs &amp; Assuptions'!$D$13:$D$72, COLUMN() - ($E19 + 5)), 0))
  )
)</f>
        <v>992.537561093392</v>
      </c>
      <c r="BB19" s="80" t="n">
        <f aca="false" t="array" ref="BB19:BB19">IF(COLUMN() - ($E19 + 5) &lt; 0, 0,
  IF(COLUMN() - ($E19 + 5) = 0, $F19,
    BA19 * (1 - IFERROR(INDEX('Inputs &amp; Assuptions'!$D$13:$D$72, COLUMN() - ($E19 + 5)), 0))
  )
)</f>
        <v>992.041292312846</v>
      </c>
      <c r="BC19" s="80" t="n">
        <f aca="false" t="array" ref="BC19:BC19">IF(COLUMN() - ($E19 + 5) &lt; 0, 0,
  IF(COLUMN() - ($E19 + 5) = 0, $F19,
    BB19 * (1 - IFERROR(INDEX('Inputs &amp; Assuptions'!$D$13:$D$72, COLUMN() - ($E19 + 5)), 0))
  )
)</f>
        <v>991.545271666689</v>
      </c>
      <c r="BD19" s="80" t="n">
        <f aca="false" t="array" ref="BD19:BD19">IF(COLUMN() - ($E19 + 5) &lt; 0, 0,
  IF(COLUMN() - ($E19 + 5) = 0, $F19,
    BC19 * (1 - IFERROR(INDEX('Inputs &amp; Assuptions'!$D$13:$D$72, COLUMN() - ($E19 + 5)), 0))
  )
)</f>
        <v>991.049499030856</v>
      </c>
      <c r="BE19" s="80" t="n">
        <f aca="false" t="array" ref="BE19:BE19">IF(COLUMN() - ($E19 + 5) &lt; 0, 0,
  IF(COLUMN() - ($E19 + 5) = 0, $F19,
    BD19 * (1 - IFERROR(INDEX('Inputs &amp; Assuptions'!$D$13:$D$72, COLUMN() - ($E19 + 5)), 0))
  )
)</f>
        <v>990.553974281341</v>
      </c>
      <c r="BF19" s="80" t="n">
        <f aca="false" t="array" ref="BF19:BF19">IF(COLUMN() - ($E19 + 5) &lt; 0, 0,
  IF(COLUMN() - ($E19 + 5) = 0, $F19,
    BE19 * (1 - IFERROR(INDEX('Inputs &amp; Assuptions'!$D$13:$D$72, COLUMN() - ($E19 + 5)), 0))
  )
)</f>
        <v>990.0586972942</v>
      </c>
      <c r="BG19" s="80" t="n">
        <f aca="false" t="array" ref="BG19:BG19">IF(COLUMN() - ($E19 + 5) &lt; 0, 0,
  IF(COLUMN() - ($E19 + 5) = 0, $F19,
    BF19 * (1 - IFERROR(INDEX('Inputs &amp; Assuptions'!$D$13:$D$72, COLUMN() - ($E19 + 5)), 0))
  )
)</f>
        <v>989.563667945553</v>
      </c>
      <c r="BH19" s="80" t="n">
        <f aca="false" t="array" ref="BH19:BH19">IF(COLUMN() - ($E19 + 5) &lt; 0, 0,
  IF(COLUMN() - ($E19 + 5) = 0, $F19,
    BG19 * (1 - IFERROR(INDEX('Inputs &amp; Assuptions'!$D$13:$D$72, COLUMN() - ($E19 + 5)), 0))
  )
)</f>
        <v>989.06888611158</v>
      </c>
      <c r="BI19" s="80" t="n">
        <f aca="false" t="array" ref="BI19:BI19">IF(COLUMN() - ($E19 + 5) &lt; 0, 0,
  IF(COLUMN() - ($E19 + 5) = 0, $F19,
    BH19 * (1 - IFERROR(INDEX('Inputs &amp; Assuptions'!$D$13:$D$72, COLUMN() - ($E19 + 5)), 0))
  )
)</f>
        <v>988.574351668525</v>
      </c>
      <c r="BJ19" s="80" t="n">
        <f aca="false" t="array" ref="BJ19:BJ19">IF(COLUMN() - ($E19 + 5) &lt; 0, 0,
  IF(COLUMN() - ($E19 + 5) = 0, $F19,
    BI19 * (1 - IFERROR(INDEX('Inputs &amp; Assuptions'!$D$13:$D$72, COLUMN() - ($E19 + 5)), 0))
  )
)</f>
        <v>988.08006449269</v>
      </c>
      <c r="BK19" s="80" t="n">
        <f aca="false" t="array" ref="BK19:BK19">IF(COLUMN() - ($E19 + 5) &lt; 0, 0,
  IF(COLUMN() - ($E19 + 5) = 0, $F19,
    BJ19 * (1 - IFERROR(INDEX('Inputs &amp; Assuptions'!$D$13:$D$72, COLUMN() - ($E19 + 5)), 0))
  )
)</f>
        <v>987.586024460444</v>
      </c>
      <c r="BL19" s="80" t="n">
        <f aca="false" t="array" ref="BL19:BL19">IF(COLUMN() - ($E19 + 5) &lt; 0, 0,
  IF(COLUMN() - ($E19 + 5) = 0, $F19,
    BK19 * (1 - IFERROR(INDEX('Inputs &amp; Assuptions'!$D$13:$D$72, COLUMN() - ($E19 + 5)), 0))
  )
)</f>
        <v>987.092231448214</v>
      </c>
      <c r="BM19" s="81" t="n">
        <f aca="false" t="array" ref="BM19:BM19">IF(COLUMN() - ($E19 + 5) &lt; 0, 0,
  IF(COLUMN() - ($E19 + 5) = 0, $F19,
    BL19 * (1 - IFERROR(INDEX('Inputs &amp; Assuptions'!$D$13:$D$72, COLUMN() - ($E19 + 5)), 0))
  )
)</f>
        <v>986.59868533249</v>
      </c>
      <c r="BN19" s="76"/>
    </row>
    <row r="20" customFormat="false" ht="14.25" hidden="false" customHeight="false" outlineLevel="0" collapsed="false">
      <c r="A20" s="29" t="n">
        <f aca="false">A19+1</f>
        <v>15</v>
      </c>
      <c r="B20" s="77" t="n">
        <f aca="false">IF(MOD($A20-1, 12) = 0, $B19 * 1.05, $B19)</f>
        <v>1050</v>
      </c>
      <c r="C20" s="93" t="n">
        <f aca="false">$B20*(1-'Inputs &amp; Assuptions'!$D$12)</f>
        <v>1026.9</v>
      </c>
      <c r="E20" s="29" t="n">
        <f aca="false">E19+1</f>
        <v>15</v>
      </c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 t="n">
        <f aca="false">$C20</f>
        <v>1026.9</v>
      </c>
      <c r="U20" s="80" t="n">
        <f aca="false" t="array" ref="U20:U20">IF(COLUMN() - ($E20 + 5) &lt; 0, 0,
  IF(COLUMN() - ($E20 + 5) = 0, $F20,
    T20 * (1 - IFERROR(INDEX('Inputs &amp; Assuptions'!$D$13:$D$72, COLUMN() - ($E20 + 5)), 0))
  )
)</f>
        <v>1021.7655</v>
      </c>
      <c r="V20" s="80" t="n">
        <f aca="false" t="array" ref="V20:V20">IF(COLUMN() - ($E20 + 5) &lt; 0, 0,
  IF(COLUMN() - ($E20 + 5) = 0, $F20,
    U20 * (1 - IFERROR(INDEX('Inputs &amp; Assuptions'!$D$13:$D$72, COLUMN() - ($E20 + 5)), 0))
  )
)</f>
        <v>1017.8827911</v>
      </c>
      <c r="W20" s="80" t="n">
        <f aca="false" t="array" ref="W20:W20">IF(COLUMN() - ($E20 + 5) &lt; 0, 0,
  IF(COLUMN() - ($E20 + 5) = 0, $F20,
    V20 * (1 - IFERROR(INDEX('Inputs &amp; Assuptions'!$D$13:$D$72, COLUMN() - ($E20 + 5)), 0))
  )
)</f>
        <v>1015.33808412225</v>
      </c>
      <c r="X20" s="80" t="n">
        <f aca="false" t="array" ref="X20:X20">IF(COLUMN() - ($E20 + 5) &lt; 0, 0,
  IF(COLUMN() - ($E20 + 5) = 0, $F20,
    W20 * (1 - IFERROR(INDEX('Inputs &amp; Assuptions'!$D$13:$D$72, COLUMN() - ($E20 + 5)), 0))
  )
)</f>
        <v>1013.00280652877</v>
      </c>
      <c r="Y20" s="80" t="n">
        <f aca="false" t="array" ref="Y20:Y20">IF(COLUMN() - ($E20 + 5) &lt; 0, 0,
  IF(COLUMN() - ($E20 + 5) = 0, $F20,
    X20 * (1 - IFERROR(INDEX('Inputs &amp; Assuptions'!$D$13:$D$72, COLUMN() - ($E20 + 5)), 0))
  )
)</f>
        <v>1010.97680091571</v>
      </c>
      <c r="Z20" s="80" t="n">
        <f aca="false" t="array" ref="Z20:Z20">IF(COLUMN() - ($E20 + 5) &lt; 0, 0,
  IF(COLUMN() - ($E20 + 5) = 0, $F20,
    Y20 * (1 - IFERROR(INDEX('Inputs &amp; Assuptions'!$D$13:$D$72, COLUMN() - ($E20 + 5)), 0))
  )
)</f>
        <v>1009.15704267406</v>
      </c>
      <c r="AA20" s="80" t="n">
        <f aca="false" t="array" ref="AA20:AA20">IF(COLUMN() - ($E20 + 5) &lt; 0, 0,
  IF(COLUMN() - ($E20 + 5) = 0, $F20,
    Z20 * (1 - IFERROR(INDEX('Inputs &amp; Assuptions'!$D$13:$D$72, COLUMN() - ($E20 + 5)), 0))
  )
)</f>
        <v>1007.64330711005</v>
      </c>
      <c r="AB20" s="80" t="n">
        <f aca="false" t="array" ref="AB20:AB20">IF(COLUMN() - ($E20 + 5) &lt; 0, 0,
  IF(COLUMN() - ($E20 + 5) = 0, $F20,
    AA20 * (1 - IFERROR(INDEX('Inputs &amp; Assuptions'!$D$13:$D$72, COLUMN() - ($E20 + 5)), 0))
  )
)</f>
        <v>1006.33337081081</v>
      </c>
      <c r="AC20" s="80" t="n">
        <f aca="false" t="array" ref="AC20:AC20">IF(COLUMN() - ($E20 + 5) &lt; 0, 0,
  IF(COLUMN() - ($E20 + 5) = 0, $F20,
    AB20 * (1 - IFERROR(INDEX('Inputs &amp; Assuptions'!$D$13:$D$72, COLUMN() - ($E20 + 5)), 0))
  )
)</f>
        <v>1005.32703744</v>
      </c>
      <c r="AD20" s="80" t="n">
        <f aca="false" t="array" ref="AD20:AD20">IF(COLUMN() - ($E20 + 5) &lt; 0, 0,
  IF(COLUMN() - ($E20 + 5) = 0, $F20,
    AC20 * (1 - IFERROR(INDEX('Inputs &amp; Assuptions'!$D$13:$D$72, COLUMN() - ($E20 + 5)), 0))
  )
)</f>
        <v>1004.52277581005</v>
      </c>
      <c r="AE20" s="80" t="n">
        <f aca="false" t="array" ref="AE20:AE20">IF(COLUMN() - ($E20 + 5) &lt; 0, 0,
  IF(COLUMN() - ($E20 + 5) = 0, $F20,
    AD20 * (1 - IFERROR(INDEX('Inputs &amp; Assuptions'!$D$13:$D$72, COLUMN() - ($E20 + 5)), 0))
  )
)</f>
        <v>1004.02051442214</v>
      </c>
      <c r="AF20" s="80" t="n">
        <f aca="false" t="array" ref="AF20:AF20">IF(COLUMN() - ($E20 + 5) &lt; 0, 0,
  IF(COLUMN() - ($E20 + 5) = 0, $F20,
    AE20 * (1 - IFERROR(INDEX('Inputs &amp; Assuptions'!$D$13:$D$72, COLUMN() - ($E20 + 5)), 0))
  )
)</f>
        <v>1003.51850416493</v>
      </c>
      <c r="AG20" s="80" t="n">
        <f aca="false" t="array" ref="AG20:AG20">IF(COLUMN() - ($E20 + 5) &lt; 0, 0,
  IF(COLUMN() - ($E20 + 5) = 0, $F20,
    AF20 * (1 - IFERROR(INDEX('Inputs &amp; Assuptions'!$D$13:$D$72, COLUMN() - ($E20 + 5)), 0))
  )
)</f>
        <v>1003.01674491285</v>
      </c>
      <c r="AH20" s="80" t="n">
        <f aca="false" t="array" ref="AH20:AH20">IF(COLUMN() - ($E20 + 5) &lt; 0, 0,
  IF(COLUMN() - ($E20 + 5) = 0, $F20,
    AG20 * (1 - IFERROR(INDEX('Inputs &amp; Assuptions'!$D$13:$D$72, COLUMN() - ($E20 + 5)), 0))
  )
)</f>
        <v>1002.51523654039</v>
      </c>
      <c r="AI20" s="80" t="n">
        <f aca="false" t="array" ref="AI20:AI20">IF(COLUMN() - ($E20 + 5) &lt; 0, 0,
  IF(COLUMN() - ($E20 + 5) = 0, $F20,
    AH20 * (1 - IFERROR(INDEX('Inputs &amp; Assuptions'!$D$13:$D$72, COLUMN() - ($E20 + 5)), 0))
  )
)</f>
        <v>1002.01397892212</v>
      </c>
      <c r="AJ20" s="80" t="n">
        <f aca="false" t="array" ref="AJ20:AJ20">IF(COLUMN() - ($E20 + 5) &lt; 0, 0,
  IF(COLUMN() - ($E20 + 5) = 0, $F20,
    AI20 * (1 - IFERROR(INDEX('Inputs &amp; Assuptions'!$D$13:$D$72, COLUMN() - ($E20 + 5)), 0))
  )
)</f>
        <v>1001.51297193266</v>
      </c>
      <c r="AK20" s="80" t="n">
        <f aca="false" t="array" ref="AK20:AK20">IF(COLUMN() - ($E20 + 5) &lt; 0, 0,
  IF(COLUMN() - ($E20 + 5) = 0, $F20,
    AJ20 * (1 - IFERROR(INDEX('Inputs &amp; Assuptions'!$D$13:$D$72, COLUMN() - ($E20 + 5)), 0))
  )
)</f>
        <v>1001.01221544669</v>
      </c>
      <c r="AL20" s="80" t="n">
        <f aca="false" t="array" ref="AL20:AL20">IF(COLUMN() - ($E20 + 5) &lt; 0, 0,
  IF(COLUMN() - ($E20 + 5) = 0, $F20,
    AK20 * (1 - IFERROR(INDEX('Inputs &amp; Assuptions'!$D$13:$D$72, COLUMN() - ($E20 + 5)), 0))
  )
)</f>
        <v>1000.51170933897</v>
      </c>
      <c r="AM20" s="80" t="n">
        <f aca="false" t="array" ref="AM20:AM20">IF(COLUMN() - ($E20 + 5) &lt; 0, 0,
  IF(COLUMN() - ($E20 + 5) = 0, $F20,
    AL20 * (1 - IFERROR(INDEX('Inputs &amp; Assuptions'!$D$13:$D$72, COLUMN() - ($E20 + 5)), 0))
  )
)</f>
        <v>1000.0114534843</v>
      </c>
      <c r="AN20" s="80" t="n">
        <f aca="false" t="array" ref="AN20:AN20">IF(COLUMN() - ($E20 + 5) &lt; 0, 0,
  IF(COLUMN() - ($E20 + 5) = 0, $F20,
    AM20 * (1 - IFERROR(INDEX('Inputs &amp; Assuptions'!$D$13:$D$72, COLUMN() - ($E20 + 5)), 0))
  )
)</f>
        <v>999.511447757559</v>
      </c>
      <c r="AO20" s="80" t="n">
        <f aca="false" t="array" ref="AO20:AO20">IF(COLUMN() - ($E20 + 5) &lt; 0, 0,
  IF(COLUMN() - ($E20 + 5) = 0, $F20,
    AN20 * (1 - IFERROR(INDEX('Inputs &amp; Assuptions'!$D$13:$D$72, COLUMN() - ($E20 + 5)), 0))
  )
)</f>
        <v>999.011692033681</v>
      </c>
      <c r="AP20" s="80" t="n">
        <f aca="false" t="array" ref="AP20:AP20">IF(COLUMN() - ($E20 + 5) &lt; 0, 0,
  IF(COLUMN() - ($E20 + 5) = 0, $F20,
    AO20 * (1 - IFERROR(INDEX('Inputs &amp; Assuptions'!$D$13:$D$72, COLUMN() - ($E20 + 5)), 0))
  )
)</f>
        <v>998.512186187664</v>
      </c>
      <c r="AQ20" s="80" t="n">
        <f aca="false" t="array" ref="AQ20:AQ20">IF(COLUMN() - ($E20 + 5) &lt; 0, 0,
  IF(COLUMN() - ($E20 + 5) = 0, $F20,
    AP20 * (1 - IFERROR(INDEX('Inputs &amp; Assuptions'!$D$13:$D$72, COLUMN() - ($E20 + 5)), 0))
  )
)</f>
        <v>998.01293009457</v>
      </c>
      <c r="AR20" s="80" t="n">
        <f aca="false" t="array" ref="AR20:AR20">IF(COLUMN() - ($E20 + 5) &lt; 0, 0,
  IF(COLUMN() - ($E20 + 5) = 0, $F20,
    AQ20 * (1 - IFERROR(INDEX('Inputs &amp; Assuptions'!$D$13:$D$72, COLUMN() - ($E20 + 5)), 0))
  )
)</f>
        <v>997.513923629523</v>
      </c>
      <c r="AS20" s="80" t="n">
        <f aca="false" t="array" ref="AS20:AS20">IF(COLUMN() - ($E20 + 5) &lt; 0, 0,
  IF(COLUMN() - ($E20 + 5) = 0, $F20,
    AR20 * (1 - IFERROR(INDEX('Inputs &amp; Assuptions'!$D$13:$D$72, COLUMN() - ($E20 + 5)), 0))
  )
)</f>
        <v>997.015166667708</v>
      </c>
      <c r="AT20" s="80" t="n">
        <f aca="false" t="array" ref="AT20:AT20">IF(COLUMN() - ($E20 + 5) &lt; 0, 0,
  IF(COLUMN() - ($E20 + 5) = 0, $F20,
    AS20 * (1 - IFERROR(INDEX('Inputs &amp; Assuptions'!$D$13:$D$72, COLUMN() - ($E20 + 5)), 0))
  )
)</f>
        <v>996.516659084374</v>
      </c>
      <c r="AU20" s="80" t="n">
        <f aca="false" t="array" ref="AU20:AU20">IF(COLUMN() - ($E20 + 5) &lt; 0, 0,
  IF(COLUMN() - ($E20 + 5) = 0, $F20,
    AT20 * (1 - IFERROR(INDEX('Inputs &amp; Assuptions'!$D$13:$D$72, COLUMN() - ($E20 + 5)), 0))
  )
)</f>
        <v>996.018400754832</v>
      </c>
      <c r="AV20" s="80" t="n">
        <f aca="false" t="array" ref="AV20:AV20">IF(COLUMN() - ($E20 + 5) &lt; 0, 0,
  IF(COLUMN() - ($E20 + 5) = 0, $F20,
    AU20 * (1 - IFERROR(INDEX('Inputs &amp; Assuptions'!$D$13:$D$72, COLUMN() - ($E20 + 5)), 0))
  )
)</f>
        <v>995.520391554455</v>
      </c>
      <c r="AW20" s="80" t="n">
        <f aca="false" t="array" ref="AW20:AW20">IF(COLUMN() - ($E20 + 5) &lt; 0, 0,
  IF(COLUMN() - ($E20 + 5) = 0, $F20,
    AV20 * (1 - IFERROR(INDEX('Inputs &amp; Assuptions'!$D$13:$D$72, COLUMN() - ($E20 + 5)), 0))
  )
)</f>
        <v>995.022631358678</v>
      </c>
      <c r="AX20" s="80" t="n">
        <f aca="false" t="array" ref="AX20:AX20">IF(COLUMN() - ($E20 + 5) &lt; 0, 0,
  IF(COLUMN() - ($E20 + 5) = 0, $F20,
    AW20 * (1 - IFERROR(INDEX('Inputs &amp; Assuptions'!$D$13:$D$72, COLUMN() - ($E20 + 5)), 0))
  )
)</f>
        <v>994.525120042998</v>
      </c>
      <c r="AY20" s="80" t="n">
        <f aca="false" t="array" ref="AY20:AY20">IF(COLUMN() - ($E20 + 5) &lt; 0, 0,
  IF(COLUMN() - ($E20 + 5) = 0, $F20,
    AX20 * (1 - IFERROR(INDEX('Inputs &amp; Assuptions'!$D$13:$D$72, COLUMN() - ($E20 + 5)), 0))
  )
)</f>
        <v>994.027857482977</v>
      </c>
      <c r="AZ20" s="80" t="n">
        <f aca="false" t="array" ref="AZ20:AZ20">IF(COLUMN() - ($E20 + 5) &lt; 0, 0,
  IF(COLUMN() - ($E20 + 5) = 0, $F20,
    AY20 * (1 - IFERROR(INDEX('Inputs &amp; Assuptions'!$D$13:$D$72, COLUMN() - ($E20 + 5)), 0))
  )
)</f>
        <v>993.530843554236</v>
      </c>
      <c r="BA20" s="80" t="n">
        <f aca="false" t="array" ref="BA20:BA20">IF(COLUMN() - ($E20 + 5) &lt; 0, 0,
  IF(COLUMN() - ($E20 + 5) = 0, $F20,
    AZ20 * (1 - IFERROR(INDEX('Inputs &amp; Assuptions'!$D$13:$D$72, COLUMN() - ($E20 + 5)), 0))
  )
)</f>
        <v>993.034078132459</v>
      </c>
      <c r="BB20" s="80" t="n">
        <f aca="false" t="array" ref="BB20:BB20">IF(COLUMN() - ($E20 + 5) &lt; 0, 0,
  IF(COLUMN() - ($E20 + 5) = 0, $F20,
    BA20 * (1 - IFERROR(INDEX('Inputs &amp; Assuptions'!$D$13:$D$72, COLUMN() - ($E20 + 5)), 0))
  )
)</f>
        <v>992.537561093392</v>
      </c>
      <c r="BC20" s="80" t="n">
        <f aca="false" t="array" ref="BC20:BC20">IF(COLUMN() - ($E20 + 5) &lt; 0, 0,
  IF(COLUMN() - ($E20 + 5) = 0, $F20,
    BB20 * (1 - IFERROR(INDEX('Inputs &amp; Assuptions'!$D$13:$D$72, COLUMN() - ($E20 + 5)), 0))
  )
)</f>
        <v>992.041292312846</v>
      </c>
      <c r="BD20" s="80" t="n">
        <f aca="false" t="array" ref="BD20:BD20">IF(COLUMN() - ($E20 + 5) &lt; 0, 0,
  IF(COLUMN() - ($E20 + 5) = 0, $F20,
    BC20 * (1 - IFERROR(INDEX('Inputs &amp; Assuptions'!$D$13:$D$72, COLUMN() - ($E20 + 5)), 0))
  )
)</f>
        <v>991.545271666689</v>
      </c>
      <c r="BE20" s="80" t="n">
        <f aca="false" t="array" ref="BE20:BE20">IF(COLUMN() - ($E20 + 5) &lt; 0, 0,
  IF(COLUMN() - ($E20 + 5) = 0, $F20,
    BD20 * (1 - IFERROR(INDEX('Inputs &amp; Assuptions'!$D$13:$D$72, COLUMN() - ($E20 + 5)), 0))
  )
)</f>
        <v>991.049499030856</v>
      </c>
      <c r="BF20" s="80" t="n">
        <f aca="false" t="array" ref="BF20:BF20">IF(COLUMN() - ($E20 + 5) &lt; 0, 0,
  IF(COLUMN() - ($E20 + 5) = 0, $F20,
    BE20 * (1 - IFERROR(INDEX('Inputs &amp; Assuptions'!$D$13:$D$72, COLUMN() - ($E20 + 5)), 0))
  )
)</f>
        <v>990.553974281341</v>
      </c>
      <c r="BG20" s="80" t="n">
        <f aca="false" t="array" ref="BG20:BG20">IF(COLUMN() - ($E20 + 5) &lt; 0, 0,
  IF(COLUMN() - ($E20 + 5) = 0, $F20,
    BF20 * (1 - IFERROR(INDEX('Inputs &amp; Assuptions'!$D$13:$D$72, COLUMN() - ($E20 + 5)), 0))
  )
)</f>
        <v>990.0586972942</v>
      </c>
      <c r="BH20" s="80" t="n">
        <f aca="false" t="array" ref="BH20:BH20">IF(COLUMN() - ($E20 + 5) &lt; 0, 0,
  IF(COLUMN() - ($E20 + 5) = 0, $F20,
    BG20 * (1 - IFERROR(INDEX('Inputs &amp; Assuptions'!$D$13:$D$72, COLUMN() - ($E20 + 5)), 0))
  )
)</f>
        <v>989.563667945553</v>
      </c>
      <c r="BI20" s="80" t="n">
        <f aca="false" t="array" ref="BI20:BI20">IF(COLUMN() - ($E20 + 5) &lt; 0, 0,
  IF(COLUMN() - ($E20 + 5) = 0, $F20,
    BH20 * (1 - IFERROR(INDEX('Inputs &amp; Assuptions'!$D$13:$D$72, COLUMN() - ($E20 + 5)), 0))
  )
)</f>
        <v>989.06888611158</v>
      </c>
      <c r="BJ20" s="80" t="n">
        <f aca="false" t="array" ref="BJ20:BJ20">IF(COLUMN() - ($E20 + 5) &lt; 0, 0,
  IF(COLUMN() - ($E20 + 5) = 0, $F20,
    BI20 * (1 - IFERROR(INDEX('Inputs &amp; Assuptions'!$D$13:$D$72, COLUMN() - ($E20 + 5)), 0))
  )
)</f>
        <v>988.574351668525</v>
      </c>
      <c r="BK20" s="80" t="n">
        <f aca="false" t="array" ref="BK20:BK20">IF(COLUMN() - ($E20 + 5) &lt; 0, 0,
  IF(COLUMN() - ($E20 + 5) = 0, $F20,
    BJ20 * (1 - IFERROR(INDEX('Inputs &amp; Assuptions'!$D$13:$D$72, COLUMN() - ($E20 + 5)), 0))
  )
)</f>
        <v>988.08006449269</v>
      </c>
      <c r="BL20" s="80" t="n">
        <f aca="false" t="array" ref="BL20:BL20">IF(COLUMN() - ($E20 + 5) &lt; 0, 0,
  IF(COLUMN() - ($E20 + 5) = 0, $F20,
    BK20 * (1 - IFERROR(INDEX('Inputs &amp; Assuptions'!$D$13:$D$72, COLUMN() - ($E20 + 5)), 0))
  )
)</f>
        <v>987.586024460444</v>
      </c>
      <c r="BM20" s="81" t="n">
        <f aca="false" t="array" ref="BM20:BM20">IF(COLUMN() - ($E20 + 5) &lt; 0, 0,
  IF(COLUMN() - ($E20 + 5) = 0, $F20,
    BL20 * (1 - IFERROR(INDEX('Inputs &amp; Assuptions'!$D$13:$D$72, COLUMN() - ($E20 + 5)), 0))
  )
)</f>
        <v>987.092231448214</v>
      </c>
      <c r="BN20" s="76"/>
    </row>
    <row r="21" customFormat="false" ht="14.25" hidden="false" customHeight="false" outlineLevel="0" collapsed="false">
      <c r="A21" s="29" t="n">
        <f aca="false">A20+1</f>
        <v>16</v>
      </c>
      <c r="B21" s="77" t="n">
        <f aca="false">IF(MOD($A21-1, 12) = 0, $B20 * 1.05, $B20)</f>
        <v>1050</v>
      </c>
      <c r="C21" s="93" t="n">
        <f aca="false">$B21*(1-'Inputs &amp; Assuptions'!$D$12)</f>
        <v>1026.9</v>
      </c>
      <c r="E21" s="29" t="n">
        <f aca="false">E20+1</f>
        <v>16</v>
      </c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 t="n">
        <f aca="false">$C21</f>
        <v>1026.9</v>
      </c>
      <c r="V21" s="80" t="n">
        <f aca="false" t="array" ref="V21:V21">IF(COLUMN() - ($E21 + 5) &lt; 0, 0,
  IF(COLUMN() - ($E21 + 5) = 0, $F21,
    U21 * (1 - IFERROR(INDEX('Inputs &amp; Assuptions'!$D$13:$D$72, COLUMN() - ($E21 + 5)), 0))
  )
)</f>
        <v>1021.7655</v>
      </c>
      <c r="W21" s="80" t="n">
        <f aca="false" t="array" ref="W21:W21">IF(COLUMN() - ($E21 + 5) &lt; 0, 0,
  IF(COLUMN() - ($E21 + 5) = 0, $F21,
    V21 * (1 - IFERROR(INDEX('Inputs &amp; Assuptions'!$D$13:$D$72, COLUMN() - ($E21 + 5)), 0))
  )
)</f>
        <v>1017.8827911</v>
      </c>
      <c r="X21" s="80" t="n">
        <f aca="false" t="array" ref="X21:X21">IF(COLUMN() - ($E21 + 5) &lt; 0, 0,
  IF(COLUMN() - ($E21 + 5) = 0, $F21,
    W21 * (1 - IFERROR(INDEX('Inputs &amp; Assuptions'!$D$13:$D$72, COLUMN() - ($E21 + 5)), 0))
  )
)</f>
        <v>1015.33808412225</v>
      </c>
      <c r="Y21" s="80" t="n">
        <f aca="false" t="array" ref="Y21:Y21">IF(COLUMN() - ($E21 + 5) &lt; 0, 0,
  IF(COLUMN() - ($E21 + 5) = 0, $F21,
    X21 * (1 - IFERROR(INDEX('Inputs &amp; Assuptions'!$D$13:$D$72, COLUMN() - ($E21 + 5)), 0))
  )
)</f>
        <v>1013.00280652877</v>
      </c>
      <c r="Z21" s="80" t="n">
        <f aca="false" t="array" ref="Z21:Z21">IF(COLUMN() - ($E21 + 5) &lt; 0, 0,
  IF(COLUMN() - ($E21 + 5) = 0, $F21,
    Y21 * (1 - IFERROR(INDEX('Inputs &amp; Assuptions'!$D$13:$D$72, COLUMN() - ($E21 + 5)), 0))
  )
)</f>
        <v>1010.97680091571</v>
      </c>
      <c r="AA21" s="80" t="n">
        <f aca="false" t="array" ref="AA21:AA21">IF(COLUMN() - ($E21 + 5) &lt; 0, 0,
  IF(COLUMN() - ($E21 + 5) = 0, $F21,
    Z21 * (1 - IFERROR(INDEX('Inputs &amp; Assuptions'!$D$13:$D$72, COLUMN() - ($E21 + 5)), 0))
  )
)</f>
        <v>1009.15704267406</v>
      </c>
      <c r="AB21" s="80" t="n">
        <f aca="false" t="array" ref="AB21:AB21">IF(COLUMN() - ($E21 + 5) &lt; 0, 0,
  IF(COLUMN() - ($E21 + 5) = 0, $F21,
    AA21 * (1 - IFERROR(INDEX('Inputs &amp; Assuptions'!$D$13:$D$72, COLUMN() - ($E21 + 5)), 0))
  )
)</f>
        <v>1007.64330711005</v>
      </c>
      <c r="AC21" s="80" t="n">
        <f aca="false" t="array" ref="AC21:AC21">IF(COLUMN() - ($E21 + 5) &lt; 0, 0,
  IF(COLUMN() - ($E21 + 5) = 0, $F21,
    AB21 * (1 - IFERROR(INDEX('Inputs &amp; Assuptions'!$D$13:$D$72, COLUMN() - ($E21 + 5)), 0))
  )
)</f>
        <v>1006.33337081081</v>
      </c>
      <c r="AD21" s="80" t="n">
        <f aca="false" t="array" ref="AD21:AD21">IF(COLUMN() - ($E21 + 5) &lt; 0, 0,
  IF(COLUMN() - ($E21 + 5) = 0, $F21,
    AC21 * (1 - IFERROR(INDEX('Inputs &amp; Assuptions'!$D$13:$D$72, COLUMN() - ($E21 + 5)), 0))
  )
)</f>
        <v>1005.32703744</v>
      </c>
      <c r="AE21" s="80" t="n">
        <f aca="false" t="array" ref="AE21:AE21">IF(COLUMN() - ($E21 + 5) &lt; 0, 0,
  IF(COLUMN() - ($E21 + 5) = 0, $F21,
    AD21 * (1 - IFERROR(INDEX('Inputs &amp; Assuptions'!$D$13:$D$72, COLUMN() - ($E21 + 5)), 0))
  )
)</f>
        <v>1004.52277581005</v>
      </c>
      <c r="AF21" s="80" t="n">
        <f aca="false" t="array" ref="AF21:AF21">IF(COLUMN() - ($E21 + 5) &lt; 0, 0,
  IF(COLUMN() - ($E21 + 5) = 0, $F21,
    AE21 * (1 - IFERROR(INDEX('Inputs &amp; Assuptions'!$D$13:$D$72, COLUMN() - ($E21 + 5)), 0))
  )
)</f>
        <v>1004.02051442214</v>
      </c>
      <c r="AG21" s="80" t="n">
        <f aca="false" t="array" ref="AG21:AG21">IF(COLUMN() - ($E21 + 5) &lt; 0, 0,
  IF(COLUMN() - ($E21 + 5) = 0, $F21,
    AF21 * (1 - IFERROR(INDEX('Inputs &amp; Assuptions'!$D$13:$D$72, COLUMN() - ($E21 + 5)), 0))
  )
)</f>
        <v>1003.51850416493</v>
      </c>
      <c r="AH21" s="80" t="n">
        <f aca="false" t="array" ref="AH21:AH21">IF(COLUMN() - ($E21 + 5) &lt; 0, 0,
  IF(COLUMN() - ($E21 + 5) = 0, $F21,
    AG21 * (1 - IFERROR(INDEX('Inputs &amp; Assuptions'!$D$13:$D$72, COLUMN() - ($E21 + 5)), 0))
  )
)</f>
        <v>1003.01674491285</v>
      </c>
      <c r="AI21" s="80" t="n">
        <f aca="false" t="array" ref="AI21:AI21">IF(COLUMN() - ($E21 + 5) &lt; 0, 0,
  IF(COLUMN() - ($E21 + 5) = 0, $F21,
    AH21 * (1 - IFERROR(INDEX('Inputs &amp; Assuptions'!$D$13:$D$72, COLUMN() - ($E21 + 5)), 0))
  )
)</f>
        <v>1002.51523654039</v>
      </c>
      <c r="AJ21" s="80" t="n">
        <f aca="false" t="array" ref="AJ21:AJ21">IF(COLUMN() - ($E21 + 5) &lt; 0, 0,
  IF(COLUMN() - ($E21 + 5) = 0, $F21,
    AI21 * (1 - IFERROR(INDEX('Inputs &amp; Assuptions'!$D$13:$D$72, COLUMN() - ($E21 + 5)), 0))
  )
)</f>
        <v>1002.01397892212</v>
      </c>
      <c r="AK21" s="80" t="n">
        <f aca="false" t="array" ref="AK21:AK21">IF(COLUMN() - ($E21 + 5) &lt; 0, 0,
  IF(COLUMN() - ($E21 + 5) = 0, $F21,
    AJ21 * (1 - IFERROR(INDEX('Inputs &amp; Assuptions'!$D$13:$D$72, COLUMN() - ($E21 + 5)), 0))
  )
)</f>
        <v>1001.51297193266</v>
      </c>
      <c r="AL21" s="80" t="n">
        <f aca="false" t="array" ref="AL21:AL21">IF(COLUMN() - ($E21 + 5) &lt; 0, 0,
  IF(COLUMN() - ($E21 + 5) = 0, $F21,
    AK21 * (1 - IFERROR(INDEX('Inputs &amp; Assuptions'!$D$13:$D$72, COLUMN() - ($E21 + 5)), 0))
  )
)</f>
        <v>1001.01221544669</v>
      </c>
      <c r="AM21" s="80" t="n">
        <f aca="false" t="array" ref="AM21:AM21">IF(COLUMN() - ($E21 + 5) &lt; 0, 0,
  IF(COLUMN() - ($E21 + 5) = 0, $F21,
    AL21 * (1 - IFERROR(INDEX('Inputs &amp; Assuptions'!$D$13:$D$72, COLUMN() - ($E21 + 5)), 0))
  )
)</f>
        <v>1000.51170933897</v>
      </c>
      <c r="AN21" s="80" t="n">
        <f aca="false" t="array" ref="AN21:AN21">IF(COLUMN() - ($E21 + 5) &lt; 0, 0,
  IF(COLUMN() - ($E21 + 5) = 0, $F21,
    AM21 * (1 - IFERROR(INDEX('Inputs &amp; Assuptions'!$D$13:$D$72, COLUMN() - ($E21 + 5)), 0))
  )
)</f>
        <v>1000.0114534843</v>
      </c>
      <c r="AO21" s="80" t="n">
        <f aca="false" t="array" ref="AO21:AO21">IF(COLUMN() - ($E21 + 5) &lt; 0, 0,
  IF(COLUMN() - ($E21 + 5) = 0, $F21,
    AN21 * (1 - IFERROR(INDEX('Inputs &amp; Assuptions'!$D$13:$D$72, COLUMN() - ($E21 + 5)), 0))
  )
)</f>
        <v>999.511447757559</v>
      </c>
      <c r="AP21" s="80" t="n">
        <f aca="false" t="array" ref="AP21:AP21">IF(COLUMN() - ($E21 + 5) &lt; 0, 0,
  IF(COLUMN() - ($E21 + 5) = 0, $F21,
    AO21 * (1 - IFERROR(INDEX('Inputs &amp; Assuptions'!$D$13:$D$72, COLUMN() - ($E21 + 5)), 0))
  )
)</f>
        <v>999.011692033681</v>
      </c>
      <c r="AQ21" s="80" t="n">
        <f aca="false" t="array" ref="AQ21:AQ21">IF(COLUMN() - ($E21 + 5) &lt; 0, 0,
  IF(COLUMN() - ($E21 + 5) = 0, $F21,
    AP21 * (1 - IFERROR(INDEX('Inputs &amp; Assuptions'!$D$13:$D$72, COLUMN() - ($E21 + 5)), 0))
  )
)</f>
        <v>998.512186187664</v>
      </c>
      <c r="AR21" s="80" t="n">
        <f aca="false" t="array" ref="AR21:AR21">IF(COLUMN() - ($E21 + 5) &lt; 0, 0,
  IF(COLUMN() - ($E21 + 5) = 0, $F21,
    AQ21 * (1 - IFERROR(INDEX('Inputs &amp; Assuptions'!$D$13:$D$72, COLUMN() - ($E21 + 5)), 0))
  )
)</f>
        <v>998.01293009457</v>
      </c>
      <c r="AS21" s="80" t="n">
        <f aca="false" t="array" ref="AS21:AS21">IF(COLUMN() - ($E21 + 5) &lt; 0, 0,
  IF(COLUMN() - ($E21 + 5) = 0, $F21,
    AR21 * (1 - IFERROR(INDEX('Inputs &amp; Assuptions'!$D$13:$D$72, COLUMN() - ($E21 + 5)), 0))
  )
)</f>
        <v>997.513923629523</v>
      </c>
      <c r="AT21" s="80" t="n">
        <f aca="false" t="array" ref="AT21:AT21">IF(COLUMN() - ($E21 + 5) &lt; 0, 0,
  IF(COLUMN() - ($E21 + 5) = 0, $F21,
    AS21 * (1 - IFERROR(INDEX('Inputs &amp; Assuptions'!$D$13:$D$72, COLUMN() - ($E21 + 5)), 0))
  )
)</f>
        <v>997.015166667708</v>
      </c>
      <c r="AU21" s="80" t="n">
        <f aca="false" t="array" ref="AU21:AU21">IF(COLUMN() - ($E21 + 5) &lt; 0, 0,
  IF(COLUMN() - ($E21 + 5) = 0, $F21,
    AT21 * (1 - IFERROR(INDEX('Inputs &amp; Assuptions'!$D$13:$D$72, COLUMN() - ($E21 + 5)), 0))
  )
)</f>
        <v>996.516659084374</v>
      </c>
      <c r="AV21" s="80" t="n">
        <f aca="false" t="array" ref="AV21:AV21">IF(COLUMN() - ($E21 + 5) &lt; 0, 0,
  IF(COLUMN() - ($E21 + 5) = 0, $F21,
    AU21 * (1 - IFERROR(INDEX('Inputs &amp; Assuptions'!$D$13:$D$72, COLUMN() - ($E21 + 5)), 0))
  )
)</f>
        <v>996.018400754832</v>
      </c>
      <c r="AW21" s="80" t="n">
        <f aca="false" t="array" ref="AW21:AW21">IF(COLUMN() - ($E21 + 5) &lt; 0, 0,
  IF(COLUMN() - ($E21 + 5) = 0, $F21,
    AV21 * (1 - IFERROR(INDEX('Inputs &amp; Assuptions'!$D$13:$D$72, COLUMN() - ($E21 + 5)), 0))
  )
)</f>
        <v>995.520391554455</v>
      </c>
      <c r="AX21" s="80" t="n">
        <f aca="false" t="array" ref="AX21:AX21">IF(COLUMN() - ($E21 + 5) &lt; 0, 0,
  IF(COLUMN() - ($E21 + 5) = 0, $F21,
    AW21 * (1 - IFERROR(INDEX('Inputs &amp; Assuptions'!$D$13:$D$72, COLUMN() - ($E21 + 5)), 0))
  )
)</f>
        <v>995.022631358678</v>
      </c>
      <c r="AY21" s="80" t="n">
        <f aca="false" t="array" ref="AY21:AY21">IF(COLUMN() - ($E21 + 5) &lt; 0, 0,
  IF(COLUMN() - ($E21 + 5) = 0, $F21,
    AX21 * (1 - IFERROR(INDEX('Inputs &amp; Assuptions'!$D$13:$D$72, COLUMN() - ($E21 + 5)), 0))
  )
)</f>
        <v>994.525120042998</v>
      </c>
      <c r="AZ21" s="80" t="n">
        <f aca="false" t="array" ref="AZ21:AZ21">IF(COLUMN() - ($E21 + 5) &lt; 0, 0,
  IF(COLUMN() - ($E21 + 5) = 0, $F21,
    AY21 * (1 - IFERROR(INDEX('Inputs &amp; Assuptions'!$D$13:$D$72, COLUMN() - ($E21 + 5)), 0))
  )
)</f>
        <v>994.027857482977</v>
      </c>
      <c r="BA21" s="80" t="n">
        <f aca="false" t="array" ref="BA21:BA21">IF(COLUMN() - ($E21 + 5) &lt; 0, 0,
  IF(COLUMN() - ($E21 + 5) = 0, $F21,
    AZ21 * (1 - IFERROR(INDEX('Inputs &amp; Assuptions'!$D$13:$D$72, COLUMN() - ($E21 + 5)), 0))
  )
)</f>
        <v>993.530843554236</v>
      </c>
      <c r="BB21" s="80" t="n">
        <f aca="false" t="array" ref="BB21:BB21">IF(COLUMN() - ($E21 + 5) &lt; 0, 0,
  IF(COLUMN() - ($E21 + 5) = 0, $F21,
    BA21 * (1 - IFERROR(INDEX('Inputs &amp; Assuptions'!$D$13:$D$72, COLUMN() - ($E21 + 5)), 0))
  )
)</f>
        <v>993.034078132459</v>
      </c>
      <c r="BC21" s="80" t="n">
        <f aca="false" t="array" ref="BC21:BC21">IF(COLUMN() - ($E21 + 5) &lt; 0, 0,
  IF(COLUMN() - ($E21 + 5) = 0, $F21,
    BB21 * (1 - IFERROR(INDEX('Inputs &amp; Assuptions'!$D$13:$D$72, COLUMN() - ($E21 + 5)), 0))
  )
)</f>
        <v>992.537561093392</v>
      </c>
      <c r="BD21" s="80" t="n">
        <f aca="false" t="array" ref="BD21:BD21">IF(COLUMN() - ($E21 + 5) &lt; 0, 0,
  IF(COLUMN() - ($E21 + 5) = 0, $F21,
    BC21 * (1 - IFERROR(INDEX('Inputs &amp; Assuptions'!$D$13:$D$72, COLUMN() - ($E21 + 5)), 0))
  )
)</f>
        <v>992.041292312846</v>
      </c>
      <c r="BE21" s="80" t="n">
        <f aca="false" t="array" ref="BE21:BE21">IF(COLUMN() - ($E21 + 5) &lt; 0, 0,
  IF(COLUMN() - ($E21 + 5) = 0, $F21,
    BD21 * (1 - IFERROR(INDEX('Inputs &amp; Assuptions'!$D$13:$D$72, COLUMN() - ($E21 + 5)), 0))
  )
)</f>
        <v>991.545271666689</v>
      </c>
      <c r="BF21" s="80" t="n">
        <f aca="false" t="array" ref="BF21:BF21">IF(COLUMN() - ($E21 + 5) &lt; 0, 0,
  IF(COLUMN() - ($E21 + 5) = 0, $F21,
    BE21 * (1 - IFERROR(INDEX('Inputs &amp; Assuptions'!$D$13:$D$72, COLUMN() - ($E21 + 5)), 0))
  )
)</f>
        <v>991.049499030856</v>
      </c>
      <c r="BG21" s="80" t="n">
        <f aca="false" t="array" ref="BG21:BG21">IF(COLUMN() - ($E21 + 5) &lt; 0, 0,
  IF(COLUMN() - ($E21 + 5) = 0, $F21,
    BF21 * (1 - IFERROR(INDEX('Inputs &amp; Assuptions'!$D$13:$D$72, COLUMN() - ($E21 + 5)), 0))
  )
)</f>
        <v>990.553974281341</v>
      </c>
      <c r="BH21" s="80" t="n">
        <f aca="false" t="array" ref="BH21:BH21">IF(COLUMN() - ($E21 + 5) &lt; 0, 0,
  IF(COLUMN() - ($E21 + 5) = 0, $F21,
    BG21 * (1 - IFERROR(INDEX('Inputs &amp; Assuptions'!$D$13:$D$72, COLUMN() - ($E21 + 5)), 0))
  )
)</f>
        <v>990.0586972942</v>
      </c>
      <c r="BI21" s="80" t="n">
        <f aca="false" t="array" ref="BI21:BI21">IF(COLUMN() - ($E21 + 5) &lt; 0, 0,
  IF(COLUMN() - ($E21 + 5) = 0, $F21,
    BH21 * (1 - IFERROR(INDEX('Inputs &amp; Assuptions'!$D$13:$D$72, COLUMN() - ($E21 + 5)), 0))
  )
)</f>
        <v>989.563667945553</v>
      </c>
      <c r="BJ21" s="80" t="n">
        <f aca="false" t="array" ref="BJ21:BJ21">IF(COLUMN() - ($E21 + 5) &lt; 0, 0,
  IF(COLUMN() - ($E21 + 5) = 0, $F21,
    BI21 * (1 - IFERROR(INDEX('Inputs &amp; Assuptions'!$D$13:$D$72, COLUMN() - ($E21 + 5)), 0))
  )
)</f>
        <v>989.06888611158</v>
      </c>
      <c r="BK21" s="80" t="n">
        <f aca="false" t="array" ref="BK21:BK21">IF(COLUMN() - ($E21 + 5) &lt; 0, 0,
  IF(COLUMN() - ($E21 + 5) = 0, $F21,
    BJ21 * (1 - IFERROR(INDEX('Inputs &amp; Assuptions'!$D$13:$D$72, COLUMN() - ($E21 + 5)), 0))
  )
)</f>
        <v>988.574351668525</v>
      </c>
      <c r="BL21" s="80" t="n">
        <f aca="false" t="array" ref="BL21:BL21">IF(COLUMN() - ($E21 + 5) &lt; 0, 0,
  IF(COLUMN() - ($E21 + 5) = 0, $F21,
    BK21 * (1 - IFERROR(INDEX('Inputs &amp; Assuptions'!$D$13:$D$72, COLUMN() - ($E21 + 5)), 0))
  )
)</f>
        <v>988.08006449269</v>
      </c>
      <c r="BM21" s="81" t="n">
        <f aca="false" t="array" ref="BM21:BM21">IF(COLUMN() - ($E21 + 5) &lt; 0, 0,
  IF(COLUMN() - ($E21 + 5) = 0, $F21,
    BL21 * (1 - IFERROR(INDEX('Inputs &amp; Assuptions'!$D$13:$D$72, COLUMN() - ($E21 + 5)), 0))
  )
)</f>
        <v>987.586024460444</v>
      </c>
      <c r="BN21" s="76"/>
    </row>
    <row r="22" customFormat="false" ht="14.25" hidden="false" customHeight="false" outlineLevel="0" collapsed="false">
      <c r="A22" s="29" t="n">
        <f aca="false">A21+1</f>
        <v>17</v>
      </c>
      <c r="B22" s="77" t="n">
        <f aca="false">IF(MOD($A22-1, 12) = 0, $B21 * 1.05, $B21)</f>
        <v>1050</v>
      </c>
      <c r="C22" s="93" t="n">
        <f aca="false">$B22*(1-'Inputs &amp; Assuptions'!$D$12)</f>
        <v>1026.9</v>
      </c>
      <c r="E22" s="29" t="n">
        <f aca="false">E21+1</f>
        <v>17</v>
      </c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 t="n">
        <f aca="false">$C22</f>
        <v>1026.9</v>
      </c>
      <c r="W22" s="80" t="n">
        <f aca="false" t="array" ref="W22:W22">IF(COLUMN() - ($E22 + 5) &lt; 0, 0,
  IF(COLUMN() - ($E22 + 5) = 0, $F22,
    V22 * (1 - IFERROR(INDEX('Inputs &amp; Assuptions'!$D$13:$D$72, COLUMN() - ($E22 + 5)), 0))
  )
)</f>
        <v>1021.7655</v>
      </c>
      <c r="X22" s="80" t="n">
        <f aca="false" t="array" ref="X22:X22">IF(COLUMN() - ($E22 + 5) &lt; 0, 0,
  IF(COLUMN() - ($E22 + 5) = 0, $F22,
    W22 * (1 - IFERROR(INDEX('Inputs &amp; Assuptions'!$D$13:$D$72, COLUMN() - ($E22 + 5)), 0))
  )
)</f>
        <v>1017.8827911</v>
      </c>
      <c r="Y22" s="80" t="n">
        <f aca="false" t="array" ref="Y22:Y22">IF(COLUMN() - ($E22 + 5) &lt; 0, 0,
  IF(COLUMN() - ($E22 + 5) = 0, $F22,
    X22 * (1 - IFERROR(INDEX('Inputs &amp; Assuptions'!$D$13:$D$72, COLUMN() - ($E22 + 5)), 0))
  )
)</f>
        <v>1015.33808412225</v>
      </c>
      <c r="Z22" s="80" t="n">
        <f aca="false" t="array" ref="Z22:Z22">IF(COLUMN() - ($E22 + 5) &lt; 0, 0,
  IF(COLUMN() - ($E22 + 5) = 0, $F22,
    Y22 * (1 - IFERROR(INDEX('Inputs &amp; Assuptions'!$D$13:$D$72, COLUMN() - ($E22 + 5)), 0))
  )
)</f>
        <v>1013.00280652877</v>
      </c>
      <c r="AA22" s="80" t="n">
        <f aca="false" t="array" ref="AA22:AA22">IF(COLUMN() - ($E22 + 5) &lt; 0, 0,
  IF(COLUMN() - ($E22 + 5) = 0, $F22,
    Z22 * (1 - IFERROR(INDEX('Inputs &amp; Assuptions'!$D$13:$D$72, COLUMN() - ($E22 + 5)), 0))
  )
)</f>
        <v>1010.97680091571</v>
      </c>
      <c r="AB22" s="80" t="n">
        <f aca="false" t="array" ref="AB22:AB22">IF(COLUMN() - ($E22 + 5) &lt; 0, 0,
  IF(COLUMN() - ($E22 + 5) = 0, $F22,
    AA22 * (1 - IFERROR(INDEX('Inputs &amp; Assuptions'!$D$13:$D$72, COLUMN() - ($E22 + 5)), 0))
  )
)</f>
        <v>1009.15704267406</v>
      </c>
      <c r="AC22" s="80" t="n">
        <f aca="false" t="array" ref="AC22:AC22">IF(COLUMN() - ($E22 + 5) &lt; 0, 0,
  IF(COLUMN() - ($E22 + 5) = 0, $F22,
    AB22 * (1 - IFERROR(INDEX('Inputs &amp; Assuptions'!$D$13:$D$72, COLUMN() - ($E22 + 5)), 0))
  )
)</f>
        <v>1007.64330711005</v>
      </c>
      <c r="AD22" s="80" t="n">
        <f aca="false" t="array" ref="AD22:AD22">IF(COLUMN() - ($E22 + 5) &lt; 0, 0,
  IF(COLUMN() - ($E22 + 5) = 0, $F22,
    AC22 * (1 - IFERROR(INDEX('Inputs &amp; Assuptions'!$D$13:$D$72, COLUMN() - ($E22 + 5)), 0))
  )
)</f>
        <v>1006.33337081081</v>
      </c>
      <c r="AE22" s="80" t="n">
        <f aca="false" t="array" ref="AE22:AE22">IF(COLUMN() - ($E22 + 5) &lt; 0, 0,
  IF(COLUMN() - ($E22 + 5) = 0, $F22,
    AD22 * (1 - IFERROR(INDEX('Inputs &amp; Assuptions'!$D$13:$D$72, COLUMN() - ($E22 + 5)), 0))
  )
)</f>
        <v>1005.32703744</v>
      </c>
      <c r="AF22" s="80" t="n">
        <f aca="false" t="array" ref="AF22:AF22">IF(COLUMN() - ($E22 + 5) &lt; 0, 0,
  IF(COLUMN() - ($E22 + 5) = 0, $F22,
    AE22 * (1 - IFERROR(INDEX('Inputs &amp; Assuptions'!$D$13:$D$72, COLUMN() - ($E22 + 5)), 0))
  )
)</f>
        <v>1004.52277581005</v>
      </c>
      <c r="AG22" s="80" t="n">
        <f aca="false" t="array" ref="AG22:AG22">IF(COLUMN() - ($E22 + 5) &lt; 0, 0,
  IF(COLUMN() - ($E22 + 5) = 0, $F22,
    AF22 * (1 - IFERROR(INDEX('Inputs &amp; Assuptions'!$D$13:$D$72, COLUMN() - ($E22 + 5)), 0))
  )
)</f>
        <v>1004.02051442214</v>
      </c>
      <c r="AH22" s="80" t="n">
        <f aca="false" t="array" ref="AH22:AH22">IF(COLUMN() - ($E22 + 5) &lt; 0, 0,
  IF(COLUMN() - ($E22 + 5) = 0, $F22,
    AG22 * (1 - IFERROR(INDEX('Inputs &amp; Assuptions'!$D$13:$D$72, COLUMN() - ($E22 + 5)), 0))
  )
)</f>
        <v>1003.51850416493</v>
      </c>
      <c r="AI22" s="80" t="n">
        <f aca="false" t="array" ref="AI22:AI22">IF(COLUMN() - ($E22 + 5) &lt; 0, 0,
  IF(COLUMN() - ($E22 + 5) = 0, $F22,
    AH22 * (1 - IFERROR(INDEX('Inputs &amp; Assuptions'!$D$13:$D$72, COLUMN() - ($E22 + 5)), 0))
  )
)</f>
        <v>1003.01674491285</v>
      </c>
      <c r="AJ22" s="80" t="n">
        <f aca="false" t="array" ref="AJ22:AJ22">IF(COLUMN() - ($E22 + 5) &lt; 0, 0,
  IF(COLUMN() - ($E22 + 5) = 0, $F22,
    AI22 * (1 - IFERROR(INDEX('Inputs &amp; Assuptions'!$D$13:$D$72, COLUMN() - ($E22 + 5)), 0))
  )
)</f>
        <v>1002.51523654039</v>
      </c>
      <c r="AK22" s="80" t="n">
        <f aca="false" t="array" ref="AK22:AK22">IF(COLUMN() - ($E22 + 5) &lt; 0, 0,
  IF(COLUMN() - ($E22 + 5) = 0, $F22,
    AJ22 * (1 - IFERROR(INDEX('Inputs &amp; Assuptions'!$D$13:$D$72, COLUMN() - ($E22 + 5)), 0))
  )
)</f>
        <v>1002.01397892212</v>
      </c>
      <c r="AL22" s="80" t="n">
        <f aca="false" t="array" ref="AL22:AL22">IF(COLUMN() - ($E22 + 5) &lt; 0, 0,
  IF(COLUMN() - ($E22 + 5) = 0, $F22,
    AK22 * (1 - IFERROR(INDEX('Inputs &amp; Assuptions'!$D$13:$D$72, COLUMN() - ($E22 + 5)), 0))
  )
)</f>
        <v>1001.51297193266</v>
      </c>
      <c r="AM22" s="80" t="n">
        <f aca="false" t="array" ref="AM22:AM22">IF(COLUMN() - ($E22 + 5) &lt; 0, 0,
  IF(COLUMN() - ($E22 + 5) = 0, $F22,
    AL22 * (1 - IFERROR(INDEX('Inputs &amp; Assuptions'!$D$13:$D$72, COLUMN() - ($E22 + 5)), 0))
  )
)</f>
        <v>1001.01221544669</v>
      </c>
      <c r="AN22" s="80" t="n">
        <f aca="false" t="array" ref="AN22:AN22">IF(COLUMN() - ($E22 + 5) &lt; 0, 0,
  IF(COLUMN() - ($E22 + 5) = 0, $F22,
    AM22 * (1 - IFERROR(INDEX('Inputs &amp; Assuptions'!$D$13:$D$72, COLUMN() - ($E22 + 5)), 0))
  )
)</f>
        <v>1000.51170933897</v>
      </c>
      <c r="AO22" s="80" t="n">
        <f aca="false" t="array" ref="AO22:AO22">IF(COLUMN() - ($E22 + 5) &lt; 0, 0,
  IF(COLUMN() - ($E22 + 5) = 0, $F22,
    AN22 * (1 - IFERROR(INDEX('Inputs &amp; Assuptions'!$D$13:$D$72, COLUMN() - ($E22 + 5)), 0))
  )
)</f>
        <v>1000.0114534843</v>
      </c>
      <c r="AP22" s="80" t="n">
        <f aca="false" t="array" ref="AP22:AP22">IF(COLUMN() - ($E22 + 5) &lt; 0, 0,
  IF(COLUMN() - ($E22 + 5) = 0, $F22,
    AO22 * (1 - IFERROR(INDEX('Inputs &amp; Assuptions'!$D$13:$D$72, COLUMN() - ($E22 + 5)), 0))
  )
)</f>
        <v>999.511447757559</v>
      </c>
      <c r="AQ22" s="80" t="n">
        <f aca="false" t="array" ref="AQ22:AQ22">IF(COLUMN() - ($E22 + 5) &lt; 0, 0,
  IF(COLUMN() - ($E22 + 5) = 0, $F22,
    AP22 * (1 - IFERROR(INDEX('Inputs &amp; Assuptions'!$D$13:$D$72, COLUMN() - ($E22 + 5)), 0))
  )
)</f>
        <v>999.011692033681</v>
      </c>
      <c r="AR22" s="80" t="n">
        <f aca="false" t="array" ref="AR22:AR22">IF(COLUMN() - ($E22 + 5) &lt; 0, 0,
  IF(COLUMN() - ($E22 + 5) = 0, $F22,
    AQ22 * (1 - IFERROR(INDEX('Inputs &amp; Assuptions'!$D$13:$D$72, COLUMN() - ($E22 + 5)), 0))
  )
)</f>
        <v>998.512186187664</v>
      </c>
      <c r="AS22" s="80" t="n">
        <f aca="false" t="array" ref="AS22:AS22">IF(COLUMN() - ($E22 + 5) &lt; 0, 0,
  IF(COLUMN() - ($E22 + 5) = 0, $F22,
    AR22 * (1 - IFERROR(INDEX('Inputs &amp; Assuptions'!$D$13:$D$72, COLUMN() - ($E22 + 5)), 0))
  )
)</f>
        <v>998.01293009457</v>
      </c>
      <c r="AT22" s="80" t="n">
        <f aca="false" t="array" ref="AT22:AT22">IF(COLUMN() - ($E22 + 5) &lt; 0, 0,
  IF(COLUMN() - ($E22 + 5) = 0, $F22,
    AS22 * (1 - IFERROR(INDEX('Inputs &amp; Assuptions'!$D$13:$D$72, COLUMN() - ($E22 + 5)), 0))
  )
)</f>
        <v>997.513923629523</v>
      </c>
      <c r="AU22" s="80" t="n">
        <f aca="false" t="array" ref="AU22:AU22">IF(COLUMN() - ($E22 + 5) &lt; 0, 0,
  IF(COLUMN() - ($E22 + 5) = 0, $F22,
    AT22 * (1 - IFERROR(INDEX('Inputs &amp; Assuptions'!$D$13:$D$72, COLUMN() - ($E22 + 5)), 0))
  )
)</f>
        <v>997.015166667708</v>
      </c>
      <c r="AV22" s="80" t="n">
        <f aca="false" t="array" ref="AV22:AV22">IF(COLUMN() - ($E22 + 5) &lt; 0, 0,
  IF(COLUMN() - ($E22 + 5) = 0, $F22,
    AU22 * (1 - IFERROR(INDEX('Inputs &amp; Assuptions'!$D$13:$D$72, COLUMN() - ($E22 + 5)), 0))
  )
)</f>
        <v>996.516659084374</v>
      </c>
      <c r="AW22" s="80" t="n">
        <f aca="false" t="array" ref="AW22:AW22">IF(COLUMN() - ($E22 + 5) &lt; 0, 0,
  IF(COLUMN() - ($E22 + 5) = 0, $F22,
    AV22 * (1 - IFERROR(INDEX('Inputs &amp; Assuptions'!$D$13:$D$72, COLUMN() - ($E22 + 5)), 0))
  )
)</f>
        <v>996.018400754832</v>
      </c>
      <c r="AX22" s="80" t="n">
        <f aca="false" t="array" ref="AX22:AX22">IF(COLUMN() - ($E22 + 5) &lt; 0, 0,
  IF(COLUMN() - ($E22 + 5) = 0, $F22,
    AW22 * (1 - IFERROR(INDEX('Inputs &amp; Assuptions'!$D$13:$D$72, COLUMN() - ($E22 + 5)), 0))
  )
)</f>
        <v>995.520391554455</v>
      </c>
      <c r="AY22" s="80" t="n">
        <f aca="false" t="array" ref="AY22:AY22">IF(COLUMN() - ($E22 + 5) &lt; 0, 0,
  IF(COLUMN() - ($E22 + 5) = 0, $F22,
    AX22 * (1 - IFERROR(INDEX('Inputs &amp; Assuptions'!$D$13:$D$72, COLUMN() - ($E22 + 5)), 0))
  )
)</f>
        <v>995.022631358678</v>
      </c>
      <c r="AZ22" s="80" t="n">
        <f aca="false" t="array" ref="AZ22:AZ22">IF(COLUMN() - ($E22 + 5) &lt; 0, 0,
  IF(COLUMN() - ($E22 + 5) = 0, $F22,
    AY22 * (1 - IFERROR(INDEX('Inputs &amp; Assuptions'!$D$13:$D$72, COLUMN() - ($E22 + 5)), 0))
  )
)</f>
        <v>994.525120042998</v>
      </c>
      <c r="BA22" s="80" t="n">
        <f aca="false" t="array" ref="BA22:BA22">IF(COLUMN() - ($E22 + 5) &lt; 0, 0,
  IF(COLUMN() - ($E22 + 5) = 0, $F22,
    AZ22 * (1 - IFERROR(INDEX('Inputs &amp; Assuptions'!$D$13:$D$72, COLUMN() - ($E22 + 5)), 0))
  )
)</f>
        <v>994.027857482977</v>
      </c>
      <c r="BB22" s="80" t="n">
        <f aca="false" t="array" ref="BB22:BB22">IF(COLUMN() - ($E22 + 5) &lt; 0, 0,
  IF(COLUMN() - ($E22 + 5) = 0, $F22,
    BA22 * (1 - IFERROR(INDEX('Inputs &amp; Assuptions'!$D$13:$D$72, COLUMN() - ($E22 + 5)), 0))
  )
)</f>
        <v>993.530843554236</v>
      </c>
      <c r="BC22" s="80" t="n">
        <f aca="false" t="array" ref="BC22:BC22">IF(COLUMN() - ($E22 + 5) &lt; 0, 0,
  IF(COLUMN() - ($E22 + 5) = 0, $F22,
    BB22 * (1 - IFERROR(INDEX('Inputs &amp; Assuptions'!$D$13:$D$72, COLUMN() - ($E22 + 5)), 0))
  )
)</f>
        <v>993.034078132459</v>
      </c>
      <c r="BD22" s="80" t="n">
        <f aca="false" t="array" ref="BD22:BD22">IF(COLUMN() - ($E22 + 5) &lt; 0, 0,
  IF(COLUMN() - ($E22 + 5) = 0, $F22,
    BC22 * (1 - IFERROR(INDEX('Inputs &amp; Assuptions'!$D$13:$D$72, COLUMN() - ($E22 + 5)), 0))
  )
)</f>
        <v>992.537561093392</v>
      </c>
      <c r="BE22" s="80" t="n">
        <f aca="false" t="array" ref="BE22:BE22">IF(COLUMN() - ($E22 + 5) &lt; 0, 0,
  IF(COLUMN() - ($E22 + 5) = 0, $F22,
    BD22 * (1 - IFERROR(INDEX('Inputs &amp; Assuptions'!$D$13:$D$72, COLUMN() - ($E22 + 5)), 0))
  )
)</f>
        <v>992.041292312846</v>
      </c>
      <c r="BF22" s="80" t="n">
        <f aca="false" t="array" ref="BF22:BF22">IF(COLUMN() - ($E22 + 5) &lt; 0, 0,
  IF(COLUMN() - ($E22 + 5) = 0, $F22,
    BE22 * (1 - IFERROR(INDEX('Inputs &amp; Assuptions'!$D$13:$D$72, COLUMN() - ($E22 + 5)), 0))
  )
)</f>
        <v>991.545271666689</v>
      </c>
      <c r="BG22" s="80" t="n">
        <f aca="false" t="array" ref="BG22:BG22">IF(COLUMN() - ($E22 + 5) &lt; 0, 0,
  IF(COLUMN() - ($E22 + 5) = 0, $F22,
    BF22 * (1 - IFERROR(INDEX('Inputs &amp; Assuptions'!$D$13:$D$72, COLUMN() - ($E22 + 5)), 0))
  )
)</f>
        <v>991.049499030856</v>
      </c>
      <c r="BH22" s="80" t="n">
        <f aca="false" t="array" ref="BH22:BH22">IF(COLUMN() - ($E22 + 5) &lt; 0, 0,
  IF(COLUMN() - ($E22 + 5) = 0, $F22,
    BG22 * (1 - IFERROR(INDEX('Inputs &amp; Assuptions'!$D$13:$D$72, COLUMN() - ($E22 + 5)), 0))
  )
)</f>
        <v>990.553974281341</v>
      </c>
      <c r="BI22" s="80" t="n">
        <f aca="false" t="array" ref="BI22:BI22">IF(COLUMN() - ($E22 + 5) &lt; 0, 0,
  IF(COLUMN() - ($E22 + 5) = 0, $F22,
    BH22 * (1 - IFERROR(INDEX('Inputs &amp; Assuptions'!$D$13:$D$72, COLUMN() - ($E22 + 5)), 0))
  )
)</f>
        <v>990.0586972942</v>
      </c>
      <c r="BJ22" s="80" t="n">
        <f aca="false" t="array" ref="BJ22:BJ22">IF(COLUMN() - ($E22 + 5) &lt; 0, 0,
  IF(COLUMN() - ($E22 + 5) = 0, $F22,
    BI22 * (1 - IFERROR(INDEX('Inputs &amp; Assuptions'!$D$13:$D$72, COLUMN() - ($E22 + 5)), 0))
  )
)</f>
        <v>989.563667945553</v>
      </c>
      <c r="BK22" s="80" t="n">
        <f aca="false" t="array" ref="BK22:BK22">IF(COLUMN() - ($E22 + 5) &lt; 0, 0,
  IF(COLUMN() - ($E22 + 5) = 0, $F22,
    BJ22 * (1 - IFERROR(INDEX('Inputs &amp; Assuptions'!$D$13:$D$72, COLUMN() - ($E22 + 5)), 0))
  )
)</f>
        <v>989.06888611158</v>
      </c>
      <c r="BL22" s="80" t="n">
        <f aca="false" t="array" ref="BL22:BL22">IF(COLUMN() - ($E22 + 5) &lt; 0, 0,
  IF(COLUMN() - ($E22 + 5) = 0, $F22,
    BK22 * (1 - IFERROR(INDEX('Inputs &amp; Assuptions'!$D$13:$D$72, COLUMN() - ($E22 + 5)), 0))
  )
)</f>
        <v>988.574351668525</v>
      </c>
      <c r="BM22" s="81" t="n">
        <f aca="false" t="array" ref="BM22:BM22">IF(COLUMN() - ($E22 + 5) &lt; 0, 0,
  IF(COLUMN() - ($E22 + 5) = 0, $F22,
    BL22 * (1 - IFERROR(INDEX('Inputs &amp; Assuptions'!$D$13:$D$72, COLUMN() - ($E22 + 5)), 0))
  )
)</f>
        <v>988.08006449269</v>
      </c>
      <c r="BN22" s="76"/>
    </row>
    <row r="23" customFormat="false" ht="14.25" hidden="false" customHeight="false" outlineLevel="0" collapsed="false">
      <c r="A23" s="29" t="n">
        <f aca="false">A22+1</f>
        <v>18</v>
      </c>
      <c r="B23" s="77" t="n">
        <f aca="false">IF(MOD($A23-1, 12) = 0, $B22 * 1.05, $B22)</f>
        <v>1050</v>
      </c>
      <c r="C23" s="93" t="n">
        <f aca="false">$B23*(1-'Inputs &amp; Assuptions'!$D$12)</f>
        <v>1026.9</v>
      </c>
      <c r="E23" s="29" t="n">
        <f aca="false">E22+1</f>
        <v>18</v>
      </c>
      <c r="F23" s="79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 t="n">
        <f aca="false">$C23</f>
        <v>1026.9</v>
      </c>
      <c r="X23" s="80" t="n">
        <f aca="false" t="array" ref="X23:X23">IF(COLUMN() - ($E23 + 5) &lt; 0, 0,
  IF(COLUMN() - ($E23 + 5) = 0, $F23,
    W23 * (1 - IFERROR(INDEX('Inputs &amp; Assuptions'!$D$13:$D$72, COLUMN() - ($E23 + 5)), 0))
  )
)</f>
        <v>1021.7655</v>
      </c>
      <c r="Y23" s="80" t="n">
        <f aca="false" t="array" ref="Y23:Y23">IF(COLUMN() - ($E23 + 5) &lt; 0, 0,
  IF(COLUMN() - ($E23 + 5) = 0, $F23,
    X23 * (1 - IFERROR(INDEX('Inputs &amp; Assuptions'!$D$13:$D$72, COLUMN() - ($E23 + 5)), 0))
  )
)</f>
        <v>1017.8827911</v>
      </c>
      <c r="Z23" s="80" t="n">
        <f aca="false" t="array" ref="Z23:Z23">IF(COLUMN() - ($E23 + 5) &lt; 0, 0,
  IF(COLUMN() - ($E23 + 5) = 0, $F23,
    Y23 * (1 - IFERROR(INDEX('Inputs &amp; Assuptions'!$D$13:$D$72, COLUMN() - ($E23 + 5)), 0))
  )
)</f>
        <v>1015.33808412225</v>
      </c>
      <c r="AA23" s="80" t="n">
        <f aca="false" t="array" ref="AA23:AA23">IF(COLUMN() - ($E23 + 5) &lt; 0, 0,
  IF(COLUMN() - ($E23 + 5) = 0, $F23,
    Z23 * (1 - IFERROR(INDEX('Inputs &amp; Assuptions'!$D$13:$D$72, COLUMN() - ($E23 + 5)), 0))
  )
)</f>
        <v>1013.00280652877</v>
      </c>
      <c r="AB23" s="80" t="n">
        <f aca="false" t="array" ref="AB23:AB23">IF(COLUMN() - ($E23 + 5) &lt; 0, 0,
  IF(COLUMN() - ($E23 + 5) = 0, $F23,
    AA23 * (1 - IFERROR(INDEX('Inputs &amp; Assuptions'!$D$13:$D$72, COLUMN() - ($E23 + 5)), 0))
  )
)</f>
        <v>1010.97680091571</v>
      </c>
      <c r="AC23" s="80" t="n">
        <f aca="false" t="array" ref="AC23:AC23">IF(COLUMN() - ($E23 + 5) &lt; 0, 0,
  IF(COLUMN() - ($E23 + 5) = 0, $F23,
    AB23 * (1 - IFERROR(INDEX('Inputs &amp; Assuptions'!$D$13:$D$72, COLUMN() - ($E23 + 5)), 0))
  )
)</f>
        <v>1009.15704267406</v>
      </c>
      <c r="AD23" s="80" t="n">
        <f aca="false" t="array" ref="AD23:AD23">IF(COLUMN() - ($E23 + 5) &lt; 0, 0,
  IF(COLUMN() - ($E23 + 5) = 0, $F23,
    AC23 * (1 - IFERROR(INDEX('Inputs &amp; Assuptions'!$D$13:$D$72, COLUMN() - ($E23 + 5)), 0))
  )
)</f>
        <v>1007.64330711005</v>
      </c>
      <c r="AE23" s="80" t="n">
        <f aca="false" t="array" ref="AE23:AE23">IF(COLUMN() - ($E23 + 5) &lt; 0, 0,
  IF(COLUMN() - ($E23 + 5) = 0, $F23,
    AD23 * (1 - IFERROR(INDEX('Inputs &amp; Assuptions'!$D$13:$D$72, COLUMN() - ($E23 + 5)), 0))
  )
)</f>
        <v>1006.33337081081</v>
      </c>
      <c r="AF23" s="80" t="n">
        <f aca="false" t="array" ref="AF23:AF23">IF(COLUMN() - ($E23 + 5) &lt; 0, 0,
  IF(COLUMN() - ($E23 + 5) = 0, $F23,
    AE23 * (1 - IFERROR(INDEX('Inputs &amp; Assuptions'!$D$13:$D$72, COLUMN() - ($E23 + 5)), 0))
  )
)</f>
        <v>1005.32703744</v>
      </c>
      <c r="AG23" s="80" t="n">
        <f aca="false" t="array" ref="AG23:AG23">IF(COLUMN() - ($E23 + 5) &lt; 0, 0,
  IF(COLUMN() - ($E23 + 5) = 0, $F23,
    AF23 * (1 - IFERROR(INDEX('Inputs &amp; Assuptions'!$D$13:$D$72, COLUMN() - ($E23 + 5)), 0))
  )
)</f>
        <v>1004.52277581005</v>
      </c>
      <c r="AH23" s="80" t="n">
        <f aca="false" t="array" ref="AH23:AH23">IF(COLUMN() - ($E23 + 5) &lt; 0, 0,
  IF(COLUMN() - ($E23 + 5) = 0, $F23,
    AG23 * (1 - IFERROR(INDEX('Inputs &amp; Assuptions'!$D$13:$D$72, COLUMN() - ($E23 + 5)), 0))
  )
)</f>
        <v>1004.02051442214</v>
      </c>
      <c r="AI23" s="80" t="n">
        <f aca="false" t="array" ref="AI23:AI23">IF(COLUMN() - ($E23 + 5) &lt; 0, 0,
  IF(COLUMN() - ($E23 + 5) = 0, $F23,
    AH23 * (1 - IFERROR(INDEX('Inputs &amp; Assuptions'!$D$13:$D$72, COLUMN() - ($E23 + 5)), 0))
  )
)</f>
        <v>1003.51850416493</v>
      </c>
      <c r="AJ23" s="80" t="n">
        <f aca="false" t="array" ref="AJ23:AJ23">IF(COLUMN() - ($E23 + 5) &lt; 0, 0,
  IF(COLUMN() - ($E23 + 5) = 0, $F23,
    AI23 * (1 - IFERROR(INDEX('Inputs &amp; Assuptions'!$D$13:$D$72, COLUMN() - ($E23 + 5)), 0))
  )
)</f>
        <v>1003.01674491285</v>
      </c>
      <c r="AK23" s="80" t="n">
        <f aca="false" t="array" ref="AK23:AK23">IF(COLUMN() - ($E23 + 5) &lt; 0, 0,
  IF(COLUMN() - ($E23 + 5) = 0, $F23,
    AJ23 * (1 - IFERROR(INDEX('Inputs &amp; Assuptions'!$D$13:$D$72, COLUMN() - ($E23 + 5)), 0))
  )
)</f>
        <v>1002.51523654039</v>
      </c>
      <c r="AL23" s="80" t="n">
        <f aca="false" t="array" ref="AL23:AL23">IF(COLUMN() - ($E23 + 5) &lt; 0, 0,
  IF(COLUMN() - ($E23 + 5) = 0, $F23,
    AK23 * (1 - IFERROR(INDEX('Inputs &amp; Assuptions'!$D$13:$D$72, COLUMN() - ($E23 + 5)), 0))
  )
)</f>
        <v>1002.01397892212</v>
      </c>
      <c r="AM23" s="80" t="n">
        <f aca="false" t="array" ref="AM23:AM23">IF(COLUMN() - ($E23 + 5) &lt; 0, 0,
  IF(COLUMN() - ($E23 + 5) = 0, $F23,
    AL23 * (1 - IFERROR(INDEX('Inputs &amp; Assuptions'!$D$13:$D$72, COLUMN() - ($E23 + 5)), 0))
  )
)</f>
        <v>1001.51297193266</v>
      </c>
      <c r="AN23" s="80" t="n">
        <f aca="false" t="array" ref="AN23:AN23">IF(COLUMN() - ($E23 + 5) &lt; 0, 0,
  IF(COLUMN() - ($E23 + 5) = 0, $F23,
    AM23 * (1 - IFERROR(INDEX('Inputs &amp; Assuptions'!$D$13:$D$72, COLUMN() - ($E23 + 5)), 0))
  )
)</f>
        <v>1001.01221544669</v>
      </c>
      <c r="AO23" s="80" t="n">
        <f aca="false" t="array" ref="AO23:AO23">IF(COLUMN() - ($E23 + 5) &lt; 0, 0,
  IF(COLUMN() - ($E23 + 5) = 0, $F23,
    AN23 * (1 - IFERROR(INDEX('Inputs &amp; Assuptions'!$D$13:$D$72, COLUMN() - ($E23 + 5)), 0))
  )
)</f>
        <v>1000.51170933897</v>
      </c>
      <c r="AP23" s="80" t="n">
        <f aca="false" t="array" ref="AP23:AP23">IF(COLUMN() - ($E23 + 5) &lt; 0, 0,
  IF(COLUMN() - ($E23 + 5) = 0, $F23,
    AO23 * (1 - IFERROR(INDEX('Inputs &amp; Assuptions'!$D$13:$D$72, COLUMN() - ($E23 + 5)), 0))
  )
)</f>
        <v>1000.0114534843</v>
      </c>
      <c r="AQ23" s="80" t="n">
        <f aca="false" t="array" ref="AQ23:AQ23">IF(COLUMN() - ($E23 + 5) &lt; 0, 0,
  IF(COLUMN() - ($E23 + 5) = 0, $F23,
    AP23 * (1 - IFERROR(INDEX('Inputs &amp; Assuptions'!$D$13:$D$72, COLUMN() - ($E23 + 5)), 0))
  )
)</f>
        <v>999.511447757559</v>
      </c>
      <c r="AR23" s="80" t="n">
        <f aca="false" t="array" ref="AR23:AR23">IF(COLUMN() - ($E23 + 5) &lt; 0, 0,
  IF(COLUMN() - ($E23 + 5) = 0, $F23,
    AQ23 * (1 - IFERROR(INDEX('Inputs &amp; Assuptions'!$D$13:$D$72, COLUMN() - ($E23 + 5)), 0))
  )
)</f>
        <v>999.011692033681</v>
      </c>
      <c r="AS23" s="80" t="n">
        <f aca="false" t="array" ref="AS23:AS23">IF(COLUMN() - ($E23 + 5) &lt; 0, 0,
  IF(COLUMN() - ($E23 + 5) = 0, $F23,
    AR23 * (1 - IFERROR(INDEX('Inputs &amp; Assuptions'!$D$13:$D$72, COLUMN() - ($E23 + 5)), 0))
  )
)</f>
        <v>998.512186187664</v>
      </c>
      <c r="AT23" s="80" t="n">
        <f aca="false" t="array" ref="AT23:AT23">IF(COLUMN() - ($E23 + 5) &lt; 0, 0,
  IF(COLUMN() - ($E23 + 5) = 0, $F23,
    AS23 * (1 - IFERROR(INDEX('Inputs &amp; Assuptions'!$D$13:$D$72, COLUMN() - ($E23 + 5)), 0))
  )
)</f>
        <v>998.01293009457</v>
      </c>
      <c r="AU23" s="80" t="n">
        <f aca="false" t="array" ref="AU23:AU23">IF(COLUMN() - ($E23 + 5) &lt; 0, 0,
  IF(COLUMN() - ($E23 + 5) = 0, $F23,
    AT23 * (1 - IFERROR(INDEX('Inputs &amp; Assuptions'!$D$13:$D$72, COLUMN() - ($E23 + 5)), 0))
  )
)</f>
        <v>997.513923629523</v>
      </c>
      <c r="AV23" s="80" t="n">
        <f aca="false" t="array" ref="AV23:AV23">IF(COLUMN() - ($E23 + 5) &lt; 0, 0,
  IF(COLUMN() - ($E23 + 5) = 0, $F23,
    AU23 * (1 - IFERROR(INDEX('Inputs &amp; Assuptions'!$D$13:$D$72, COLUMN() - ($E23 + 5)), 0))
  )
)</f>
        <v>997.015166667708</v>
      </c>
      <c r="AW23" s="80" t="n">
        <f aca="false" t="array" ref="AW23:AW23">IF(COLUMN() - ($E23 + 5) &lt; 0, 0,
  IF(COLUMN() - ($E23 + 5) = 0, $F23,
    AV23 * (1 - IFERROR(INDEX('Inputs &amp; Assuptions'!$D$13:$D$72, COLUMN() - ($E23 + 5)), 0))
  )
)</f>
        <v>996.516659084374</v>
      </c>
      <c r="AX23" s="80" t="n">
        <f aca="false" t="array" ref="AX23:AX23">IF(COLUMN() - ($E23 + 5) &lt; 0, 0,
  IF(COLUMN() - ($E23 + 5) = 0, $F23,
    AW23 * (1 - IFERROR(INDEX('Inputs &amp; Assuptions'!$D$13:$D$72, COLUMN() - ($E23 + 5)), 0))
  )
)</f>
        <v>996.018400754832</v>
      </c>
      <c r="AY23" s="80" t="n">
        <f aca="false" t="array" ref="AY23:AY23">IF(COLUMN() - ($E23 + 5) &lt; 0, 0,
  IF(COLUMN() - ($E23 + 5) = 0, $F23,
    AX23 * (1 - IFERROR(INDEX('Inputs &amp; Assuptions'!$D$13:$D$72, COLUMN() - ($E23 + 5)), 0))
  )
)</f>
        <v>995.520391554455</v>
      </c>
      <c r="AZ23" s="80" t="n">
        <f aca="false" t="array" ref="AZ23:AZ23">IF(COLUMN() - ($E23 + 5) &lt; 0, 0,
  IF(COLUMN() - ($E23 + 5) = 0, $F23,
    AY23 * (1 - IFERROR(INDEX('Inputs &amp; Assuptions'!$D$13:$D$72, COLUMN() - ($E23 + 5)), 0))
  )
)</f>
        <v>995.022631358678</v>
      </c>
      <c r="BA23" s="80" t="n">
        <f aca="false" t="array" ref="BA23:BA23">IF(COLUMN() - ($E23 + 5) &lt; 0, 0,
  IF(COLUMN() - ($E23 + 5) = 0, $F23,
    AZ23 * (1 - IFERROR(INDEX('Inputs &amp; Assuptions'!$D$13:$D$72, COLUMN() - ($E23 + 5)), 0))
  )
)</f>
        <v>994.525120042998</v>
      </c>
      <c r="BB23" s="80" t="n">
        <f aca="false" t="array" ref="BB23:BB23">IF(COLUMN() - ($E23 + 5) &lt; 0, 0,
  IF(COLUMN() - ($E23 + 5) = 0, $F23,
    BA23 * (1 - IFERROR(INDEX('Inputs &amp; Assuptions'!$D$13:$D$72, COLUMN() - ($E23 + 5)), 0))
  )
)</f>
        <v>994.027857482977</v>
      </c>
      <c r="BC23" s="80" t="n">
        <f aca="false" t="array" ref="BC23:BC23">IF(COLUMN() - ($E23 + 5) &lt; 0, 0,
  IF(COLUMN() - ($E23 + 5) = 0, $F23,
    BB23 * (1 - IFERROR(INDEX('Inputs &amp; Assuptions'!$D$13:$D$72, COLUMN() - ($E23 + 5)), 0))
  )
)</f>
        <v>993.530843554236</v>
      </c>
      <c r="BD23" s="80" t="n">
        <f aca="false" t="array" ref="BD23:BD23">IF(COLUMN() - ($E23 + 5) &lt; 0, 0,
  IF(COLUMN() - ($E23 + 5) = 0, $F23,
    BC23 * (1 - IFERROR(INDEX('Inputs &amp; Assuptions'!$D$13:$D$72, COLUMN() - ($E23 + 5)), 0))
  )
)</f>
        <v>993.034078132459</v>
      </c>
      <c r="BE23" s="80" t="n">
        <f aca="false" t="array" ref="BE23:BE23">IF(COLUMN() - ($E23 + 5) &lt; 0, 0,
  IF(COLUMN() - ($E23 + 5) = 0, $F23,
    BD23 * (1 - IFERROR(INDEX('Inputs &amp; Assuptions'!$D$13:$D$72, COLUMN() - ($E23 + 5)), 0))
  )
)</f>
        <v>992.537561093392</v>
      </c>
      <c r="BF23" s="80" t="n">
        <f aca="false" t="array" ref="BF23:BF23">IF(COLUMN() - ($E23 + 5) &lt; 0, 0,
  IF(COLUMN() - ($E23 + 5) = 0, $F23,
    BE23 * (1 - IFERROR(INDEX('Inputs &amp; Assuptions'!$D$13:$D$72, COLUMN() - ($E23 + 5)), 0))
  )
)</f>
        <v>992.041292312846</v>
      </c>
      <c r="BG23" s="80" t="n">
        <f aca="false" t="array" ref="BG23:BG23">IF(COLUMN() - ($E23 + 5) &lt; 0, 0,
  IF(COLUMN() - ($E23 + 5) = 0, $F23,
    BF23 * (1 - IFERROR(INDEX('Inputs &amp; Assuptions'!$D$13:$D$72, COLUMN() - ($E23 + 5)), 0))
  )
)</f>
        <v>991.545271666689</v>
      </c>
      <c r="BH23" s="80" t="n">
        <f aca="false" t="array" ref="BH23:BH23">IF(COLUMN() - ($E23 + 5) &lt; 0, 0,
  IF(COLUMN() - ($E23 + 5) = 0, $F23,
    BG23 * (1 - IFERROR(INDEX('Inputs &amp; Assuptions'!$D$13:$D$72, COLUMN() - ($E23 + 5)), 0))
  )
)</f>
        <v>991.049499030856</v>
      </c>
      <c r="BI23" s="80" t="n">
        <f aca="false" t="array" ref="BI23:BI23">IF(COLUMN() - ($E23 + 5) &lt; 0, 0,
  IF(COLUMN() - ($E23 + 5) = 0, $F23,
    BH23 * (1 - IFERROR(INDEX('Inputs &amp; Assuptions'!$D$13:$D$72, COLUMN() - ($E23 + 5)), 0))
  )
)</f>
        <v>990.553974281341</v>
      </c>
      <c r="BJ23" s="80" t="n">
        <f aca="false" t="array" ref="BJ23:BJ23">IF(COLUMN() - ($E23 + 5) &lt; 0, 0,
  IF(COLUMN() - ($E23 + 5) = 0, $F23,
    BI23 * (1 - IFERROR(INDEX('Inputs &amp; Assuptions'!$D$13:$D$72, COLUMN() - ($E23 + 5)), 0))
  )
)</f>
        <v>990.0586972942</v>
      </c>
      <c r="BK23" s="80" t="n">
        <f aca="false" t="array" ref="BK23:BK23">IF(COLUMN() - ($E23 + 5) &lt; 0, 0,
  IF(COLUMN() - ($E23 + 5) = 0, $F23,
    BJ23 * (1 - IFERROR(INDEX('Inputs &amp; Assuptions'!$D$13:$D$72, COLUMN() - ($E23 + 5)), 0))
  )
)</f>
        <v>989.563667945553</v>
      </c>
      <c r="BL23" s="80" t="n">
        <f aca="false" t="array" ref="BL23:BL23">IF(COLUMN() - ($E23 + 5) &lt; 0, 0,
  IF(COLUMN() - ($E23 + 5) = 0, $F23,
    BK23 * (1 - IFERROR(INDEX('Inputs &amp; Assuptions'!$D$13:$D$72, COLUMN() - ($E23 + 5)), 0))
  )
)</f>
        <v>989.06888611158</v>
      </c>
      <c r="BM23" s="81" t="n">
        <f aca="false" t="array" ref="BM23:BM23">IF(COLUMN() - ($E23 + 5) &lt; 0, 0,
  IF(COLUMN() - ($E23 + 5) = 0, $F23,
    BL23 * (1 - IFERROR(INDEX('Inputs &amp; Assuptions'!$D$13:$D$72, COLUMN() - ($E23 + 5)), 0))
  )
)</f>
        <v>988.574351668525</v>
      </c>
      <c r="BN23" s="76"/>
    </row>
    <row r="24" customFormat="false" ht="14.25" hidden="false" customHeight="false" outlineLevel="0" collapsed="false">
      <c r="A24" s="29" t="n">
        <f aca="false">A23+1</f>
        <v>19</v>
      </c>
      <c r="B24" s="77" t="n">
        <f aca="false">IF(MOD($A24-1, 12) = 0, $B23 * 1.05, $B23)</f>
        <v>1050</v>
      </c>
      <c r="C24" s="93" t="n">
        <f aca="false">$B24*(1-'Inputs &amp; Assuptions'!$D$12)</f>
        <v>1026.9</v>
      </c>
      <c r="E24" s="29" t="n">
        <f aca="false">E23+1</f>
        <v>19</v>
      </c>
      <c r="F24" s="79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 t="n">
        <f aca="false">$C24</f>
        <v>1026.9</v>
      </c>
      <c r="Y24" s="80" t="n">
        <f aca="false" t="array" ref="Y24:Y24">IF(COLUMN() - ($E24 + 5) &lt; 0, 0,
  IF(COLUMN() - ($E24 + 5) = 0, $F24,
    X24 * (1 - IFERROR(INDEX('Inputs &amp; Assuptions'!$D$13:$D$72, COLUMN() - ($E24 + 5)), 0))
  )
)</f>
        <v>1021.7655</v>
      </c>
      <c r="Z24" s="80" t="n">
        <f aca="false" t="array" ref="Z24:Z24">IF(COLUMN() - ($E24 + 5) &lt; 0, 0,
  IF(COLUMN() - ($E24 + 5) = 0, $F24,
    Y24 * (1 - IFERROR(INDEX('Inputs &amp; Assuptions'!$D$13:$D$72, COLUMN() - ($E24 + 5)), 0))
  )
)</f>
        <v>1017.8827911</v>
      </c>
      <c r="AA24" s="80" t="n">
        <f aca="false" t="array" ref="AA24:AA24">IF(COLUMN() - ($E24 + 5) &lt; 0, 0,
  IF(COLUMN() - ($E24 + 5) = 0, $F24,
    Z24 * (1 - IFERROR(INDEX('Inputs &amp; Assuptions'!$D$13:$D$72, COLUMN() - ($E24 + 5)), 0))
  )
)</f>
        <v>1015.33808412225</v>
      </c>
      <c r="AB24" s="80" t="n">
        <f aca="false" t="array" ref="AB24:AB24">IF(COLUMN() - ($E24 + 5) &lt; 0, 0,
  IF(COLUMN() - ($E24 + 5) = 0, $F24,
    AA24 * (1 - IFERROR(INDEX('Inputs &amp; Assuptions'!$D$13:$D$72, COLUMN() - ($E24 + 5)), 0))
  )
)</f>
        <v>1013.00280652877</v>
      </c>
      <c r="AC24" s="80" t="n">
        <f aca="false" t="array" ref="AC24:AC24">IF(COLUMN() - ($E24 + 5) &lt; 0, 0,
  IF(COLUMN() - ($E24 + 5) = 0, $F24,
    AB24 * (1 - IFERROR(INDEX('Inputs &amp; Assuptions'!$D$13:$D$72, COLUMN() - ($E24 + 5)), 0))
  )
)</f>
        <v>1010.97680091571</v>
      </c>
      <c r="AD24" s="80" t="n">
        <f aca="false" t="array" ref="AD24:AD24">IF(COLUMN() - ($E24 + 5) &lt; 0, 0,
  IF(COLUMN() - ($E24 + 5) = 0, $F24,
    AC24 * (1 - IFERROR(INDEX('Inputs &amp; Assuptions'!$D$13:$D$72, COLUMN() - ($E24 + 5)), 0))
  )
)</f>
        <v>1009.15704267406</v>
      </c>
      <c r="AE24" s="80" t="n">
        <f aca="false" t="array" ref="AE24:AE24">IF(COLUMN() - ($E24 + 5) &lt; 0, 0,
  IF(COLUMN() - ($E24 + 5) = 0, $F24,
    AD24 * (1 - IFERROR(INDEX('Inputs &amp; Assuptions'!$D$13:$D$72, COLUMN() - ($E24 + 5)), 0))
  )
)</f>
        <v>1007.64330711005</v>
      </c>
      <c r="AF24" s="80" t="n">
        <f aca="false" t="array" ref="AF24:AF24">IF(COLUMN() - ($E24 + 5) &lt; 0, 0,
  IF(COLUMN() - ($E24 + 5) = 0, $F24,
    AE24 * (1 - IFERROR(INDEX('Inputs &amp; Assuptions'!$D$13:$D$72, COLUMN() - ($E24 + 5)), 0))
  )
)</f>
        <v>1006.33337081081</v>
      </c>
      <c r="AG24" s="80" t="n">
        <f aca="false" t="array" ref="AG24:AG24">IF(COLUMN() - ($E24 + 5) &lt; 0, 0,
  IF(COLUMN() - ($E24 + 5) = 0, $F24,
    AF24 * (1 - IFERROR(INDEX('Inputs &amp; Assuptions'!$D$13:$D$72, COLUMN() - ($E24 + 5)), 0))
  )
)</f>
        <v>1005.32703744</v>
      </c>
      <c r="AH24" s="80" t="n">
        <f aca="false" t="array" ref="AH24:AH24">IF(COLUMN() - ($E24 + 5) &lt; 0, 0,
  IF(COLUMN() - ($E24 + 5) = 0, $F24,
    AG24 * (1 - IFERROR(INDEX('Inputs &amp; Assuptions'!$D$13:$D$72, COLUMN() - ($E24 + 5)), 0))
  )
)</f>
        <v>1004.52277581005</v>
      </c>
      <c r="AI24" s="80" t="n">
        <f aca="false" t="array" ref="AI24:AI24">IF(COLUMN() - ($E24 + 5) &lt; 0, 0,
  IF(COLUMN() - ($E24 + 5) = 0, $F24,
    AH24 * (1 - IFERROR(INDEX('Inputs &amp; Assuptions'!$D$13:$D$72, COLUMN() - ($E24 + 5)), 0))
  )
)</f>
        <v>1004.02051442214</v>
      </c>
      <c r="AJ24" s="80" t="n">
        <f aca="false" t="array" ref="AJ24:AJ24">IF(COLUMN() - ($E24 + 5) &lt; 0, 0,
  IF(COLUMN() - ($E24 + 5) = 0, $F24,
    AI24 * (1 - IFERROR(INDEX('Inputs &amp; Assuptions'!$D$13:$D$72, COLUMN() - ($E24 + 5)), 0))
  )
)</f>
        <v>1003.51850416493</v>
      </c>
      <c r="AK24" s="80" t="n">
        <f aca="false" t="array" ref="AK24:AK24">IF(COLUMN() - ($E24 + 5) &lt; 0, 0,
  IF(COLUMN() - ($E24 + 5) = 0, $F24,
    AJ24 * (1 - IFERROR(INDEX('Inputs &amp; Assuptions'!$D$13:$D$72, COLUMN() - ($E24 + 5)), 0))
  )
)</f>
        <v>1003.01674491285</v>
      </c>
      <c r="AL24" s="80" t="n">
        <f aca="false" t="array" ref="AL24:AL24">IF(COLUMN() - ($E24 + 5) &lt; 0, 0,
  IF(COLUMN() - ($E24 + 5) = 0, $F24,
    AK24 * (1 - IFERROR(INDEX('Inputs &amp; Assuptions'!$D$13:$D$72, COLUMN() - ($E24 + 5)), 0))
  )
)</f>
        <v>1002.51523654039</v>
      </c>
      <c r="AM24" s="80" t="n">
        <f aca="false" t="array" ref="AM24:AM24">IF(COLUMN() - ($E24 + 5) &lt; 0, 0,
  IF(COLUMN() - ($E24 + 5) = 0, $F24,
    AL24 * (1 - IFERROR(INDEX('Inputs &amp; Assuptions'!$D$13:$D$72, COLUMN() - ($E24 + 5)), 0))
  )
)</f>
        <v>1002.01397892212</v>
      </c>
      <c r="AN24" s="80" t="n">
        <f aca="false" t="array" ref="AN24:AN24">IF(COLUMN() - ($E24 + 5) &lt; 0, 0,
  IF(COLUMN() - ($E24 + 5) = 0, $F24,
    AM24 * (1 - IFERROR(INDEX('Inputs &amp; Assuptions'!$D$13:$D$72, COLUMN() - ($E24 + 5)), 0))
  )
)</f>
        <v>1001.51297193266</v>
      </c>
      <c r="AO24" s="80" t="n">
        <f aca="false" t="array" ref="AO24:AO24">IF(COLUMN() - ($E24 + 5) &lt; 0, 0,
  IF(COLUMN() - ($E24 + 5) = 0, $F24,
    AN24 * (1 - IFERROR(INDEX('Inputs &amp; Assuptions'!$D$13:$D$72, COLUMN() - ($E24 + 5)), 0))
  )
)</f>
        <v>1001.01221544669</v>
      </c>
      <c r="AP24" s="80" t="n">
        <f aca="false" t="array" ref="AP24:AP24">IF(COLUMN() - ($E24 + 5) &lt; 0, 0,
  IF(COLUMN() - ($E24 + 5) = 0, $F24,
    AO24 * (1 - IFERROR(INDEX('Inputs &amp; Assuptions'!$D$13:$D$72, COLUMN() - ($E24 + 5)), 0))
  )
)</f>
        <v>1000.51170933897</v>
      </c>
      <c r="AQ24" s="80" t="n">
        <f aca="false" t="array" ref="AQ24:AQ24">IF(COLUMN() - ($E24 + 5) &lt; 0, 0,
  IF(COLUMN() - ($E24 + 5) = 0, $F24,
    AP24 * (1 - IFERROR(INDEX('Inputs &amp; Assuptions'!$D$13:$D$72, COLUMN() - ($E24 + 5)), 0))
  )
)</f>
        <v>1000.0114534843</v>
      </c>
      <c r="AR24" s="80" t="n">
        <f aca="false" t="array" ref="AR24:AR24">IF(COLUMN() - ($E24 + 5) &lt; 0, 0,
  IF(COLUMN() - ($E24 + 5) = 0, $F24,
    AQ24 * (1 - IFERROR(INDEX('Inputs &amp; Assuptions'!$D$13:$D$72, COLUMN() - ($E24 + 5)), 0))
  )
)</f>
        <v>999.511447757559</v>
      </c>
      <c r="AS24" s="80" t="n">
        <f aca="false" t="array" ref="AS24:AS24">IF(COLUMN() - ($E24 + 5) &lt; 0, 0,
  IF(COLUMN() - ($E24 + 5) = 0, $F24,
    AR24 * (1 - IFERROR(INDEX('Inputs &amp; Assuptions'!$D$13:$D$72, COLUMN() - ($E24 + 5)), 0))
  )
)</f>
        <v>999.011692033681</v>
      </c>
      <c r="AT24" s="80" t="n">
        <f aca="false" t="array" ref="AT24:AT24">IF(COLUMN() - ($E24 + 5) &lt; 0, 0,
  IF(COLUMN() - ($E24 + 5) = 0, $F24,
    AS24 * (1 - IFERROR(INDEX('Inputs &amp; Assuptions'!$D$13:$D$72, COLUMN() - ($E24 + 5)), 0))
  )
)</f>
        <v>998.512186187664</v>
      </c>
      <c r="AU24" s="80" t="n">
        <f aca="false" t="array" ref="AU24:AU24">IF(COLUMN() - ($E24 + 5) &lt; 0, 0,
  IF(COLUMN() - ($E24 + 5) = 0, $F24,
    AT24 * (1 - IFERROR(INDEX('Inputs &amp; Assuptions'!$D$13:$D$72, COLUMN() - ($E24 + 5)), 0))
  )
)</f>
        <v>998.01293009457</v>
      </c>
      <c r="AV24" s="80" t="n">
        <f aca="false" t="array" ref="AV24:AV24">IF(COLUMN() - ($E24 + 5) &lt; 0, 0,
  IF(COLUMN() - ($E24 + 5) = 0, $F24,
    AU24 * (1 - IFERROR(INDEX('Inputs &amp; Assuptions'!$D$13:$D$72, COLUMN() - ($E24 + 5)), 0))
  )
)</f>
        <v>997.513923629523</v>
      </c>
      <c r="AW24" s="80" t="n">
        <f aca="false" t="array" ref="AW24:AW24">IF(COLUMN() - ($E24 + 5) &lt; 0, 0,
  IF(COLUMN() - ($E24 + 5) = 0, $F24,
    AV24 * (1 - IFERROR(INDEX('Inputs &amp; Assuptions'!$D$13:$D$72, COLUMN() - ($E24 + 5)), 0))
  )
)</f>
        <v>997.015166667708</v>
      </c>
      <c r="AX24" s="80" t="n">
        <f aca="false" t="array" ref="AX24:AX24">IF(COLUMN() - ($E24 + 5) &lt; 0, 0,
  IF(COLUMN() - ($E24 + 5) = 0, $F24,
    AW24 * (1 - IFERROR(INDEX('Inputs &amp; Assuptions'!$D$13:$D$72, COLUMN() - ($E24 + 5)), 0))
  )
)</f>
        <v>996.516659084374</v>
      </c>
      <c r="AY24" s="80" t="n">
        <f aca="false" t="array" ref="AY24:AY24">IF(COLUMN() - ($E24 + 5) &lt; 0, 0,
  IF(COLUMN() - ($E24 + 5) = 0, $F24,
    AX24 * (1 - IFERROR(INDEX('Inputs &amp; Assuptions'!$D$13:$D$72, COLUMN() - ($E24 + 5)), 0))
  )
)</f>
        <v>996.018400754832</v>
      </c>
      <c r="AZ24" s="80" t="n">
        <f aca="false" t="array" ref="AZ24:AZ24">IF(COLUMN() - ($E24 + 5) &lt; 0, 0,
  IF(COLUMN() - ($E24 + 5) = 0, $F24,
    AY24 * (1 - IFERROR(INDEX('Inputs &amp; Assuptions'!$D$13:$D$72, COLUMN() - ($E24 + 5)), 0))
  )
)</f>
        <v>995.520391554455</v>
      </c>
      <c r="BA24" s="80" t="n">
        <f aca="false" t="array" ref="BA24:BA24">IF(COLUMN() - ($E24 + 5) &lt; 0, 0,
  IF(COLUMN() - ($E24 + 5) = 0, $F24,
    AZ24 * (1 - IFERROR(INDEX('Inputs &amp; Assuptions'!$D$13:$D$72, COLUMN() - ($E24 + 5)), 0))
  )
)</f>
        <v>995.022631358678</v>
      </c>
      <c r="BB24" s="80" t="n">
        <f aca="false" t="array" ref="BB24:BB24">IF(COLUMN() - ($E24 + 5) &lt; 0, 0,
  IF(COLUMN() - ($E24 + 5) = 0, $F24,
    BA24 * (1 - IFERROR(INDEX('Inputs &amp; Assuptions'!$D$13:$D$72, COLUMN() - ($E24 + 5)), 0))
  )
)</f>
        <v>994.525120042998</v>
      </c>
      <c r="BC24" s="80" t="n">
        <f aca="false" t="array" ref="BC24:BC24">IF(COLUMN() - ($E24 + 5) &lt; 0, 0,
  IF(COLUMN() - ($E24 + 5) = 0, $F24,
    BB24 * (1 - IFERROR(INDEX('Inputs &amp; Assuptions'!$D$13:$D$72, COLUMN() - ($E24 + 5)), 0))
  )
)</f>
        <v>994.027857482977</v>
      </c>
      <c r="BD24" s="80" t="n">
        <f aca="false" t="array" ref="BD24:BD24">IF(COLUMN() - ($E24 + 5) &lt; 0, 0,
  IF(COLUMN() - ($E24 + 5) = 0, $F24,
    BC24 * (1 - IFERROR(INDEX('Inputs &amp; Assuptions'!$D$13:$D$72, COLUMN() - ($E24 + 5)), 0))
  )
)</f>
        <v>993.530843554236</v>
      </c>
      <c r="BE24" s="80" t="n">
        <f aca="false" t="array" ref="BE24:BE24">IF(COLUMN() - ($E24 + 5) &lt; 0, 0,
  IF(COLUMN() - ($E24 + 5) = 0, $F24,
    BD24 * (1 - IFERROR(INDEX('Inputs &amp; Assuptions'!$D$13:$D$72, COLUMN() - ($E24 + 5)), 0))
  )
)</f>
        <v>993.034078132459</v>
      </c>
      <c r="BF24" s="80" t="n">
        <f aca="false" t="array" ref="BF24:BF24">IF(COLUMN() - ($E24 + 5) &lt; 0, 0,
  IF(COLUMN() - ($E24 + 5) = 0, $F24,
    BE24 * (1 - IFERROR(INDEX('Inputs &amp; Assuptions'!$D$13:$D$72, COLUMN() - ($E24 + 5)), 0))
  )
)</f>
        <v>992.537561093392</v>
      </c>
      <c r="BG24" s="80" t="n">
        <f aca="false" t="array" ref="BG24:BG24">IF(COLUMN() - ($E24 + 5) &lt; 0, 0,
  IF(COLUMN() - ($E24 + 5) = 0, $F24,
    BF24 * (1 - IFERROR(INDEX('Inputs &amp; Assuptions'!$D$13:$D$72, COLUMN() - ($E24 + 5)), 0))
  )
)</f>
        <v>992.041292312846</v>
      </c>
      <c r="BH24" s="80" t="n">
        <f aca="false" t="array" ref="BH24:BH24">IF(COLUMN() - ($E24 + 5) &lt; 0, 0,
  IF(COLUMN() - ($E24 + 5) = 0, $F24,
    BG24 * (1 - IFERROR(INDEX('Inputs &amp; Assuptions'!$D$13:$D$72, COLUMN() - ($E24 + 5)), 0))
  )
)</f>
        <v>991.545271666689</v>
      </c>
      <c r="BI24" s="80" t="n">
        <f aca="false" t="array" ref="BI24:BI24">IF(COLUMN() - ($E24 + 5) &lt; 0, 0,
  IF(COLUMN() - ($E24 + 5) = 0, $F24,
    BH24 * (1 - IFERROR(INDEX('Inputs &amp; Assuptions'!$D$13:$D$72, COLUMN() - ($E24 + 5)), 0))
  )
)</f>
        <v>991.049499030856</v>
      </c>
      <c r="BJ24" s="80" t="n">
        <f aca="false" t="array" ref="BJ24:BJ24">IF(COLUMN() - ($E24 + 5) &lt; 0, 0,
  IF(COLUMN() - ($E24 + 5) = 0, $F24,
    BI24 * (1 - IFERROR(INDEX('Inputs &amp; Assuptions'!$D$13:$D$72, COLUMN() - ($E24 + 5)), 0))
  )
)</f>
        <v>990.553974281341</v>
      </c>
      <c r="BK24" s="80" t="n">
        <f aca="false" t="array" ref="BK24:BK24">IF(COLUMN() - ($E24 + 5) &lt; 0, 0,
  IF(COLUMN() - ($E24 + 5) = 0, $F24,
    BJ24 * (1 - IFERROR(INDEX('Inputs &amp; Assuptions'!$D$13:$D$72, COLUMN() - ($E24 + 5)), 0))
  )
)</f>
        <v>990.0586972942</v>
      </c>
      <c r="BL24" s="80" t="n">
        <f aca="false" t="array" ref="BL24:BL24">IF(COLUMN() - ($E24 + 5) &lt; 0, 0,
  IF(COLUMN() - ($E24 + 5) = 0, $F24,
    BK24 * (1 - IFERROR(INDEX('Inputs &amp; Assuptions'!$D$13:$D$72, COLUMN() - ($E24 + 5)), 0))
  )
)</f>
        <v>989.563667945553</v>
      </c>
      <c r="BM24" s="81" t="n">
        <f aca="false" t="array" ref="BM24:BM24">IF(COLUMN() - ($E24 + 5) &lt; 0, 0,
  IF(COLUMN() - ($E24 + 5) = 0, $F24,
    BL24 * (1 - IFERROR(INDEX('Inputs &amp; Assuptions'!$D$13:$D$72, COLUMN() - ($E24 + 5)), 0))
  )
)</f>
        <v>989.06888611158</v>
      </c>
      <c r="BN24" s="76"/>
    </row>
    <row r="25" customFormat="false" ht="14.25" hidden="false" customHeight="false" outlineLevel="0" collapsed="false">
      <c r="A25" s="29" t="n">
        <f aca="false">A24+1</f>
        <v>20</v>
      </c>
      <c r="B25" s="77" t="n">
        <f aca="false">IF(MOD($A25-1, 12) = 0, $B24 * 1.05, $B24)</f>
        <v>1050</v>
      </c>
      <c r="C25" s="93" t="n">
        <f aca="false">$B25*(1-'Inputs &amp; Assuptions'!$D$12)</f>
        <v>1026.9</v>
      </c>
      <c r="E25" s="29" t="n">
        <f aca="false">E24+1</f>
        <v>20</v>
      </c>
      <c r="F25" s="7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 t="n">
        <f aca="false">$C25</f>
        <v>1026.9</v>
      </c>
      <c r="Z25" s="80" t="n">
        <f aca="false" t="array" ref="Z25:Z25">IF(COLUMN() - ($E25 + 5) &lt; 0, 0,
  IF(COLUMN() - ($E25 + 5) = 0, $F25,
    Y25 * (1 - IFERROR(INDEX('Inputs &amp; Assuptions'!$D$13:$D$72, COLUMN() - ($E25 + 5)), 0))
  )
)</f>
        <v>1021.7655</v>
      </c>
      <c r="AA25" s="80" t="n">
        <f aca="false" t="array" ref="AA25:AA25">IF(COLUMN() - ($E25 + 5) &lt; 0, 0,
  IF(COLUMN() - ($E25 + 5) = 0, $F25,
    Z25 * (1 - IFERROR(INDEX('Inputs &amp; Assuptions'!$D$13:$D$72, COLUMN() - ($E25 + 5)), 0))
  )
)</f>
        <v>1017.8827911</v>
      </c>
      <c r="AB25" s="80" t="n">
        <f aca="false" t="array" ref="AB25:AB25">IF(COLUMN() - ($E25 + 5) &lt; 0, 0,
  IF(COLUMN() - ($E25 + 5) = 0, $F25,
    AA25 * (1 - IFERROR(INDEX('Inputs &amp; Assuptions'!$D$13:$D$72, COLUMN() - ($E25 + 5)), 0))
  )
)</f>
        <v>1015.33808412225</v>
      </c>
      <c r="AC25" s="80" t="n">
        <f aca="false" t="array" ref="AC25:AC25">IF(COLUMN() - ($E25 + 5) &lt; 0, 0,
  IF(COLUMN() - ($E25 + 5) = 0, $F25,
    AB25 * (1 - IFERROR(INDEX('Inputs &amp; Assuptions'!$D$13:$D$72, COLUMN() - ($E25 + 5)), 0))
  )
)</f>
        <v>1013.00280652877</v>
      </c>
      <c r="AD25" s="80" t="n">
        <f aca="false" t="array" ref="AD25:AD25">IF(COLUMN() - ($E25 + 5) &lt; 0, 0,
  IF(COLUMN() - ($E25 + 5) = 0, $F25,
    AC25 * (1 - IFERROR(INDEX('Inputs &amp; Assuptions'!$D$13:$D$72, COLUMN() - ($E25 + 5)), 0))
  )
)</f>
        <v>1010.97680091571</v>
      </c>
      <c r="AE25" s="80" t="n">
        <f aca="false" t="array" ref="AE25:AE25">IF(COLUMN() - ($E25 + 5) &lt; 0, 0,
  IF(COLUMN() - ($E25 + 5) = 0, $F25,
    AD25 * (1 - IFERROR(INDEX('Inputs &amp; Assuptions'!$D$13:$D$72, COLUMN() - ($E25 + 5)), 0))
  )
)</f>
        <v>1009.15704267406</v>
      </c>
      <c r="AF25" s="80" t="n">
        <f aca="false" t="array" ref="AF25:AF25">IF(COLUMN() - ($E25 + 5) &lt; 0, 0,
  IF(COLUMN() - ($E25 + 5) = 0, $F25,
    AE25 * (1 - IFERROR(INDEX('Inputs &amp; Assuptions'!$D$13:$D$72, COLUMN() - ($E25 + 5)), 0))
  )
)</f>
        <v>1007.64330711005</v>
      </c>
      <c r="AG25" s="80" t="n">
        <f aca="false" t="array" ref="AG25:AG25">IF(COLUMN() - ($E25 + 5) &lt; 0, 0,
  IF(COLUMN() - ($E25 + 5) = 0, $F25,
    AF25 * (1 - IFERROR(INDEX('Inputs &amp; Assuptions'!$D$13:$D$72, COLUMN() - ($E25 + 5)), 0))
  )
)</f>
        <v>1006.33337081081</v>
      </c>
      <c r="AH25" s="80" t="n">
        <f aca="false" t="array" ref="AH25:AH25">IF(COLUMN() - ($E25 + 5) &lt; 0, 0,
  IF(COLUMN() - ($E25 + 5) = 0, $F25,
    AG25 * (1 - IFERROR(INDEX('Inputs &amp; Assuptions'!$D$13:$D$72, COLUMN() - ($E25 + 5)), 0))
  )
)</f>
        <v>1005.32703744</v>
      </c>
      <c r="AI25" s="80" t="n">
        <f aca="false" t="array" ref="AI25:AI25">IF(COLUMN() - ($E25 + 5) &lt; 0, 0,
  IF(COLUMN() - ($E25 + 5) = 0, $F25,
    AH25 * (1 - IFERROR(INDEX('Inputs &amp; Assuptions'!$D$13:$D$72, COLUMN() - ($E25 + 5)), 0))
  )
)</f>
        <v>1004.52277581005</v>
      </c>
      <c r="AJ25" s="80" t="n">
        <f aca="false" t="array" ref="AJ25:AJ25">IF(COLUMN() - ($E25 + 5) &lt; 0, 0,
  IF(COLUMN() - ($E25 + 5) = 0, $F25,
    AI25 * (1 - IFERROR(INDEX('Inputs &amp; Assuptions'!$D$13:$D$72, COLUMN() - ($E25 + 5)), 0))
  )
)</f>
        <v>1004.02051442214</v>
      </c>
      <c r="AK25" s="80" t="n">
        <f aca="false" t="array" ref="AK25:AK25">IF(COLUMN() - ($E25 + 5) &lt; 0, 0,
  IF(COLUMN() - ($E25 + 5) = 0, $F25,
    AJ25 * (1 - IFERROR(INDEX('Inputs &amp; Assuptions'!$D$13:$D$72, COLUMN() - ($E25 + 5)), 0))
  )
)</f>
        <v>1003.51850416493</v>
      </c>
      <c r="AL25" s="80" t="n">
        <f aca="false" t="array" ref="AL25:AL25">IF(COLUMN() - ($E25 + 5) &lt; 0, 0,
  IF(COLUMN() - ($E25 + 5) = 0, $F25,
    AK25 * (1 - IFERROR(INDEX('Inputs &amp; Assuptions'!$D$13:$D$72, COLUMN() - ($E25 + 5)), 0))
  )
)</f>
        <v>1003.01674491285</v>
      </c>
      <c r="AM25" s="80" t="n">
        <f aca="false" t="array" ref="AM25:AM25">IF(COLUMN() - ($E25 + 5) &lt; 0, 0,
  IF(COLUMN() - ($E25 + 5) = 0, $F25,
    AL25 * (1 - IFERROR(INDEX('Inputs &amp; Assuptions'!$D$13:$D$72, COLUMN() - ($E25 + 5)), 0))
  )
)</f>
        <v>1002.51523654039</v>
      </c>
      <c r="AN25" s="80" t="n">
        <f aca="false" t="array" ref="AN25:AN25">IF(COLUMN() - ($E25 + 5) &lt; 0, 0,
  IF(COLUMN() - ($E25 + 5) = 0, $F25,
    AM25 * (1 - IFERROR(INDEX('Inputs &amp; Assuptions'!$D$13:$D$72, COLUMN() - ($E25 + 5)), 0))
  )
)</f>
        <v>1002.01397892212</v>
      </c>
      <c r="AO25" s="80" t="n">
        <f aca="false" t="array" ref="AO25:AO25">IF(COLUMN() - ($E25 + 5) &lt; 0, 0,
  IF(COLUMN() - ($E25 + 5) = 0, $F25,
    AN25 * (1 - IFERROR(INDEX('Inputs &amp; Assuptions'!$D$13:$D$72, COLUMN() - ($E25 + 5)), 0))
  )
)</f>
        <v>1001.51297193266</v>
      </c>
      <c r="AP25" s="80" t="n">
        <f aca="false" t="array" ref="AP25:AP25">IF(COLUMN() - ($E25 + 5) &lt; 0, 0,
  IF(COLUMN() - ($E25 + 5) = 0, $F25,
    AO25 * (1 - IFERROR(INDEX('Inputs &amp; Assuptions'!$D$13:$D$72, COLUMN() - ($E25 + 5)), 0))
  )
)</f>
        <v>1001.01221544669</v>
      </c>
      <c r="AQ25" s="80" t="n">
        <f aca="false" t="array" ref="AQ25:AQ25">IF(COLUMN() - ($E25 + 5) &lt; 0, 0,
  IF(COLUMN() - ($E25 + 5) = 0, $F25,
    AP25 * (1 - IFERROR(INDEX('Inputs &amp; Assuptions'!$D$13:$D$72, COLUMN() - ($E25 + 5)), 0))
  )
)</f>
        <v>1000.51170933897</v>
      </c>
      <c r="AR25" s="80" t="n">
        <f aca="false" t="array" ref="AR25:AR25">IF(COLUMN() - ($E25 + 5) &lt; 0, 0,
  IF(COLUMN() - ($E25 + 5) = 0, $F25,
    AQ25 * (1 - IFERROR(INDEX('Inputs &amp; Assuptions'!$D$13:$D$72, COLUMN() - ($E25 + 5)), 0))
  )
)</f>
        <v>1000.0114534843</v>
      </c>
      <c r="AS25" s="80" t="n">
        <f aca="false" t="array" ref="AS25:AS25">IF(COLUMN() - ($E25 + 5) &lt; 0, 0,
  IF(COLUMN() - ($E25 + 5) = 0, $F25,
    AR25 * (1 - IFERROR(INDEX('Inputs &amp; Assuptions'!$D$13:$D$72, COLUMN() - ($E25 + 5)), 0))
  )
)</f>
        <v>999.511447757559</v>
      </c>
      <c r="AT25" s="80" t="n">
        <f aca="false" t="array" ref="AT25:AT25">IF(COLUMN() - ($E25 + 5) &lt; 0, 0,
  IF(COLUMN() - ($E25 + 5) = 0, $F25,
    AS25 * (1 - IFERROR(INDEX('Inputs &amp; Assuptions'!$D$13:$D$72, COLUMN() - ($E25 + 5)), 0))
  )
)</f>
        <v>999.011692033681</v>
      </c>
      <c r="AU25" s="80" t="n">
        <f aca="false" t="array" ref="AU25:AU25">IF(COLUMN() - ($E25 + 5) &lt; 0, 0,
  IF(COLUMN() - ($E25 + 5) = 0, $F25,
    AT25 * (1 - IFERROR(INDEX('Inputs &amp; Assuptions'!$D$13:$D$72, COLUMN() - ($E25 + 5)), 0))
  )
)</f>
        <v>998.512186187664</v>
      </c>
      <c r="AV25" s="80" t="n">
        <f aca="false" t="array" ref="AV25:AV25">IF(COLUMN() - ($E25 + 5) &lt; 0, 0,
  IF(COLUMN() - ($E25 + 5) = 0, $F25,
    AU25 * (1 - IFERROR(INDEX('Inputs &amp; Assuptions'!$D$13:$D$72, COLUMN() - ($E25 + 5)), 0))
  )
)</f>
        <v>998.01293009457</v>
      </c>
      <c r="AW25" s="80" t="n">
        <f aca="false" t="array" ref="AW25:AW25">IF(COLUMN() - ($E25 + 5) &lt; 0, 0,
  IF(COLUMN() - ($E25 + 5) = 0, $F25,
    AV25 * (1 - IFERROR(INDEX('Inputs &amp; Assuptions'!$D$13:$D$72, COLUMN() - ($E25 + 5)), 0))
  )
)</f>
        <v>997.513923629523</v>
      </c>
      <c r="AX25" s="80" t="n">
        <f aca="false" t="array" ref="AX25:AX25">IF(COLUMN() - ($E25 + 5) &lt; 0, 0,
  IF(COLUMN() - ($E25 + 5) = 0, $F25,
    AW25 * (1 - IFERROR(INDEX('Inputs &amp; Assuptions'!$D$13:$D$72, COLUMN() - ($E25 + 5)), 0))
  )
)</f>
        <v>997.015166667708</v>
      </c>
      <c r="AY25" s="80" t="n">
        <f aca="false" t="array" ref="AY25:AY25">IF(COLUMN() - ($E25 + 5) &lt; 0, 0,
  IF(COLUMN() - ($E25 + 5) = 0, $F25,
    AX25 * (1 - IFERROR(INDEX('Inputs &amp; Assuptions'!$D$13:$D$72, COLUMN() - ($E25 + 5)), 0))
  )
)</f>
        <v>996.516659084374</v>
      </c>
      <c r="AZ25" s="80" t="n">
        <f aca="false" t="array" ref="AZ25:AZ25">IF(COLUMN() - ($E25 + 5) &lt; 0, 0,
  IF(COLUMN() - ($E25 + 5) = 0, $F25,
    AY25 * (1 - IFERROR(INDEX('Inputs &amp; Assuptions'!$D$13:$D$72, COLUMN() - ($E25 + 5)), 0))
  )
)</f>
        <v>996.018400754832</v>
      </c>
      <c r="BA25" s="80" t="n">
        <f aca="false" t="array" ref="BA25:BA25">IF(COLUMN() - ($E25 + 5) &lt; 0, 0,
  IF(COLUMN() - ($E25 + 5) = 0, $F25,
    AZ25 * (1 - IFERROR(INDEX('Inputs &amp; Assuptions'!$D$13:$D$72, COLUMN() - ($E25 + 5)), 0))
  )
)</f>
        <v>995.520391554455</v>
      </c>
      <c r="BB25" s="80" t="n">
        <f aca="false" t="array" ref="BB25:BB25">IF(COLUMN() - ($E25 + 5) &lt; 0, 0,
  IF(COLUMN() - ($E25 + 5) = 0, $F25,
    BA25 * (1 - IFERROR(INDEX('Inputs &amp; Assuptions'!$D$13:$D$72, COLUMN() - ($E25 + 5)), 0))
  )
)</f>
        <v>995.022631358678</v>
      </c>
      <c r="BC25" s="80" t="n">
        <f aca="false" t="array" ref="BC25:BC25">IF(COLUMN() - ($E25 + 5) &lt; 0, 0,
  IF(COLUMN() - ($E25 + 5) = 0, $F25,
    BB25 * (1 - IFERROR(INDEX('Inputs &amp; Assuptions'!$D$13:$D$72, COLUMN() - ($E25 + 5)), 0))
  )
)</f>
        <v>994.525120042998</v>
      </c>
      <c r="BD25" s="80" t="n">
        <f aca="false" t="array" ref="BD25:BD25">IF(COLUMN() - ($E25 + 5) &lt; 0, 0,
  IF(COLUMN() - ($E25 + 5) = 0, $F25,
    BC25 * (1 - IFERROR(INDEX('Inputs &amp; Assuptions'!$D$13:$D$72, COLUMN() - ($E25 + 5)), 0))
  )
)</f>
        <v>994.027857482977</v>
      </c>
      <c r="BE25" s="80" t="n">
        <f aca="false" t="array" ref="BE25:BE25">IF(COLUMN() - ($E25 + 5) &lt; 0, 0,
  IF(COLUMN() - ($E25 + 5) = 0, $F25,
    BD25 * (1 - IFERROR(INDEX('Inputs &amp; Assuptions'!$D$13:$D$72, COLUMN() - ($E25 + 5)), 0))
  )
)</f>
        <v>993.530843554236</v>
      </c>
      <c r="BF25" s="80" t="n">
        <f aca="false" t="array" ref="BF25:BF25">IF(COLUMN() - ($E25 + 5) &lt; 0, 0,
  IF(COLUMN() - ($E25 + 5) = 0, $F25,
    BE25 * (1 - IFERROR(INDEX('Inputs &amp; Assuptions'!$D$13:$D$72, COLUMN() - ($E25 + 5)), 0))
  )
)</f>
        <v>993.034078132459</v>
      </c>
      <c r="BG25" s="80" t="n">
        <f aca="false" t="array" ref="BG25:BG25">IF(COLUMN() - ($E25 + 5) &lt; 0, 0,
  IF(COLUMN() - ($E25 + 5) = 0, $F25,
    BF25 * (1 - IFERROR(INDEX('Inputs &amp; Assuptions'!$D$13:$D$72, COLUMN() - ($E25 + 5)), 0))
  )
)</f>
        <v>992.537561093392</v>
      </c>
      <c r="BH25" s="80" t="n">
        <f aca="false" t="array" ref="BH25:BH25">IF(COLUMN() - ($E25 + 5) &lt; 0, 0,
  IF(COLUMN() - ($E25 + 5) = 0, $F25,
    BG25 * (1 - IFERROR(INDEX('Inputs &amp; Assuptions'!$D$13:$D$72, COLUMN() - ($E25 + 5)), 0))
  )
)</f>
        <v>992.041292312846</v>
      </c>
      <c r="BI25" s="80" t="n">
        <f aca="false" t="array" ref="BI25:BI25">IF(COLUMN() - ($E25 + 5) &lt; 0, 0,
  IF(COLUMN() - ($E25 + 5) = 0, $F25,
    BH25 * (1 - IFERROR(INDEX('Inputs &amp; Assuptions'!$D$13:$D$72, COLUMN() - ($E25 + 5)), 0))
  )
)</f>
        <v>991.545271666689</v>
      </c>
      <c r="BJ25" s="80" t="n">
        <f aca="false" t="array" ref="BJ25:BJ25">IF(COLUMN() - ($E25 + 5) &lt; 0, 0,
  IF(COLUMN() - ($E25 + 5) = 0, $F25,
    BI25 * (1 - IFERROR(INDEX('Inputs &amp; Assuptions'!$D$13:$D$72, COLUMN() - ($E25 + 5)), 0))
  )
)</f>
        <v>991.049499030856</v>
      </c>
      <c r="BK25" s="80" t="n">
        <f aca="false" t="array" ref="BK25:BK25">IF(COLUMN() - ($E25 + 5) &lt; 0, 0,
  IF(COLUMN() - ($E25 + 5) = 0, $F25,
    BJ25 * (1 - IFERROR(INDEX('Inputs &amp; Assuptions'!$D$13:$D$72, COLUMN() - ($E25 + 5)), 0))
  )
)</f>
        <v>990.553974281341</v>
      </c>
      <c r="BL25" s="80" t="n">
        <f aca="false" t="array" ref="BL25:BL25">IF(COLUMN() - ($E25 + 5) &lt; 0, 0,
  IF(COLUMN() - ($E25 + 5) = 0, $F25,
    BK25 * (1 - IFERROR(INDEX('Inputs &amp; Assuptions'!$D$13:$D$72, COLUMN() - ($E25 + 5)), 0))
  )
)</f>
        <v>990.0586972942</v>
      </c>
      <c r="BM25" s="81" t="n">
        <f aca="false" t="array" ref="BM25:BM25">IF(COLUMN() - ($E25 + 5) &lt; 0, 0,
  IF(COLUMN() - ($E25 + 5) = 0, $F25,
    BL25 * (1 - IFERROR(INDEX('Inputs &amp; Assuptions'!$D$13:$D$72, COLUMN() - ($E25 + 5)), 0))
  )
)</f>
        <v>989.563667945553</v>
      </c>
      <c r="BN25" s="76"/>
    </row>
    <row r="26" customFormat="false" ht="14.25" hidden="false" customHeight="false" outlineLevel="0" collapsed="false">
      <c r="A26" s="29" t="n">
        <f aca="false">A25+1</f>
        <v>21</v>
      </c>
      <c r="B26" s="77" t="n">
        <f aca="false">IF(MOD($A26-1, 12) = 0, $B25 * 1.05, $B25)</f>
        <v>1050</v>
      </c>
      <c r="C26" s="93" t="n">
        <f aca="false">$B26*(1-'Inputs &amp; Assuptions'!$D$12)</f>
        <v>1026.9</v>
      </c>
      <c r="E26" s="29" t="n">
        <f aca="false">E25+1</f>
        <v>21</v>
      </c>
      <c r="F26" s="79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 t="n">
        <f aca="false">$C26</f>
        <v>1026.9</v>
      </c>
      <c r="AA26" s="80" t="n">
        <f aca="false" t="array" ref="AA26:AA26">IF(COLUMN() - ($E26 + 5) &lt; 0, 0,
  IF(COLUMN() - ($E26 + 5) = 0, $F26,
    Z26 * (1 - IFERROR(INDEX('Inputs &amp; Assuptions'!$D$13:$D$72, COLUMN() - ($E26 + 5)), 0))
  )
)</f>
        <v>1021.7655</v>
      </c>
      <c r="AB26" s="80" t="n">
        <f aca="false" t="array" ref="AB26:AB26">IF(COLUMN() - ($E26 + 5) &lt; 0, 0,
  IF(COLUMN() - ($E26 + 5) = 0, $F26,
    AA26 * (1 - IFERROR(INDEX('Inputs &amp; Assuptions'!$D$13:$D$72, COLUMN() - ($E26 + 5)), 0))
  )
)</f>
        <v>1017.8827911</v>
      </c>
      <c r="AC26" s="80" t="n">
        <f aca="false" t="array" ref="AC26:AC26">IF(COLUMN() - ($E26 + 5) &lt; 0, 0,
  IF(COLUMN() - ($E26 + 5) = 0, $F26,
    AB26 * (1 - IFERROR(INDEX('Inputs &amp; Assuptions'!$D$13:$D$72, COLUMN() - ($E26 + 5)), 0))
  )
)</f>
        <v>1015.33808412225</v>
      </c>
      <c r="AD26" s="80" t="n">
        <f aca="false" t="array" ref="AD26:AD26">IF(COLUMN() - ($E26 + 5) &lt; 0, 0,
  IF(COLUMN() - ($E26 + 5) = 0, $F26,
    AC26 * (1 - IFERROR(INDEX('Inputs &amp; Assuptions'!$D$13:$D$72, COLUMN() - ($E26 + 5)), 0))
  )
)</f>
        <v>1013.00280652877</v>
      </c>
      <c r="AE26" s="80" t="n">
        <f aca="false" t="array" ref="AE26:AE26">IF(COLUMN() - ($E26 + 5) &lt; 0, 0,
  IF(COLUMN() - ($E26 + 5) = 0, $F26,
    AD26 * (1 - IFERROR(INDEX('Inputs &amp; Assuptions'!$D$13:$D$72, COLUMN() - ($E26 + 5)), 0))
  )
)</f>
        <v>1010.97680091571</v>
      </c>
      <c r="AF26" s="80" t="n">
        <f aca="false" t="array" ref="AF26:AF26">IF(COLUMN() - ($E26 + 5) &lt; 0, 0,
  IF(COLUMN() - ($E26 + 5) = 0, $F26,
    AE26 * (1 - IFERROR(INDEX('Inputs &amp; Assuptions'!$D$13:$D$72, COLUMN() - ($E26 + 5)), 0))
  )
)</f>
        <v>1009.15704267406</v>
      </c>
      <c r="AG26" s="80" t="n">
        <f aca="false" t="array" ref="AG26:AG26">IF(COLUMN() - ($E26 + 5) &lt; 0, 0,
  IF(COLUMN() - ($E26 + 5) = 0, $F26,
    AF26 * (1 - IFERROR(INDEX('Inputs &amp; Assuptions'!$D$13:$D$72, COLUMN() - ($E26 + 5)), 0))
  )
)</f>
        <v>1007.64330711005</v>
      </c>
      <c r="AH26" s="80" t="n">
        <f aca="false" t="array" ref="AH26:AH26">IF(COLUMN() - ($E26 + 5) &lt; 0, 0,
  IF(COLUMN() - ($E26 + 5) = 0, $F26,
    AG26 * (1 - IFERROR(INDEX('Inputs &amp; Assuptions'!$D$13:$D$72, COLUMN() - ($E26 + 5)), 0))
  )
)</f>
        <v>1006.33337081081</v>
      </c>
      <c r="AI26" s="80" t="n">
        <f aca="false" t="array" ref="AI26:AI26">IF(COLUMN() - ($E26 + 5) &lt; 0, 0,
  IF(COLUMN() - ($E26 + 5) = 0, $F26,
    AH26 * (1 - IFERROR(INDEX('Inputs &amp; Assuptions'!$D$13:$D$72, COLUMN() - ($E26 + 5)), 0))
  )
)</f>
        <v>1005.32703744</v>
      </c>
      <c r="AJ26" s="80" t="n">
        <f aca="false" t="array" ref="AJ26:AJ26">IF(COLUMN() - ($E26 + 5) &lt; 0, 0,
  IF(COLUMN() - ($E26 + 5) = 0, $F26,
    AI26 * (1 - IFERROR(INDEX('Inputs &amp; Assuptions'!$D$13:$D$72, COLUMN() - ($E26 + 5)), 0))
  )
)</f>
        <v>1004.52277581005</v>
      </c>
      <c r="AK26" s="80" t="n">
        <f aca="false" t="array" ref="AK26:AK26">IF(COLUMN() - ($E26 + 5) &lt; 0, 0,
  IF(COLUMN() - ($E26 + 5) = 0, $F26,
    AJ26 * (1 - IFERROR(INDEX('Inputs &amp; Assuptions'!$D$13:$D$72, COLUMN() - ($E26 + 5)), 0))
  )
)</f>
        <v>1004.02051442214</v>
      </c>
      <c r="AL26" s="80" t="n">
        <f aca="false" t="array" ref="AL26:AL26">IF(COLUMN() - ($E26 + 5) &lt; 0, 0,
  IF(COLUMN() - ($E26 + 5) = 0, $F26,
    AK26 * (1 - IFERROR(INDEX('Inputs &amp; Assuptions'!$D$13:$D$72, COLUMN() - ($E26 + 5)), 0))
  )
)</f>
        <v>1003.51850416493</v>
      </c>
      <c r="AM26" s="80" t="n">
        <f aca="false" t="array" ref="AM26:AM26">IF(COLUMN() - ($E26 + 5) &lt; 0, 0,
  IF(COLUMN() - ($E26 + 5) = 0, $F26,
    AL26 * (1 - IFERROR(INDEX('Inputs &amp; Assuptions'!$D$13:$D$72, COLUMN() - ($E26 + 5)), 0))
  )
)</f>
        <v>1003.01674491285</v>
      </c>
      <c r="AN26" s="80" t="n">
        <f aca="false" t="array" ref="AN26:AN26">IF(COLUMN() - ($E26 + 5) &lt; 0, 0,
  IF(COLUMN() - ($E26 + 5) = 0, $F26,
    AM26 * (1 - IFERROR(INDEX('Inputs &amp; Assuptions'!$D$13:$D$72, COLUMN() - ($E26 + 5)), 0))
  )
)</f>
        <v>1002.51523654039</v>
      </c>
      <c r="AO26" s="80" t="n">
        <f aca="false" t="array" ref="AO26:AO26">IF(COLUMN() - ($E26 + 5) &lt; 0, 0,
  IF(COLUMN() - ($E26 + 5) = 0, $F26,
    AN26 * (1 - IFERROR(INDEX('Inputs &amp; Assuptions'!$D$13:$D$72, COLUMN() - ($E26 + 5)), 0))
  )
)</f>
        <v>1002.01397892212</v>
      </c>
      <c r="AP26" s="80" t="n">
        <f aca="false" t="array" ref="AP26:AP26">IF(COLUMN() - ($E26 + 5) &lt; 0, 0,
  IF(COLUMN() - ($E26 + 5) = 0, $F26,
    AO26 * (1 - IFERROR(INDEX('Inputs &amp; Assuptions'!$D$13:$D$72, COLUMN() - ($E26 + 5)), 0))
  )
)</f>
        <v>1001.51297193266</v>
      </c>
      <c r="AQ26" s="80" t="n">
        <f aca="false" t="array" ref="AQ26:AQ26">IF(COLUMN() - ($E26 + 5) &lt; 0, 0,
  IF(COLUMN() - ($E26 + 5) = 0, $F26,
    AP26 * (1 - IFERROR(INDEX('Inputs &amp; Assuptions'!$D$13:$D$72, COLUMN() - ($E26 + 5)), 0))
  )
)</f>
        <v>1001.01221544669</v>
      </c>
      <c r="AR26" s="80" t="n">
        <f aca="false" t="array" ref="AR26:AR26">IF(COLUMN() - ($E26 + 5) &lt; 0, 0,
  IF(COLUMN() - ($E26 + 5) = 0, $F26,
    AQ26 * (1 - IFERROR(INDEX('Inputs &amp; Assuptions'!$D$13:$D$72, COLUMN() - ($E26 + 5)), 0))
  )
)</f>
        <v>1000.51170933897</v>
      </c>
      <c r="AS26" s="80" t="n">
        <f aca="false" t="array" ref="AS26:AS26">IF(COLUMN() - ($E26 + 5) &lt; 0, 0,
  IF(COLUMN() - ($E26 + 5) = 0, $F26,
    AR26 * (1 - IFERROR(INDEX('Inputs &amp; Assuptions'!$D$13:$D$72, COLUMN() - ($E26 + 5)), 0))
  )
)</f>
        <v>1000.0114534843</v>
      </c>
      <c r="AT26" s="80" t="n">
        <f aca="false" t="array" ref="AT26:AT26">IF(COLUMN() - ($E26 + 5) &lt; 0, 0,
  IF(COLUMN() - ($E26 + 5) = 0, $F26,
    AS26 * (1 - IFERROR(INDEX('Inputs &amp; Assuptions'!$D$13:$D$72, COLUMN() - ($E26 + 5)), 0))
  )
)</f>
        <v>999.511447757559</v>
      </c>
      <c r="AU26" s="80" t="n">
        <f aca="false" t="array" ref="AU26:AU26">IF(COLUMN() - ($E26 + 5) &lt; 0, 0,
  IF(COLUMN() - ($E26 + 5) = 0, $F26,
    AT26 * (1 - IFERROR(INDEX('Inputs &amp; Assuptions'!$D$13:$D$72, COLUMN() - ($E26 + 5)), 0))
  )
)</f>
        <v>999.011692033681</v>
      </c>
      <c r="AV26" s="80" t="n">
        <f aca="false" t="array" ref="AV26:AV26">IF(COLUMN() - ($E26 + 5) &lt; 0, 0,
  IF(COLUMN() - ($E26 + 5) = 0, $F26,
    AU26 * (1 - IFERROR(INDEX('Inputs &amp; Assuptions'!$D$13:$D$72, COLUMN() - ($E26 + 5)), 0))
  )
)</f>
        <v>998.512186187664</v>
      </c>
      <c r="AW26" s="80" t="n">
        <f aca="false" t="array" ref="AW26:AW26">IF(COLUMN() - ($E26 + 5) &lt; 0, 0,
  IF(COLUMN() - ($E26 + 5) = 0, $F26,
    AV26 * (1 - IFERROR(INDEX('Inputs &amp; Assuptions'!$D$13:$D$72, COLUMN() - ($E26 + 5)), 0))
  )
)</f>
        <v>998.01293009457</v>
      </c>
      <c r="AX26" s="80" t="n">
        <f aca="false" t="array" ref="AX26:AX26">IF(COLUMN() - ($E26 + 5) &lt; 0, 0,
  IF(COLUMN() - ($E26 + 5) = 0, $F26,
    AW26 * (1 - IFERROR(INDEX('Inputs &amp; Assuptions'!$D$13:$D$72, COLUMN() - ($E26 + 5)), 0))
  )
)</f>
        <v>997.513923629523</v>
      </c>
      <c r="AY26" s="80" t="n">
        <f aca="false" t="array" ref="AY26:AY26">IF(COLUMN() - ($E26 + 5) &lt; 0, 0,
  IF(COLUMN() - ($E26 + 5) = 0, $F26,
    AX26 * (1 - IFERROR(INDEX('Inputs &amp; Assuptions'!$D$13:$D$72, COLUMN() - ($E26 + 5)), 0))
  )
)</f>
        <v>997.015166667708</v>
      </c>
      <c r="AZ26" s="80" t="n">
        <f aca="false" t="array" ref="AZ26:AZ26">IF(COLUMN() - ($E26 + 5) &lt; 0, 0,
  IF(COLUMN() - ($E26 + 5) = 0, $F26,
    AY26 * (1 - IFERROR(INDEX('Inputs &amp; Assuptions'!$D$13:$D$72, COLUMN() - ($E26 + 5)), 0))
  )
)</f>
        <v>996.516659084374</v>
      </c>
      <c r="BA26" s="80" t="n">
        <f aca="false" t="array" ref="BA26:BA26">IF(COLUMN() - ($E26 + 5) &lt; 0, 0,
  IF(COLUMN() - ($E26 + 5) = 0, $F26,
    AZ26 * (1 - IFERROR(INDEX('Inputs &amp; Assuptions'!$D$13:$D$72, COLUMN() - ($E26 + 5)), 0))
  )
)</f>
        <v>996.018400754832</v>
      </c>
      <c r="BB26" s="80" t="n">
        <f aca="false" t="array" ref="BB26:BB26">IF(COLUMN() - ($E26 + 5) &lt; 0, 0,
  IF(COLUMN() - ($E26 + 5) = 0, $F26,
    BA26 * (1 - IFERROR(INDEX('Inputs &amp; Assuptions'!$D$13:$D$72, COLUMN() - ($E26 + 5)), 0))
  )
)</f>
        <v>995.520391554455</v>
      </c>
      <c r="BC26" s="80" t="n">
        <f aca="false" t="array" ref="BC26:BC26">IF(COLUMN() - ($E26 + 5) &lt; 0, 0,
  IF(COLUMN() - ($E26 + 5) = 0, $F26,
    BB26 * (1 - IFERROR(INDEX('Inputs &amp; Assuptions'!$D$13:$D$72, COLUMN() - ($E26 + 5)), 0))
  )
)</f>
        <v>995.022631358678</v>
      </c>
      <c r="BD26" s="80" t="n">
        <f aca="false" t="array" ref="BD26:BD26">IF(COLUMN() - ($E26 + 5) &lt; 0, 0,
  IF(COLUMN() - ($E26 + 5) = 0, $F26,
    BC26 * (1 - IFERROR(INDEX('Inputs &amp; Assuptions'!$D$13:$D$72, COLUMN() - ($E26 + 5)), 0))
  )
)</f>
        <v>994.525120042998</v>
      </c>
      <c r="BE26" s="80" t="n">
        <f aca="false" t="array" ref="BE26:BE26">IF(COLUMN() - ($E26 + 5) &lt; 0, 0,
  IF(COLUMN() - ($E26 + 5) = 0, $F26,
    BD26 * (1 - IFERROR(INDEX('Inputs &amp; Assuptions'!$D$13:$D$72, COLUMN() - ($E26 + 5)), 0))
  )
)</f>
        <v>994.027857482977</v>
      </c>
      <c r="BF26" s="80" t="n">
        <f aca="false" t="array" ref="BF26:BF26">IF(COLUMN() - ($E26 + 5) &lt; 0, 0,
  IF(COLUMN() - ($E26 + 5) = 0, $F26,
    BE26 * (1 - IFERROR(INDEX('Inputs &amp; Assuptions'!$D$13:$D$72, COLUMN() - ($E26 + 5)), 0))
  )
)</f>
        <v>993.530843554236</v>
      </c>
      <c r="BG26" s="80" t="n">
        <f aca="false" t="array" ref="BG26:BG26">IF(COLUMN() - ($E26 + 5) &lt; 0, 0,
  IF(COLUMN() - ($E26 + 5) = 0, $F26,
    BF26 * (1 - IFERROR(INDEX('Inputs &amp; Assuptions'!$D$13:$D$72, COLUMN() - ($E26 + 5)), 0))
  )
)</f>
        <v>993.034078132459</v>
      </c>
      <c r="BH26" s="80" t="n">
        <f aca="false" t="array" ref="BH26:BH26">IF(COLUMN() - ($E26 + 5) &lt; 0, 0,
  IF(COLUMN() - ($E26 + 5) = 0, $F26,
    BG26 * (1 - IFERROR(INDEX('Inputs &amp; Assuptions'!$D$13:$D$72, COLUMN() - ($E26 + 5)), 0))
  )
)</f>
        <v>992.537561093392</v>
      </c>
      <c r="BI26" s="80" t="n">
        <f aca="false" t="array" ref="BI26:BI26">IF(COLUMN() - ($E26 + 5) &lt; 0, 0,
  IF(COLUMN() - ($E26 + 5) = 0, $F26,
    BH26 * (1 - IFERROR(INDEX('Inputs &amp; Assuptions'!$D$13:$D$72, COLUMN() - ($E26 + 5)), 0))
  )
)</f>
        <v>992.041292312846</v>
      </c>
      <c r="BJ26" s="80" t="n">
        <f aca="false" t="array" ref="BJ26:BJ26">IF(COLUMN() - ($E26 + 5) &lt; 0, 0,
  IF(COLUMN() - ($E26 + 5) = 0, $F26,
    BI26 * (1 - IFERROR(INDEX('Inputs &amp; Assuptions'!$D$13:$D$72, COLUMN() - ($E26 + 5)), 0))
  )
)</f>
        <v>991.545271666689</v>
      </c>
      <c r="BK26" s="80" t="n">
        <f aca="false" t="array" ref="BK26:BK26">IF(COLUMN() - ($E26 + 5) &lt; 0, 0,
  IF(COLUMN() - ($E26 + 5) = 0, $F26,
    BJ26 * (1 - IFERROR(INDEX('Inputs &amp; Assuptions'!$D$13:$D$72, COLUMN() - ($E26 + 5)), 0))
  )
)</f>
        <v>991.049499030856</v>
      </c>
      <c r="BL26" s="80" t="n">
        <f aca="false" t="array" ref="BL26:BL26">IF(COLUMN() - ($E26 + 5) &lt; 0, 0,
  IF(COLUMN() - ($E26 + 5) = 0, $F26,
    BK26 * (1 - IFERROR(INDEX('Inputs &amp; Assuptions'!$D$13:$D$72, COLUMN() - ($E26 + 5)), 0))
  )
)</f>
        <v>990.553974281341</v>
      </c>
      <c r="BM26" s="81" t="n">
        <f aca="false" t="array" ref="BM26:BM26">IF(COLUMN() - ($E26 + 5) &lt; 0, 0,
  IF(COLUMN() - ($E26 + 5) = 0, $F26,
    BL26 * (1 - IFERROR(INDEX('Inputs &amp; Assuptions'!$D$13:$D$72, COLUMN() - ($E26 + 5)), 0))
  )
)</f>
        <v>990.0586972942</v>
      </c>
      <c r="BN26" s="76"/>
    </row>
    <row r="27" customFormat="false" ht="14.25" hidden="false" customHeight="false" outlineLevel="0" collapsed="false">
      <c r="A27" s="29" t="n">
        <f aca="false">A26+1</f>
        <v>22</v>
      </c>
      <c r="B27" s="77" t="n">
        <f aca="false">IF(MOD($A27-1, 12) = 0, $B26 * 1.05, $B26)</f>
        <v>1050</v>
      </c>
      <c r="C27" s="93" t="n">
        <f aca="false">$B27*(1-'Inputs &amp; Assuptions'!$D$12)</f>
        <v>1026.9</v>
      </c>
      <c r="E27" s="29" t="n">
        <f aca="false">E26+1</f>
        <v>22</v>
      </c>
      <c r="F27" s="79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 t="n">
        <f aca="false">$C27</f>
        <v>1026.9</v>
      </c>
      <c r="AB27" s="80" t="n">
        <f aca="false" t="array" ref="AB27:AB27">IF(COLUMN() - ($E27 + 5) &lt; 0, 0,
  IF(COLUMN() - ($E27 + 5) = 0, $F27,
    AA27 * (1 - IFERROR(INDEX('Inputs &amp; Assuptions'!$D$13:$D$72, COLUMN() - ($E27 + 5)), 0))
  )
)</f>
        <v>1021.7655</v>
      </c>
      <c r="AC27" s="80" t="n">
        <f aca="false" t="array" ref="AC27:AC27">IF(COLUMN() - ($E27 + 5) &lt; 0, 0,
  IF(COLUMN() - ($E27 + 5) = 0, $F27,
    AB27 * (1 - IFERROR(INDEX('Inputs &amp; Assuptions'!$D$13:$D$72, COLUMN() - ($E27 + 5)), 0))
  )
)</f>
        <v>1017.8827911</v>
      </c>
      <c r="AD27" s="80" t="n">
        <f aca="false" t="array" ref="AD27:AD27">IF(COLUMN() - ($E27 + 5) &lt; 0, 0,
  IF(COLUMN() - ($E27 + 5) = 0, $F27,
    AC27 * (1 - IFERROR(INDEX('Inputs &amp; Assuptions'!$D$13:$D$72, COLUMN() - ($E27 + 5)), 0))
  )
)</f>
        <v>1015.33808412225</v>
      </c>
      <c r="AE27" s="80" t="n">
        <f aca="false" t="array" ref="AE27:AE27">IF(COLUMN() - ($E27 + 5) &lt; 0, 0,
  IF(COLUMN() - ($E27 + 5) = 0, $F27,
    AD27 * (1 - IFERROR(INDEX('Inputs &amp; Assuptions'!$D$13:$D$72, COLUMN() - ($E27 + 5)), 0))
  )
)</f>
        <v>1013.00280652877</v>
      </c>
      <c r="AF27" s="80" t="n">
        <f aca="false" t="array" ref="AF27:AF27">IF(COLUMN() - ($E27 + 5) &lt; 0, 0,
  IF(COLUMN() - ($E27 + 5) = 0, $F27,
    AE27 * (1 - IFERROR(INDEX('Inputs &amp; Assuptions'!$D$13:$D$72, COLUMN() - ($E27 + 5)), 0))
  )
)</f>
        <v>1010.97680091571</v>
      </c>
      <c r="AG27" s="80" t="n">
        <f aca="false" t="array" ref="AG27:AG27">IF(COLUMN() - ($E27 + 5) &lt; 0, 0,
  IF(COLUMN() - ($E27 + 5) = 0, $F27,
    AF27 * (1 - IFERROR(INDEX('Inputs &amp; Assuptions'!$D$13:$D$72, COLUMN() - ($E27 + 5)), 0))
  )
)</f>
        <v>1009.15704267406</v>
      </c>
      <c r="AH27" s="80" t="n">
        <f aca="false" t="array" ref="AH27:AH27">IF(COLUMN() - ($E27 + 5) &lt; 0, 0,
  IF(COLUMN() - ($E27 + 5) = 0, $F27,
    AG27 * (1 - IFERROR(INDEX('Inputs &amp; Assuptions'!$D$13:$D$72, COLUMN() - ($E27 + 5)), 0))
  )
)</f>
        <v>1007.64330711005</v>
      </c>
      <c r="AI27" s="80" t="n">
        <f aca="false" t="array" ref="AI27:AI27">IF(COLUMN() - ($E27 + 5) &lt; 0, 0,
  IF(COLUMN() - ($E27 + 5) = 0, $F27,
    AH27 * (1 - IFERROR(INDEX('Inputs &amp; Assuptions'!$D$13:$D$72, COLUMN() - ($E27 + 5)), 0))
  )
)</f>
        <v>1006.33337081081</v>
      </c>
      <c r="AJ27" s="80" t="n">
        <f aca="false" t="array" ref="AJ27:AJ27">IF(COLUMN() - ($E27 + 5) &lt; 0, 0,
  IF(COLUMN() - ($E27 + 5) = 0, $F27,
    AI27 * (1 - IFERROR(INDEX('Inputs &amp; Assuptions'!$D$13:$D$72, COLUMN() - ($E27 + 5)), 0))
  )
)</f>
        <v>1005.32703744</v>
      </c>
      <c r="AK27" s="80" t="n">
        <f aca="false" t="array" ref="AK27:AK27">IF(COLUMN() - ($E27 + 5) &lt; 0, 0,
  IF(COLUMN() - ($E27 + 5) = 0, $F27,
    AJ27 * (1 - IFERROR(INDEX('Inputs &amp; Assuptions'!$D$13:$D$72, COLUMN() - ($E27 + 5)), 0))
  )
)</f>
        <v>1004.52277581005</v>
      </c>
      <c r="AL27" s="80" t="n">
        <f aca="false" t="array" ref="AL27:AL27">IF(COLUMN() - ($E27 + 5) &lt; 0, 0,
  IF(COLUMN() - ($E27 + 5) = 0, $F27,
    AK27 * (1 - IFERROR(INDEX('Inputs &amp; Assuptions'!$D$13:$D$72, COLUMN() - ($E27 + 5)), 0))
  )
)</f>
        <v>1004.02051442214</v>
      </c>
      <c r="AM27" s="80" t="n">
        <f aca="false" t="array" ref="AM27:AM27">IF(COLUMN() - ($E27 + 5) &lt; 0, 0,
  IF(COLUMN() - ($E27 + 5) = 0, $F27,
    AL27 * (1 - IFERROR(INDEX('Inputs &amp; Assuptions'!$D$13:$D$72, COLUMN() - ($E27 + 5)), 0))
  )
)</f>
        <v>1003.51850416493</v>
      </c>
      <c r="AN27" s="80" t="n">
        <f aca="false" t="array" ref="AN27:AN27">IF(COLUMN() - ($E27 + 5) &lt; 0, 0,
  IF(COLUMN() - ($E27 + 5) = 0, $F27,
    AM27 * (1 - IFERROR(INDEX('Inputs &amp; Assuptions'!$D$13:$D$72, COLUMN() - ($E27 + 5)), 0))
  )
)</f>
        <v>1003.01674491285</v>
      </c>
      <c r="AO27" s="80" t="n">
        <f aca="false" t="array" ref="AO27:AO27">IF(COLUMN() - ($E27 + 5) &lt; 0, 0,
  IF(COLUMN() - ($E27 + 5) = 0, $F27,
    AN27 * (1 - IFERROR(INDEX('Inputs &amp; Assuptions'!$D$13:$D$72, COLUMN() - ($E27 + 5)), 0))
  )
)</f>
        <v>1002.51523654039</v>
      </c>
      <c r="AP27" s="80" t="n">
        <f aca="false" t="array" ref="AP27:AP27">IF(COLUMN() - ($E27 + 5) &lt; 0, 0,
  IF(COLUMN() - ($E27 + 5) = 0, $F27,
    AO27 * (1 - IFERROR(INDEX('Inputs &amp; Assuptions'!$D$13:$D$72, COLUMN() - ($E27 + 5)), 0))
  )
)</f>
        <v>1002.01397892212</v>
      </c>
      <c r="AQ27" s="80" t="n">
        <f aca="false" t="array" ref="AQ27:AQ27">IF(COLUMN() - ($E27 + 5) &lt; 0, 0,
  IF(COLUMN() - ($E27 + 5) = 0, $F27,
    AP27 * (1 - IFERROR(INDEX('Inputs &amp; Assuptions'!$D$13:$D$72, COLUMN() - ($E27 + 5)), 0))
  )
)</f>
        <v>1001.51297193266</v>
      </c>
      <c r="AR27" s="80" t="n">
        <f aca="false" t="array" ref="AR27:AR27">IF(COLUMN() - ($E27 + 5) &lt; 0, 0,
  IF(COLUMN() - ($E27 + 5) = 0, $F27,
    AQ27 * (1 - IFERROR(INDEX('Inputs &amp; Assuptions'!$D$13:$D$72, COLUMN() - ($E27 + 5)), 0))
  )
)</f>
        <v>1001.01221544669</v>
      </c>
      <c r="AS27" s="80" t="n">
        <f aca="false" t="array" ref="AS27:AS27">IF(COLUMN() - ($E27 + 5) &lt; 0, 0,
  IF(COLUMN() - ($E27 + 5) = 0, $F27,
    AR27 * (1 - IFERROR(INDEX('Inputs &amp; Assuptions'!$D$13:$D$72, COLUMN() - ($E27 + 5)), 0))
  )
)</f>
        <v>1000.51170933897</v>
      </c>
      <c r="AT27" s="80" t="n">
        <f aca="false" t="array" ref="AT27:AT27">IF(COLUMN() - ($E27 + 5) &lt; 0, 0,
  IF(COLUMN() - ($E27 + 5) = 0, $F27,
    AS27 * (1 - IFERROR(INDEX('Inputs &amp; Assuptions'!$D$13:$D$72, COLUMN() - ($E27 + 5)), 0))
  )
)</f>
        <v>1000.0114534843</v>
      </c>
      <c r="AU27" s="80" t="n">
        <f aca="false" t="array" ref="AU27:AU27">IF(COLUMN() - ($E27 + 5) &lt; 0, 0,
  IF(COLUMN() - ($E27 + 5) = 0, $F27,
    AT27 * (1 - IFERROR(INDEX('Inputs &amp; Assuptions'!$D$13:$D$72, COLUMN() - ($E27 + 5)), 0))
  )
)</f>
        <v>999.511447757559</v>
      </c>
      <c r="AV27" s="80" t="n">
        <f aca="false" t="array" ref="AV27:AV27">IF(COLUMN() - ($E27 + 5) &lt; 0, 0,
  IF(COLUMN() - ($E27 + 5) = 0, $F27,
    AU27 * (1 - IFERROR(INDEX('Inputs &amp; Assuptions'!$D$13:$D$72, COLUMN() - ($E27 + 5)), 0))
  )
)</f>
        <v>999.011692033681</v>
      </c>
      <c r="AW27" s="80" t="n">
        <f aca="false" t="array" ref="AW27:AW27">IF(COLUMN() - ($E27 + 5) &lt; 0, 0,
  IF(COLUMN() - ($E27 + 5) = 0, $F27,
    AV27 * (1 - IFERROR(INDEX('Inputs &amp; Assuptions'!$D$13:$D$72, COLUMN() - ($E27 + 5)), 0))
  )
)</f>
        <v>998.512186187664</v>
      </c>
      <c r="AX27" s="80" t="n">
        <f aca="false" t="array" ref="AX27:AX27">IF(COLUMN() - ($E27 + 5) &lt; 0, 0,
  IF(COLUMN() - ($E27 + 5) = 0, $F27,
    AW27 * (1 - IFERROR(INDEX('Inputs &amp; Assuptions'!$D$13:$D$72, COLUMN() - ($E27 + 5)), 0))
  )
)</f>
        <v>998.01293009457</v>
      </c>
      <c r="AY27" s="80" t="n">
        <f aca="false" t="array" ref="AY27:AY27">IF(COLUMN() - ($E27 + 5) &lt; 0, 0,
  IF(COLUMN() - ($E27 + 5) = 0, $F27,
    AX27 * (1 - IFERROR(INDEX('Inputs &amp; Assuptions'!$D$13:$D$72, COLUMN() - ($E27 + 5)), 0))
  )
)</f>
        <v>997.513923629523</v>
      </c>
      <c r="AZ27" s="80" t="n">
        <f aca="false" t="array" ref="AZ27:AZ27">IF(COLUMN() - ($E27 + 5) &lt; 0, 0,
  IF(COLUMN() - ($E27 + 5) = 0, $F27,
    AY27 * (1 - IFERROR(INDEX('Inputs &amp; Assuptions'!$D$13:$D$72, COLUMN() - ($E27 + 5)), 0))
  )
)</f>
        <v>997.015166667708</v>
      </c>
      <c r="BA27" s="80" t="n">
        <f aca="false" t="array" ref="BA27:BA27">IF(COLUMN() - ($E27 + 5) &lt; 0, 0,
  IF(COLUMN() - ($E27 + 5) = 0, $F27,
    AZ27 * (1 - IFERROR(INDEX('Inputs &amp; Assuptions'!$D$13:$D$72, COLUMN() - ($E27 + 5)), 0))
  )
)</f>
        <v>996.516659084374</v>
      </c>
      <c r="BB27" s="80" t="n">
        <f aca="false" t="array" ref="BB27:BB27">IF(COLUMN() - ($E27 + 5) &lt; 0, 0,
  IF(COLUMN() - ($E27 + 5) = 0, $F27,
    BA27 * (1 - IFERROR(INDEX('Inputs &amp; Assuptions'!$D$13:$D$72, COLUMN() - ($E27 + 5)), 0))
  )
)</f>
        <v>996.018400754832</v>
      </c>
      <c r="BC27" s="80" t="n">
        <f aca="false" t="array" ref="BC27:BC27">IF(COLUMN() - ($E27 + 5) &lt; 0, 0,
  IF(COLUMN() - ($E27 + 5) = 0, $F27,
    BB27 * (1 - IFERROR(INDEX('Inputs &amp; Assuptions'!$D$13:$D$72, COLUMN() - ($E27 + 5)), 0))
  )
)</f>
        <v>995.520391554455</v>
      </c>
      <c r="BD27" s="80" t="n">
        <f aca="false" t="array" ref="BD27:BD27">IF(COLUMN() - ($E27 + 5) &lt; 0, 0,
  IF(COLUMN() - ($E27 + 5) = 0, $F27,
    BC27 * (1 - IFERROR(INDEX('Inputs &amp; Assuptions'!$D$13:$D$72, COLUMN() - ($E27 + 5)), 0))
  )
)</f>
        <v>995.022631358678</v>
      </c>
      <c r="BE27" s="80" t="n">
        <f aca="false" t="array" ref="BE27:BE27">IF(COLUMN() - ($E27 + 5) &lt; 0, 0,
  IF(COLUMN() - ($E27 + 5) = 0, $F27,
    BD27 * (1 - IFERROR(INDEX('Inputs &amp; Assuptions'!$D$13:$D$72, COLUMN() - ($E27 + 5)), 0))
  )
)</f>
        <v>994.525120042998</v>
      </c>
      <c r="BF27" s="80" t="n">
        <f aca="false" t="array" ref="BF27:BF27">IF(COLUMN() - ($E27 + 5) &lt; 0, 0,
  IF(COLUMN() - ($E27 + 5) = 0, $F27,
    BE27 * (1 - IFERROR(INDEX('Inputs &amp; Assuptions'!$D$13:$D$72, COLUMN() - ($E27 + 5)), 0))
  )
)</f>
        <v>994.027857482977</v>
      </c>
      <c r="BG27" s="80" t="n">
        <f aca="false" t="array" ref="BG27:BG27">IF(COLUMN() - ($E27 + 5) &lt; 0, 0,
  IF(COLUMN() - ($E27 + 5) = 0, $F27,
    BF27 * (1 - IFERROR(INDEX('Inputs &amp; Assuptions'!$D$13:$D$72, COLUMN() - ($E27 + 5)), 0))
  )
)</f>
        <v>993.530843554236</v>
      </c>
      <c r="BH27" s="80" t="n">
        <f aca="false" t="array" ref="BH27:BH27">IF(COLUMN() - ($E27 + 5) &lt; 0, 0,
  IF(COLUMN() - ($E27 + 5) = 0, $F27,
    BG27 * (1 - IFERROR(INDEX('Inputs &amp; Assuptions'!$D$13:$D$72, COLUMN() - ($E27 + 5)), 0))
  )
)</f>
        <v>993.034078132459</v>
      </c>
      <c r="BI27" s="80" t="n">
        <f aca="false" t="array" ref="BI27:BI27">IF(COLUMN() - ($E27 + 5) &lt; 0, 0,
  IF(COLUMN() - ($E27 + 5) = 0, $F27,
    BH27 * (1 - IFERROR(INDEX('Inputs &amp; Assuptions'!$D$13:$D$72, COLUMN() - ($E27 + 5)), 0))
  )
)</f>
        <v>992.537561093392</v>
      </c>
      <c r="BJ27" s="80" t="n">
        <f aca="false" t="array" ref="BJ27:BJ27">IF(COLUMN() - ($E27 + 5) &lt; 0, 0,
  IF(COLUMN() - ($E27 + 5) = 0, $F27,
    BI27 * (1 - IFERROR(INDEX('Inputs &amp; Assuptions'!$D$13:$D$72, COLUMN() - ($E27 + 5)), 0))
  )
)</f>
        <v>992.041292312846</v>
      </c>
      <c r="BK27" s="80" t="n">
        <f aca="false" t="array" ref="BK27:BK27">IF(COLUMN() - ($E27 + 5) &lt; 0, 0,
  IF(COLUMN() - ($E27 + 5) = 0, $F27,
    BJ27 * (1 - IFERROR(INDEX('Inputs &amp; Assuptions'!$D$13:$D$72, COLUMN() - ($E27 + 5)), 0))
  )
)</f>
        <v>991.545271666689</v>
      </c>
      <c r="BL27" s="80" t="n">
        <f aca="false" t="array" ref="BL27:BL27">IF(COLUMN() - ($E27 + 5) &lt; 0, 0,
  IF(COLUMN() - ($E27 + 5) = 0, $F27,
    BK27 * (1 - IFERROR(INDEX('Inputs &amp; Assuptions'!$D$13:$D$72, COLUMN() - ($E27 + 5)), 0))
  )
)</f>
        <v>991.049499030856</v>
      </c>
      <c r="BM27" s="81" t="n">
        <f aca="false" t="array" ref="BM27:BM27">IF(COLUMN() - ($E27 + 5) &lt; 0, 0,
  IF(COLUMN() - ($E27 + 5) = 0, $F27,
    BL27 * (1 - IFERROR(INDEX('Inputs &amp; Assuptions'!$D$13:$D$72, COLUMN() - ($E27 + 5)), 0))
  )
)</f>
        <v>990.553974281341</v>
      </c>
      <c r="BN27" s="76"/>
    </row>
    <row r="28" customFormat="false" ht="14.25" hidden="false" customHeight="false" outlineLevel="0" collapsed="false">
      <c r="A28" s="29" t="n">
        <f aca="false">A27+1</f>
        <v>23</v>
      </c>
      <c r="B28" s="77" t="n">
        <f aca="false">IF(MOD($A28-1, 12) = 0, $B27 * 1.05, $B27)</f>
        <v>1050</v>
      </c>
      <c r="C28" s="93" t="n">
        <f aca="false">$B28*(1-'Inputs &amp; Assuptions'!$D$12)</f>
        <v>1026.9</v>
      </c>
      <c r="E28" s="29" t="n">
        <f aca="false">E27+1</f>
        <v>23</v>
      </c>
      <c r="F28" s="79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 t="n">
        <f aca="false">$C28</f>
        <v>1026.9</v>
      </c>
      <c r="AC28" s="80" t="n">
        <f aca="false" t="array" ref="AC28:AC28">IF(COLUMN() - ($E28 + 5) &lt; 0, 0,
  IF(COLUMN() - ($E28 + 5) = 0, $F28,
    AB28 * (1 - IFERROR(INDEX('Inputs &amp; Assuptions'!$D$13:$D$72, COLUMN() - ($E28 + 5)), 0))
  )
)</f>
        <v>1021.7655</v>
      </c>
      <c r="AD28" s="80" t="n">
        <f aca="false" t="array" ref="AD28:AD28">IF(COLUMN() - ($E28 + 5) &lt; 0, 0,
  IF(COLUMN() - ($E28 + 5) = 0, $F28,
    AC28 * (1 - IFERROR(INDEX('Inputs &amp; Assuptions'!$D$13:$D$72, COLUMN() - ($E28 + 5)), 0))
  )
)</f>
        <v>1017.8827911</v>
      </c>
      <c r="AE28" s="80" t="n">
        <f aca="false" t="array" ref="AE28:AE28">IF(COLUMN() - ($E28 + 5) &lt; 0, 0,
  IF(COLUMN() - ($E28 + 5) = 0, $F28,
    AD28 * (1 - IFERROR(INDEX('Inputs &amp; Assuptions'!$D$13:$D$72, COLUMN() - ($E28 + 5)), 0))
  )
)</f>
        <v>1015.33808412225</v>
      </c>
      <c r="AF28" s="80" t="n">
        <f aca="false" t="array" ref="AF28:AF28">IF(COLUMN() - ($E28 + 5) &lt; 0, 0,
  IF(COLUMN() - ($E28 + 5) = 0, $F28,
    AE28 * (1 - IFERROR(INDEX('Inputs &amp; Assuptions'!$D$13:$D$72, COLUMN() - ($E28 + 5)), 0))
  )
)</f>
        <v>1013.00280652877</v>
      </c>
      <c r="AG28" s="80" t="n">
        <f aca="false" t="array" ref="AG28:AG28">IF(COLUMN() - ($E28 + 5) &lt; 0, 0,
  IF(COLUMN() - ($E28 + 5) = 0, $F28,
    AF28 * (1 - IFERROR(INDEX('Inputs &amp; Assuptions'!$D$13:$D$72, COLUMN() - ($E28 + 5)), 0))
  )
)</f>
        <v>1010.97680091571</v>
      </c>
      <c r="AH28" s="80" t="n">
        <f aca="false" t="array" ref="AH28:AH28">IF(COLUMN() - ($E28 + 5) &lt; 0, 0,
  IF(COLUMN() - ($E28 + 5) = 0, $F28,
    AG28 * (1 - IFERROR(INDEX('Inputs &amp; Assuptions'!$D$13:$D$72, COLUMN() - ($E28 + 5)), 0))
  )
)</f>
        <v>1009.15704267406</v>
      </c>
      <c r="AI28" s="80" t="n">
        <f aca="false" t="array" ref="AI28:AI28">IF(COLUMN() - ($E28 + 5) &lt; 0, 0,
  IF(COLUMN() - ($E28 + 5) = 0, $F28,
    AH28 * (1 - IFERROR(INDEX('Inputs &amp; Assuptions'!$D$13:$D$72, COLUMN() - ($E28 + 5)), 0))
  )
)</f>
        <v>1007.64330711005</v>
      </c>
      <c r="AJ28" s="80" t="n">
        <f aca="false" t="array" ref="AJ28:AJ28">IF(COLUMN() - ($E28 + 5) &lt; 0, 0,
  IF(COLUMN() - ($E28 + 5) = 0, $F28,
    AI28 * (1 - IFERROR(INDEX('Inputs &amp; Assuptions'!$D$13:$D$72, COLUMN() - ($E28 + 5)), 0))
  )
)</f>
        <v>1006.33337081081</v>
      </c>
      <c r="AK28" s="80" t="n">
        <f aca="false" t="array" ref="AK28:AK28">IF(COLUMN() - ($E28 + 5) &lt; 0, 0,
  IF(COLUMN() - ($E28 + 5) = 0, $F28,
    AJ28 * (1 - IFERROR(INDEX('Inputs &amp; Assuptions'!$D$13:$D$72, COLUMN() - ($E28 + 5)), 0))
  )
)</f>
        <v>1005.32703744</v>
      </c>
      <c r="AL28" s="80" t="n">
        <f aca="false" t="array" ref="AL28:AL28">IF(COLUMN() - ($E28 + 5) &lt; 0, 0,
  IF(COLUMN() - ($E28 + 5) = 0, $F28,
    AK28 * (1 - IFERROR(INDEX('Inputs &amp; Assuptions'!$D$13:$D$72, COLUMN() - ($E28 + 5)), 0))
  )
)</f>
        <v>1004.52277581005</v>
      </c>
      <c r="AM28" s="80" t="n">
        <f aca="false" t="array" ref="AM28:AM28">IF(COLUMN() - ($E28 + 5) &lt; 0, 0,
  IF(COLUMN() - ($E28 + 5) = 0, $F28,
    AL28 * (1 - IFERROR(INDEX('Inputs &amp; Assuptions'!$D$13:$D$72, COLUMN() - ($E28 + 5)), 0))
  )
)</f>
        <v>1004.02051442214</v>
      </c>
      <c r="AN28" s="80" t="n">
        <f aca="false" t="array" ref="AN28:AN28">IF(COLUMN() - ($E28 + 5) &lt; 0, 0,
  IF(COLUMN() - ($E28 + 5) = 0, $F28,
    AM28 * (1 - IFERROR(INDEX('Inputs &amp; Assuptions'!$D$13:$D$72, COLUMN() - ($E28 + 5)), 0))
  )
)</f>
        <v>1003.51850416493</v>
      </c>
      <c r="AO28" s="80" t="n">
        <f aca="false" t="array" ref="AO28:AO28">IF(COLUMN() - ($E28 + 5) &lt; 0, 0,
  IF(COLUMN() - ($E28 + 5) = 0, $F28,
    AN28 * (1 - IFERROR(INDEX('Inputs &amp; Assuptions'!$D$13:$D$72, COLUMN() - ($E28 + 5)), 0))
  )
)</f>
        <v>1003.01674491285</v>
      </c>
      <c r="AP28" s="80" t="n">
        <f aca="false" t="array" ref="AP28:AP28">IF(COLUMN() - ($E28 + 5) &lt; 0, 0,
  IF(COLUMN() - ($E28 + 5) = 0, $F28,
    AO28 * (1 - IFERROR(INDEX('Inputs &amp; Assuptions'!$D$13:$D$72, COLUMN() - ($E28 + 5)), 0))
  )
)</f>
        <v>1002.51523654039</v>
      </c>
      <c r="AQ28" s="80" t="n">
        <f aca="false" t="array" ref="AQ28:AQ28">IF(COLUMN() - ($E28 + 5) &lt; 0, 0,
  IF(COLUMN() - ($E28 + 5) = 0, $F28,
    AP28 * (1 - IFERROR(INDEX('Inputs &amp; Assuptions'!$D$13:$D$72, COLUMN() - ($E28 + 5)), 0))
  )
)</f>
        <v>1002.01397892212</v>
      </c>
      <c r="AR28" s="80" t="n">
        <f aca="false" t="array" ref="AR28:AR28">IF(COLUMN() - ($E28 + 5) &lt; 0, 0,
  IF(COLUMN() - ($E28 + 5) = 0, $F28,
    AQ28 * (1 - IFERROR(INDEX('Inputs &amp; Assuptions'!$D$13:$D$72, COLUMN() - ($E28 + 5)), 0))
  )
)</f>
        <v>1001.51297193266</v>
      </c>
      <c r="AS28" s="80" t="n">
        <f aca="false" t="array" ref="AS28:AS28">IF(COLUMN() - ($E28 + 5) &lt; 0, 0,
  IF(COLUMN() - ($E28 + 5) = 0, $F28,
    AR28 * (1 - IFERROR(INDEX('Inputs &amp; Assuptions'!$D$13:$D$72, COLUMN() - ($E28 + 5)), 0))
  )
)</f>
        <v>1001.01221544669</v>
      </c>
      <c r="AT28" s="80" t="n">
        <f aca="false" t="array" ref="AT28:AT28">IF(COLUMN() - ($E28 + 5) &lt; 0, 0,
  IF(COLUMN() - ($E28 + 5) = 0, $F28,
    AS28 * (1 - IFERROR(INDEX('Inputs &amp; Assuptions'!$D$13:$D$72, COLUMN() - ($E28 + 5)), 0))
  )
)</f>
        <v>1000.51170933897</v>
      </c>
      <c r="AU28" s="80" t="n">
        <f aca="false" t="array" ref="AU28:AU28">IF(COLUMN() - ($E28 + 5) &lt; 0, 0,
  IF(COLUMN() - ($E28 + 5) = 0, $F28,
    AT28 * (1 - IFERROR(INDEX('Inputs &amp; Assuptions'!$D$13:$D$72, COLUMN() - ($E28 + 5)), 0))
  )
)</f>
        <v>1000.0114534843</v>
      </c>
      <c r="AV28" s="80" t="n">
        <f aca="false" t="array" ref="AV28:AV28">IF(COLUMN() - ($E28 + 5) &lt; 0, 0,
  IF(COLUMN() - ($E28 + 5) = 0, $F28,
    AU28 * (1 - IFERROR(INDEX('Inputs &amp; Assuptions'!$D$13:$D$72, COLUMN() - ($E28 + 5)), 0))
  )
)</f>
        <v>999.511447757559</v>
      </c>
      <c r="AW28" s="80" t="n">
        <f aca="false" t="array" ref="AW28:AW28">IF(COLUMN() - ($E28 + 5) &lt; 0, 0,
  IF(COLUMN() - ($E28 + 5) = 0, $F28,
    AV28 * (1 - IFERROR(INDEX('Inputs &amp; Assuptions'!$D$13:$D$72, COLUMN() - ($E28 + 5)), 0))
  )
)</f>
        <v>999.011692033681</v>
      </c>
      <c r="AX28" s="80" t="n">
        <f aca="false" t="array" ref="AX28:AX28">IF(COLUMN() - ($E28 + 5) &lt; 0, 0,
  IF(COLUMN() - ($E28 + 5) = 0, $F28,
    AW28 * (1 - IFERROR(INDEX('Inputs &amp; Assuptions'!$D$13:$D$72, COLUMN() - ($E28 + 5)), 0))
  )
)</f>
        <v>998.512186187664</v>
      </c>
      <c r="AY28" s="80" t="n">
        <f aca="false" t="array" ref="AY28:AY28">IF(COLUMN() - ($E28 + 5) &lt; 0, 0,
  IF(COLUMN() - ($E28 + 5) = 0, $F28,
    AX28 * (1 - IFERROR(INDEX('Inputs &amp; Assuptions'!$D$13:$D$72, COLUMN() - ($E28 + 5)), 0))
  )
)</f>
        <v>998.01293009457</v>
      </c>
      <c r="AZ28" s="80" t="n">
        <f aca="false" t="array" ref="AZ28:AZ28">IF(COLUMN() - ($E28 + 5) &lt; 0, 0,
  IF(COLUMN() - ($E28 + 5) = 0, $F28,
    AY28 * (1 - IFERROR(INDEX('Inputs &amp; Assuptions'!$D$13:$D$72, COLUMN() - ($E28 + 5)), 0))
  )
)</f>
        <v>997.513923629523</v>
      </c>
      <c r="BA28" s="80" t="n">
        <f aca="false" t="array" ref="BA28:BA28">IF(COLUMN() - ($E28 + 5) &lt; 0, 0,
  IF(COLUMN() - ($E28 + 5) = 0, $F28,
    AZ28 * (1 - IFERROR(INDEX('Inputs &amp; Assuptions'!$D$13:$D$72, COLUMN() - ($E28 + 5)), 0))
  )
)</f>
        <v>997.015166667708</v>
      </c>
      <c r="BB28" s="80" t="n">
        <f aca="false" t="array" ref="BB28:BB28">IF(COLUMN() - ($E28 + 5) &lt; 0, 0,
  IF(COLUMN() - ($E28 + 5) = 0, $F28,
    BA28 * (1 - IFERROR(INDEX('Inputs &amp; Assuptions'!$D$13:$D$72, COLUMN() - ($E28 + 5)), 0))
  )
)</f>
        <v>996.516659084374</v>
      </c>
      <c r="BC28" s="80" t="n">
        <f aca="false" t="array" ref="BC28:BC28">IF(COLUMN() - ($E28 + 5) &lt; 0, 0,
  IF(COLUMN() - ($E28 + 5) = 0, $F28,
    BB28 * (1 - IFERROR(INDEX('Inputs &amp; Assuptions'!$D$13:$D$72, COLUMN() - ($E28 + 5)), 0))
  )
)</f>
        <v>996.018400754832</v>
      </c>
      <c r="BD28" s="80" t="n">
        <f aca="false" t="array" ref="BD28:BD28">IF(COLUMN() - ($E28 + 5) &lt; 0, 0,
  IF(COLUMN() - ($E28 + 5) = 0, $F28,
    BC28 * (1 - IFERROR(INDEX('Inputs &amp; Assuptions'!$D$13:$D$72, COLUMN() - ($E28 + 5)), 0))
  )
)</f>
        <v>995.520391554455</v>
      </c>
      <c r="BE28" s="80" t="n">
        <f aca="false" t="array" ref="BE28:BE28">IF(COLUMN() - ($E28 + 5) &lt; 0, 0,
  IF(COLUMN() - ($E28 + 5) = 0, $F28,
    BD28 * (1 - IFERROR(INDEX('Inputs &amp; Assuptions'!$D$13:$D$72, COLUMN() - ($E28 + 5)), 0))
  )
)</f>
        <v>995.022631358678</v>
      </c>
      <c r="BF28" s="80" t="n">
        <f aca="false" t="array" ref="BF28:BF28">IF(COLUMN() - ($E28 + 5) &lt; 0, 0,
  IF(COLUMN() - ($E28 + 5) = 0, $F28,
    BE28 * (1 - IFERROR(INDEX('Inputs &amp; Assuptions'!$D$13:$D$72, COLUMN() - ($E28 + 5)), 0))
  )
)</f>
        <v>994.525120042998</v>
      </c>
      <c r="BG28" s="80" t="n">
        <f aca="false" t="array" ref="BG28:BG28">IF(COLUMN() - ($E28 + 5) &lt; 0, 0,
  IF(COLUMN() - ($E28 + 5) = 0, $F28,
    BF28 * (1 - IFERROR(INDEX('Inputs &amp; Assuptions'!$D$13:$D$72, COLUMN() - ($E28 + 5)), 0))
  )
)</f>
        <v>994.027857482977</v>
      </c>
      <c r="BH28" s="80" t="n">
        <f aca="false" t="array" ref="BH28:BH28">IF(COLUMN() - ($E28 + 5) &lt; 0, 0,
  IF(COLUMN() - ($E28 + 5) = 0, $F28,
    BG28 * (1 - IFERROR(INDEX('Inputs &amp; Assuptions'!$D$13:$D$72, COLUMN() - ($E28 + 5)), 0))
  )
)</f>
        <v>993.530843554236</v>
      </c>
      <c r="BI28" s="80" t="n">
        <f aca="false" t="array" ref="BI28:BI28">IF(COLUMN() - ($E28 + 5) &lt; 0, 0,
  IF(COLUMN() - ($E28 + 5) = 0, $F28,
    BH28 * (1 - IFERROR(INDEX('Inputs &amp; Assuptions'!$D$13:$D$72, COLUMN() - ($E28 + 5)), 0))
  )
)</f>
        <v>993.034078132459</v>
      </c>
      <c r="BJ28" s="80" t="n">
        <f aca="false" t="array" ref="BJ28:BJ28">IF(COLUMN() - ($E28 + 5) &lt; 0, 0,
  IF(COLUMN() - ($E28 + 5) = 0, $F28,
    BI28 * (1 - IFERROR(INDEX('Inputs &amp; Assuptions'!$D$13:$D$72, COLUMN() - ($E28 + 5)), 0))
  )
)</f>
        <v>992.537561093392</v>
      </c>
      <c r="BK28" s="80" t="n">
        <f aca="false" t="array" ref="BK28:BK28">IF(COLUMN() - ($E28 + 5) &lt; 0, 0,
  IF(COLUMN() - ($E28 + 5) = 0, $F28,
    BJ28 * (1 - IFERROR(INDEX('Inputs &amp; Assuptions'!$D$13:$D$72, COLUMN() - ($E28 + 5)), 0))
  )
)</f>
        <v>992.041292312846</v>
      </c>
      <c r="BL28" s="80" t="n">
        <f aca="false" t="array" ref="BL28:BL28">IF(COLUMN() - ($E28 + 5) &lt; 0, 0,
  IF(COLUMN() - ($E28 + 5) = 0, $F28,
    BK28 * (1 - IFERROR(INDEX('Inputs &amp; Assuptions'!$D$13:$D$72, COLUMN() - ($E28 + 5)), 0))
  )
)</f>
        <v>991.545271666689</v>
      </c>
      <c r="BM28" s="81" t="n">
        <f aca="false" t="array" ref="BM28:BM28">IF(COLUMN() - ($E28 + 5) &lt; 0, 0,
  IF(COLUMN() - ($E28 + 5) = 0, $F28,
    BL28 * (1 - IFERROR(INDEX('Inputs &amp; Assuptions'!$D$13:$D$72, COLUMN() - ($E28 + 5)), 0))
  )
)</f>
        <v>991.049499030856</v>
      </c>
      <c r="BN28" s="76"/>
    </row>
    <row r="29" customFormat="false" ht="14.25" hidden="false" customHeight="false" outlineLevel="0" collapsed="false">
      <c r="A29" s="29" t="n">
        <f aca="false">A28+1</f>
        <v>24</v>
      </c>
      <c r="B29" s="77" t="n">
        <f aca="false">IF(MOD($A29-1, 12) = 0, $B28 * 1.05, $B28)</f>
        <v>1050</v>
      </c>
      <c r="C29" s="93" t="n">
        <f aca="false">$B29*(1-'Inputs &amp; Assuptions'!$D$12)</f>
        <v>1026.9</v>
      </c>
      <c r="E29" s="29" t="n">
        <f aca="false">E28+1</f>
        <v>24</v>
      </c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 t="n">
        <f aca="false">$C29</f>
        <v>1026.9</v>
      </c>
      <c r="AD29" s="80" t="n">
        <f aca="false" t="array" ref="AD29:AD29">IF(COLUMN() - ($E29 + 5) &lt; 0, 0,
  IF(COLUMN() - ($E29 + 5) = 0, $F29,
    AC29 * (1 - IFERROR(INDEX('Inputs &amp; Assuptions'!$D$13:$D$72, COLUMN() - ($E29 + 5)), 0))
  )
)</f>
        <v>1021.7655</v>
      </c>
      <c r="AE29" s="80" t="n">
        <f aca="false" t="array" ref="AE29:AE29">IF(COLUMN() - ($E29 + 5) &lt; 0, 0,
  IF(COLUMN() - ($E29 + 5) = 0, $F29,
    AD29 * (1 - IFERROR(INDEX('Inputs &amp; Assuptions'!$D$13:$D$72, COLUMN() - ($E29 + 5)), 0))
  )
)</f>
        <v>1017.8827911</v>
      </c>
      <c r="AF29" s="80" t="n">
        <f aca="false" t="array" ref="AF29:AF29">IF(COLUMN() - ($E29 + 5) &lt; 0, 0,
  IF(COLUMN() - ($E29 + 5) = 0, $F29,
    AE29 * (1 - IFERROR(INDEX('Inputs &amp; Assuptions'!$D$13:$D$72, COLUMN() - ($E29 + 5)), 0))
  )
)</f>
        <v>1015.33808412225</v>
      </c>
      <c r="AG29" s="80" t="n">
        <f aca="false" t="array" ref="AG29:AG29">IF(COLUMN() - ($E29 + 5) &lt; 0, 0,
  IF(COLUMN() - ($E29 + 5) = 0, $F29,
    AF29 * (1 - IFERROR(INDEX('Inputs &amp; Assuptions'!$D$13:$D$72, COLUMN() - ($E29 + 5)), 0))
  )
)</f>
        <v>1013.00280652877</v>
      </c>
      <c r="AH29" s="80" t="n">
        <f aca="false" t="array" ref="AH29:AH29">IF(COLUMN() - ($E29 + 5) &lt; 0, 0,
  IF(COLUMN() - ($E29 + 5) = 0, $F29,
    AG29 * (1 - IFERROR(INDEX('Inputs &amp; Assuptions'!$D$13:$D$72, COLUMN() - ($E29 + 5)), 0))
  )
)</f>
        <v>1010.97680091571</v>
      </c>
      <c r="AI29" s="80" t="n">
        <f aca="false" t="array" ref="AI29:AI29">IF(COLUMN() - ($E29 + 5) &lt; 0, 0,
  IF(COLUMN() - ($E29 + 5) = 0, $F29,
    AH29 * (1 - IFERROR(INDEX('Inputs &amp; Assuptions'!$D$13:$D$72, COLUMN() - ($E29 + 5)), 0))
  )
)</f>
        <v>1009.15704267406</v>
      </c>
      <c r="AJ29" s="80" t="n">
        <f aca="false" t="array" ref="AJ29:AJ29">IF(COLUMN() - ($E29 + 5) &lt; 0, 0,
  IF(COLUMN() - ($E29 + 5) = 0, $F29,
    AI29 * (1 - IFERROR(INDEX('Inputs &amp; Assuptions'!$D$13:$D$72, COLUMN() - ($E29 + 5)), 0))
  )
)</f>
        <v>1007.64330711005</v>
      </c>
      <c r="AK29" s="80" t="n">
        <f aca="false" t="array" ref="AK29:AK29">IF(COLUMN() - ($E29 + 5) &lt; 0, 0,
  IF(COLUMN() - ($E29 + 5) = 0, $F29,
    AJ29 * (1 - IFERROR(INDEX('Inputs &amp; Assuptions'!$D$13:$D$72, COLUMN() - ($E29 + 5)), 0))
  )
)</f>
        <v>1006.33337081081</v>
      </c>
      <c r="AL29" s="80" t="n">
        <f aca="false" t="array" ref="AL29:AL29">IF(COLUMN() - ($E29 + 5) &lt; 0, 0,
  IF(COLUMN() - ($E29 + 5) = 0, $F29,
    AK29 * (1 - IFERROR(INDEX('Inputs &amp; Assuptions'!$D$13:$D$72, COLUMN() - ($E29 + 5)), 0))
  )
)</f>
        <v>1005.32703744</v>
      </c>
      <c r="AM29" s="80" t="n">
        <f aca="false" t="array" ref="AM29:AM29">IF(COLUMN() - ($E29 + 5) &lt; 0, 0,
  IF(COLUMN() - ($E29 + 5) = 0, $F29,
    AL29 * (1 - IFERROR(INDEX('Inputs &amp; Assuptions'!$D$13:$D$72, COLUMN() - ($E29 + 5)), 0))
  )
)</f>
        <v>1004.52277581005</v>
      </c>
      <c r="AN29" s="80" t="n">
        <f aca="false" t="array" ref="AN29:AN29">IF(COLUMN() - ($E29 + 5) &lt; 0, 0,
  IF(COLUMN() - ($E29 + 5) = 0, $F29,
    AM29 * (1 - IFERROR(INDEX('Inputs &amp; Assuptions'!$D$13:$D$72, COLUMN() - ($E29 + 5)), 0))
  )
)</f>
        <v>1004.02051442214</v>
      </c>
      <c r="AO29" s="80" t="n">
        <f aca="false" t="array" ref="AO29:AO29">IF(COLUMN() - ($E29 + 5) &lt; 0, 0,
  IF(COLUMN() - ($E29 + 5) = 0, $F29,
    AN29 * (1 - IFERROR(INDEX('Inputs &amp; Assuptions'!$D$13:$D$72, COLUMN() - ($E29 + 5)), 0))
  )
)</f>
        <v>1003.51850416493</v>
      </c>
      <c r="AP29" s="80" t="n">
        <f aca="false" t="array" ref="AP29:AP29">IF(COLUMN() - ($E29 + 5) &lt; 0, 0,
  IF(COLUMN() - ($E29 + 5) = 0, $F29,
    AO29 * (1 - IFERROR(INDEX('Inputs &amp; Assuptions'!$D$13:$D$72, COLUMN() - ($E29 + 5)), 0))
  )
)</f>
        <v>1003.01674491285</v>
      </c>
      <c r="AQ29" s="80" t="n">
        <f aca="false" t="array" ref="AQ29:AQ29">IF(COLUMN() - ($E29 + 5) &lt; 0, 0,
  IF(COLUMN() - ($E29 + 5) = 0, $F29,
    AP29 * (1 - IFERROR(INDEX('Inputs &amp; Assuptions'!$D$13:$D$72, COLUMN() - ($E29 + 5)), 0))
  )
)</f>
        <v>1002.51523654039</v>
      </c>
      <c r="AR29" s="80" t="n">
        <f aca="false" t="array" ref="AR29:AR29">IF(COLUMN() - ($E29 + 5) &lt; 0, 0,
  IF(COLUMN() - ($E29 + 5) = 0, $F29,
    AQ29 * (1 - IFERROR(INDEX('Inputs &amp; Assuptions'!$D$13:$D$72, COLUMN() - ($E29 + 5)), 0))
  )
)</f>
        <v>1002.01397892212</v>
      </c>
      <c r="AS29" s="80" t="n">
        <f aca="false" t="array" ref="AS29:AS29">IF(COLUMN() - ($E29 + 5) &lt; 0, 0,
  IF(COLUMN() - ($E29 + 5) = 0, $F29,
    AR29 * (1 - IFERROR(INDEX('Inputs &amp; Assuptions'!$D$13:$D$72, COLUMN() - ($E29 + 5)), 0))
  )
)</f>
        <v>1001.51297193266</v>
      </c>
      <c r="AT29" s="80" t="n">
        <f aca="false" t="array" ref="AT29:AT29">IF(COLUMN() - ($E29 + 5) &lt; 0, 0,
  IF(COLUMN() - ($E29 + 5) = 0, $F29,
    AS29 * (1 - IFERROR(INDEX('Inputs &amp; Assuptions'!$D$13:$D$72, COLUMN() - ($E29 + 5)), 0))
  )
)</f>
        <v>1001.01221544669</v>
      </c>
      <c r="AU29" s="80" t="n">
        <f aca="false" t="array" ref="AU29:AU29">IF(COLUMN() - ($E29 + 5) &lt; 0, 0,
  IF(COLUMN() - ($E29 + 5) = 0, $F29,
    AT29 * (1 - IFERROR(INDEX('Inputs &amp; Assuptions'!$D$13:$D$72, COLUMN() - ($E29 + 5)), 0))
  )
)</f>
        <v>1000.51170933897</v>
      </c>
      <c r="AV29" s="80" t="n">
        <f aca="false" t="array" ref="AV29:AV29">IF(COLUMN() - ($E29 + 5) &lt; 0, 0,
  IF(COLUMN() - ($E29 + 5) = 0, $F29,
    AU29 * (1 - IFERROR(INDEX('Inputs &amp; Assuptions'!$D$13:$D$72, COLUMN() - ($E29 + 5)), 0))
  )
)</f>
        <v>1000.0114534843</v>
      </c>
      <c r="AW29" s="80" t="n">
        <f aca="false" t="array" ref="AW29:AW29">IF(COLUMN() - ($E29 + 5) &lt; 0, 0,
  IF(COLUMN() - ($E29 + 5) = 0, $F29,
    AV29 * (1 - IFERROR(INDEX('Inputs &amp; Assuptions'!$D$13:$D$72, COLUMN() - ($E29 + 5)), 0))
  )
)</f>
        <v>999.511447757559</v>
      </c>
      <c r="AX29" s="80" t="n">
        <f aca="false" t="array" ref="AX29:AX29">IF(COLUMN() - ($E29 + 5) &lt; 0, 0,
  IF(COLUMN() - ($E29 + 5) = 0, $F29,
    AW29 * (1 - IFERROR(INDEX('Inputs &amp; Assuptions'!$D$13:$D$72, COLUMN() - ($E29 + 5)), 0))
  )
)</f>
        <v>999.011692033681</v>
      </c>
      <c r="AY29" s="80" t="n">
        <f aca="false" t="array" ref="AY29:AY29">IF(COLUMN() - ($E29 + 5) &lt; 0, 0,
  IF(COLUMN() - ($E29 + 5) = 0, $F29,
    AX29 * (1 - IFERROR(INDEX('Inputs &amp; Assuptions'!$D$13:$D$72, COLUMN() - ($E29 + 5)), 0))
  )
)</f>
        <v>998.512186187664</v>
      </c>
      <c r="AZ29" s="80" t="n">
        <f aca="false" t="array" ref="AZ29:AZ29">IF(COLUMN() - ($E29 + 5) &lt; 0, 0,
  IF(COLUMN() - ($E29 + 5) = 0, $F29,
    AY29 * (1 - IFERROR(INDEX('Inputs &amp; Assuptions'!$D$13:$D$72, COLUMN() - ($E29 + 5)), 0))
  )
)</f>
        <v>998.01293009457</v>
      </c>
      <c r="BA29" s="80" t="n">
        <f aca="false" t="array" ref="BA29:BA29">IF(COLUMN() - ($E29 + 5) &lt; 0, 0,
  IF(COLUMN() - ($E29 + 5) = 0, $F29,
    AZ29 * (1 - IFERROR(INDEX('Inputs &amp; Assuptions'!$D$13:$D$72, COLUMN() - ($E29 + 5)), 0))
  )
)</f>
        <v>997.513923629523</v>
      </c>
      <c r="BB29" s="80" t="n">
        <f aca="false" t="array" ref="BB29:BB29">IF(COLUMN() - ($E29 + 5) &lt; 0, 0,
  IF(COLUMN() - ($E29 + 5) = 0, $F29,
    BA29 * (1 - IFERROR(INDEX('Inputs &amp; Assuptions'!$D$13:$D$72, COLUMN() - ($E29 + 5)), 0))
  )
)</f>
        <v>997.015166667708</v>
      </c>
      <c r="BC29" s="80" t="n">
        <f aca="false" t="array" ref="BC29:BC29">IF(COLUMN() - ($E29 + 5) &lt; 0, 0,
  IF(COLUMN() - ($E29 + 5) = 0, $F29,
    BB29 * (1 - IFERROR(INDEX('Inputs &amp; Assuptions'!$D$13:$D$72, COLUMN() - ($E29 + 5)), 0))
  )
)</f>
        <v>996.516659084374</v>
      </c>
      <c r="BD29" s="80" t="n">
        <f aca="false" t="array" ref="BD29:BD29">IF(COLUMN() - ($E29 + 5) &lt; 0, 0,
  IF(COLUMN() - ($E29 + 5) = 0, $F29,
    BC29 * (1 - IFERROR(INDEX('Inputs &amp; Assuptions'!$D$13:$D$72, COLUMN() - ($E29 + 5)), 0))
  )
)</f>
        <v>996.018400754832</v>
      </c>
      <c r="BE29" s="80" t="n">
        <f aca="false" t="array" ref="BE29:BE29">IF(COLUMN() - ($E29 + 5) &lt; 0, 0,
  IF(COLUMN() - ($E29 + 5) = 0, $F29,
    BD29 * (1 - IFERROR(INDEX('Inputs &amp; Assuptions'!$D$13:$D$72, COLUMN() - ($E29 + 5)), 0))
  )
)</f>
        <v>995.520391554455</v>
      </c>
      <c r="BF29" s="80" t="n">
        <f aca="false" t="array" ref="BF29:BF29">IF(COLUMN() - ($E29 + 5) &lt; 0, 0,
  IF(COLUMN() - ($E29 + 5) = 0, $F29,
    BE29 * (1 - IFERROR(INDEX('Inputs &amp; Assuptions'!$D$13:$D$72, COLUMN() - ($E29 + 5)), 0))
  )
)</f>
        <v>995.022631358678</v>
      </c>
      <c r="BG29" s="80" t="n">
        <f aca="false" t="array" ref="BG29:BG29">IF(COLUMN() - ($E29 + 5) &lt; 0, 0,
  IF(COLUMN() - ($E29 + 5) = 0, $F29,
    BF29 * (1 - IFERROR(INDEX('Inputs &amp; Assuptions'!$D$13:$D$72, COLUMN() - ($E29 + 5)), 0))
  )
)</f>
        <v>994.525120042998</v>
      </c>
      <c r="BH29" s="80" t="n">
        <f aca="false" t="array" ref="BH29:BH29">IF(COLUMN() - ($E29 + 5) &lt; 0, 0,
  IF(COLUMN() - ($E29 + 5) = 0, $F29,
    BG29 * (1 - IFERROR(INDEX('Inputs &amp; Assuptions'!$D$13:$D$72, COLUMN() - ($E29 + 5)), 0))
  )
)</f>
        <v>994.027857482977</v>
      </c>
      <c r="BI29" s="80" t="n">
        <f aca="false" t="array" ref="BI29:BI29">IF(COLUMN() - ($E29 + 5) &lt; 0, 0,
  IF(COLUMN() - ($E29 + 5) = 0, $F29,
    BH29 * (1 - IFERROR(INDEX('Inputs &amp; Assuptions'!$D$13:$D$72, COLUMN() - ($E29 + 5)), 0))
  )
)</f>
        <v>993.530843554236</v>
      </c>
      <c r="BJ29" s="80" t="n">
        <f aca="false" t="array" ref="BJ29:BJ29">IF(COLUMN() - ($E29 + 5) &lt; 0, 0,
  IF(COLUMN() - ($E29 + 5) = 0, $F29,
    BI29 * (1 - IFERROR(INDEX('Inputs &amp; Assuptions'!$D$13:$D$72, COLUMN() - ($E29 + 5)), 0))
  )
)</f>
        <v>993.034078132459</v>
      </c>
      <c r="BK29" s="80" t="n">
        <f aca="false" t="array" ref="BK29:BK29">IF(COLUMN() - ($E29 + 5) &lt; 0, 0,
  IF(COLUMN() - ($E29 + 5) = 0, $F29,
    BJ29 * (1 - IFERROR(INDEX('Inputs &amp; Assuptions'!$D$13:$D$72, COLUMN() - ($E29 + 5)), 0))
  )
)</f>
        <v>992.537561093392</v>
      </c>
      <c r="BL29" s="80" t="n">
        <f aca="false" t="array" ref="BL29:BL29">IF(COLUMN() - ($E29 + 5) &lt; 0, 0,
  IF(COLUMN() - ($E29 + 5) = 0, $F29,
    BK29 * (1 - IFERROR(INDEX('Inputs &amp; Assuptions'!$D$13:$D$72, COLUMN() - ($E29 + 5)), 0))
  )
)</f>
        <v>992.041292312846</v>
      </c>
      <c r="BM29" s="81" t="n">
        <f aca="false" t="array" ref="BM29:BM29">IF(COLUMN() - ($E29 + 5) &lt; 0, 0,
  IF(COLUMN() - ($E29 + 5) = 0, $F29,
    BL29 * (1 - IFERROR(INDEX('Inputs &amp; Assuptions'!$D$13:$D$72, COLUMN() - ($E29 + 5)), 0))
  )
)</f>
        <v>991.545271666689</v>
      </c>
      <c r="BN29" s="76"/>
    </row>
    <row r="30" customFormat="false" ht="14.25" hidden="false" customHeight="false" outlineLevel="0" collapsed="false">
      <c r="A30" s="29" t="n">
        <f aca="false">A29+1</f>
        <v>25</v>
      </c>
      <c r="B30" s="77" t="n">
        <f aca="false">IF(MOD($A30-1, 12) = 0, $B29 * 1.05, $B29)</f>
        <v>1102.5</v>
      </c>
      <c r="C30" s="93" t="n">
        <f aca="false">$B30*(1-'Inputs &amp; Assuptions'!$D$12)</f>
        <v>1078.245</v>
      </c>
      <c r="E30" s="29" t="n">
        <f aca="false">E29+1</f>
        <v>25</v>
      </c>
      <c r="F30" s="79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 t="n">
        <f aca="false">$C30</f>
        <v>1078.245</v>
      </c>
      <c r="AE30" s="80" t="n">
        <f aca="false" t="array" ref="AE30:AE30">IF(COLUMN() - ($E30 + 5) &lt; 0, 0,
  IF(COLUMN() - ($E30 + 5) = 0, $F30,
    AD30 * (1 - IFERROR(INDEX('Inputs &amp; Assuptions'!$D$13:$D$72, COLUMN() - ($E30 + 5)), 0))
  )
)</f>
        <v>1072.853775</v>
      </c>
      <c r="AF30" s="80" t="n">
        <f aca="false" t="array" ref="AF30:AF30">IF(COLUMN() - ($E30 + 5) &lt; 0, 0,
  IF(COLUMN() - ($E30 + 5) = 0, $F30,
    AE30 * (1 - IFERROR(INDEX('Inputs &amp; Assuptions'!$D$13:$D$72, COLUMN() - ($E30 + 5)), 0))
  )
)</f>
        <v>1068.776930655</v>
      </c>
      <c r="AG30" s="80" t="n">
        <f aca="false" t="array" ref="AG30:AG30">IF(COLUMN() - ($E30 + 5) &lt; 0, 0,
  IF(COLUMN() - ($E30 + 5) = 0, $F30,
    AF30 * (1 - IFERROR(INDEX('Inputs &amp; Assuptions'!$D$13:$D$72, COLUMN() - ($E30 + 5)), 0))
  )
)</f>
        <v>1066.10498832836</v>
      </c>
      <c r="AH30" s="80" t="n">
        <f aca="false" t="array" ref="AH30:AH30">IF(COLUMN() - ($E30 + 5) &lt; 0, 0,
  IF(COLUMN() - ($E30 + 5) = 0, $F30,
    AG30 * (1 - IFERROR(INDEX('Inputs &amp; Assuptions'!$D$13:$D$72, COLUMN() - ($E30 + 5)), 0))
  )
)</f>
        <v>1063.65294685521</v>
      </c>
      <c r="AI30" s="80" t="n">
        <f aca="false" t="array" ref="AI30:AI30">IF(COLUMN() - ($E30 + 5) &lt; 0, 0,
  IF(COLUMN() - ($E30 + 5) = 0, $F30,
    AH30 * (1 - IFERROR(INDEX('Inputs &amp; Assuptions'!$D$13:$D$72, COLUMN() - ($E30 + 5)), 0))
  )
)</f>
        <v>1061.5256409615</v>
      </c>
      <c r="AJ30" s="80" t="n">
        <f aca="false" t="array" ref="AJ30:AJ30">IF(COLUMN() - ($E30 + 5) &lt; 0, 0,
  IF(COLUMN() - ($E30 + 5) = 0, $F30,
    AI30 * (1 - IFERROR(INDEX('Inputs &amp; Assuptions'!$D$13:$D$72, COLUMN() - ($E30 + 5)), 0))
  )
)</f>
        <v>1059.61489480777</v>
      </c>
      <c r="AK30" s="80" t="n">
        <f aca="false" t="array" ref="AK30:AK30">IF(COLUMN() - ($E30 + 5) &lt; 0, 0,
  IF(COLUMN() - ($E30 + 5) = 0, $F30,
    AJ30 * (1 - IFERROR(INDEX('Inputs &amp; Assuptions'!$D$13:$D$72, COLUMN() - ($E30 + 5)), 0))
  )
)</f>
        <v>1058.02547246555</v>
      </c>
      <c r="AL30" s="80" t="n">
        <f aca="false" t="array" ref="AL30:AL30">IF(COLUMN() - ($E30 + 5) &lt; 0, 0,
  IF(COLUMN() - ($E30 + 5) = 0, $F30,
    AK30 * (1 - IFERROR(INDEX('Inputs &amp; Assuptions'!$D$13:$D$72, COLUMN() - ($E30 + 5)), 0))
  )
)</f>
        <v>1056.65003935135</v>
      </c>
      <c r="AM30" s="80" t="n">
        <f aca="false" t="array" ref="AM30:AM30">IF(COLUMN() - ($E30 + 5) &lt; 0, 0,
  IF(COLUMN() - ($E30 + 5) = 0, $F30,
    AL30 * (1 - IFERROR(INDEX('Inputs &amp; Assuptions'!$D$13:$D$72, COLUMN() - ($E30 + 5)), 0))
  )
)</f>
        <v>1055.593389312</v>
      </c>
      <c r="AN30" s="80" t="n">
        <f aca="false" t="array" ref="AN30:AN30">IF(COLUMN() - ($E30 + 5) &lt; 0, 0,
  IF(COLUMN() - ($E30 + 5) = 0, $F30,
    AM30 * (1 - IFERROR(INDEX('Inputs &amp; Assuptions'!$D$13:$D$72, COLUMN() - ($E30 + 5)), 0))
  )
)</f>
        <v>1054.74891460055</v>
      </c>
      <c r="AO30" s="80" t="n">
        <f aca="false" t="array" ref="AO30:AO30">IF(COLUMN() - ($E30 + 5) &lt; 0, 0,
  IF(COLUMN() - ($E30 + 5) = 0, $F30,
    AN30 * (1 - IFERROR(INDEX('Inputs &amp; Assuptions'!$D$13:$D$72, COLUMN() - ($E30 + 5)), 0))
  )
)</f>
        <v>1054.22154014325</v>
      </c>
      <c r="AP30" s="80" t="n">
        <f aca="false" t="array" ref="AP30:AP30">IF(COLUMN() - ($E30 + 5) &lt; 0, 0,
  IF(COLUMN() - ($E30 + 5) = 0, $F30,
    AO30 * (1 - IFERROR(INDEX('Inputs &amp; Assuptions'!$D$13:$D$72, COLUMN() - ($E30 + 5)), 0))
  )
)</f>
        <v>1053.69442937318</v>
      </c>
      <c r="AQ30" s="80" t="n">
        <f aca="false" t="array" ref="AQ30:AQ30">IF(COLUMN() - ($E30 + 5) &lt; 0, 0,
  IF(COLUMN() - ($E30 + 5) = 0, $F30,
    AP30 * (1 - IFERROR(INDEX('Inputs &amp; Assuptions'!$D$13:$D$72, COLUMN() - ($E30 + 5)), 0))
  )
)</f>
        <v>1053.16758215849</v>
      </c>
      <c r="AR30" s="80" t="n">
        <f aca="false" t="array" ref="AR30:AR30">IF(COLUMN() - ($E30 + 5) &lt; 0, 0,
  IF(COLUMN() - ($E30 + 5) = 0, $F30,
    AQ30 * (1 - IFERROR(INDEX('Inputs &amp; Assuptions'!$D$13:$D$72, COLUMN() - ($E30 + 5)), 0))
  )
)</f>
        <v>1052.64099836741</v>
      </c>
      <c r="AS30" s="80" t="n">
        <f aca="false" t="array" ref="AS30:AS30">IF(COLUMN() - ($E30 + 5) &lt; 0, 0,
  IF(COLUMN() - ($E30 + 5) = 0, $F30,
    AR30 * (1 - IFERROR(INDEX('Inputs &amp; Assuptions'!$D$13:$D$72, COLUMN() - ($E30 + 5)), 0))
  )
)</f>
        <v>1052.11467786823</v>
      </c>
      <c r="AT30" s="80" t="n">
        <f aca="false" t="array" ref="AT30:AT30">IF(COLUMN() - ($E30 + 5) &lt; 0, 0,
  IF(COLUMN() - ($E30 + 5) = 0, $F30,
    AS30 * (1 - IFERROR(INDEX('Inputs &amp; Assuptions'!$D$13:$D$72, COLUMN() - ($E30 + 5)), 0))
  )
)</f>
        <v>1051.58862052929</v>
      </c>
      <c r="AU30" s="80" t="n">
        <f aca="false" t="array" ref="AU30:AU30">IF(COLUMN() - ($E30 + 5) &lt; 0, 0,
  IF(COLUMN() - ($E30 + 5) = 0, $F30,
    AT30 * (1 - IFERROR(INDEX('Inputs &amp; Assuptions'!$D$13:$D$72, COLUMN() - ($E30 + 5)), 0))
  )
)</f>
        <v>1051.06282621903</v>
      </c>
      <c r="AV30" s="80" t="n">
        <f aca="false" t="array" ref="AV30:AV30">IF(COLUMN() - ($E30 + 5) &lt; 0, 0,
  IF(COLUMN() - ($E30 + 5) = 0, $F30,
    AU30 * (1 - IFERROR(INDEX('Inputs &amp; Assuptions'!$D$13:$D$72, COLUMN() - ($E30 + 5)), 0))
  )
)</f>
        <v>1050.53729480592</v>
      </c>
      <c r="AW30" s="80" t="n">
        <f aca="false" t="array" ref="AW30:AW30">IF(COLUMN() - ($E30 + 5) &lt; 0, 0,
  IF(COLUMN() - ($E30 + 5) = 0, $F30,
    AV30 * (1 - IFERROR(INDEX('Inputs &amp; Assuptions'!$D$13:$D$72, COLUMN() - ($E30 + 5)), 0))
  )
)</f>
        <v>1050.01202615852</v>
      </c>
      <c r="AX30" s="80" t="n">
        <f aca="false" t="array" ref="AX30:AX30">IF(COLUMN() - ($E30 + 5) &lt; 0, 0,
  IF(COLUMN() - ($E30 + 5) = 0, $F30,
    AW30 * (1 - IFERROR(INDEX('Inputs &amp; Assuptions'!$D$13:$D$72, COLUMN() - ($E30 + 5)), 0))
  )
)</f>
        <v>1049.48702014544</v>
      </c>
      <c r="AY30" s="80" t="n">
        <f aca="false" t="array" ref="AY30:AY30">IF(COLUMN() - ($E30 + 5) &lt; 0, 0,
  IF(COLUMN() - ($E30 + 5) = 0, $F30,
    AX30 * (1 - IFERROR(INDEX('Inputs &amp; Assuptions'!$D$13:$D$72, COLUMN() - ($E30 + 5)), 0))
  )
)</f>
        <v>1048.96227663536</v>
      </c>
      <c r="AZ30" s="80" t="n">
        <f aca="false" t="array" ref="AZ30:AZ30">IF(COLUMN() - ($E30 + 5) &lt; 0, 0,
  IF(COLUMN() - ($E30 + 5) = 0, $F30,
    AY30 * (1 - IFERROR(INDEX('Inputs &amp; Assuptions'!$D$13:$D$72, COLUMN() - ($E30 + 5)), 0))
  )
)</f>
        <v>1048.43779549705</v>
      </c>
      <c r="BA30" s="80" t="n">
        <f aca="false" t="array" ref="BA30:BA30">IF(COLUMN() - ($E30 + 5) &lt; 0, 0,
  IF(COLUMN() - ($E30 + 5) = 0, $F30,
    AZ30 * (1 - IFERROR(INDEX('Inputs &amp; Assuptions'!$D$13:$D$72, COLUMN() - ($E30 + 5)), 0))
  )
)</f>
        <v>1047.9135765993</v>
      </c>
      <c r="BB30" s="80" t="n">
        <f aca="false" t="array" ref="BB30:BB30">IF(COLUMN() - ($E30 + 5) &lt; 0, 0,
  IF(COLUMN() - ($E30 + 5) = 0, $F30,
    BA30 * (1 - IFERROR(INDEX('Inputs &amp; Assuptions'!$D$13:$D$72, COLUMN() - ($E30 + 5)), 0))
  )
)</f>
        <v>1047.389619811</v>
      </c>
      <c r="BC30" s="80" t="n">
        <f aca="false" t="array" ref="BC30:BC30">IF(COLUMN() - ($E30 + 5) &lt; 0, 0,
  IF(COLUMN() - ($E30 + 5) = 0, $F30,
    BB30 * (1 - IFERROR(INDEX('Inputs &amp; Assuptions'!$D$13:$D$72, COLUMN() - ($E30 + 5)), 0))
  )
)</f>
        <v>1046.86592500109</v>
      </c>
      <c r="BD30" s="80" t="n">
        <f aca="false" t="array" ref="BD30:BD30">IF(COLUMN() - ($E30 + 5) &lt; 0, 0,
  IF(COLUMN() - ($E30 + 5) = 0, $F30,
    BC30 * (1 - IFERROR(INDEX('Inputs &amp; Assuptions'!$D$13:$D$72, COLUMN() - ($E30 + 5)), 0))
  )
)</f>
        <v>1046.34249203859</v>
      </c>
      <c r="BE30" s="80" t="n">
        <f aca="false" t="array" ref="BE30:BE30">IF(COLUMN() - ($E30 + 5) &lt; 0, 0,
  IF(COLUMN() - ($E30 + 5) = 0, $F30,
    BD30 * (1 - IFERROR(INDEX('Inputs &amp; Assuptions'!$D$13:$D$72, COLUMN() - ($E30 + 5)), 0))
  )
)</f>
        <v>1045.81932079257</v>
      </c>
      <c r="BF30" s="80" t="n">
        <f aca="false" t="array" ref="BF30:BF30">IF(COLUMN() - ($E30 + 5) &lt; 0, 0,
  IF(COLUMN() - ($E30 + 5) = 0, $F30,
    BE30 * (1 - IFERROR(INDEX('Inputs &amp; Assuptions'!$D$13:$D$72, COLUMN() - ($E30 + 5)), 0))
  )
)</f>
        <v>1045.29641113218</v>
      </c>
      <c r="BG30" s="80" t="n">
        <f aca="false" t="array" ref="BG30:BG30">IF(COLUMN() - ($E30 + 5) &lt; 0, 0,
  IF(COLUMN() - ($E30 + 5) = 0, $F30,
    BF30 * (1 - IFERROR(INDEX('Inputs &amp; Assuptions'!$D$13:$D$72, COLUMN() - ($E30 + 5)), 0))
  )
)</f>
        <v>1044.77376292661</v>
      </c>
      <c r="BH30" s="80" t="n">
        <f aca="false" t="array" ref="BH30:BH30">IF(COLUMN() - ($E30 + 5) &lt; 0, 0,
  IF(COLUMN() - ($E30 + 5) = 0, $F30,
    BG30 * (1 - IFERROR(INDEX('Inputs &amp; Assuptions'!$D$13:$D$72, COLUMN() - ($E30 + 5)), 0))
  )
)</f>
        <v>1044.25137604515</v>
      </c>
      <c r="BI30" s="80" t="n">
        <f aca="false" t="array" ref="BI30:BI30">IF(COLUMN() - ($E30 + 5) &lt; 0, 0,
  IF(COLUMN() - ($E30 + 5) = 0, $F30,
    BH30 * (1 - IFERROR(INDEX('Inputs &amp; Assuptions'!$D$13:$D$72, COLUMN() - ($E30 + 5)), 0))
  )
)</f>
        <v>1043.72925035712</v>
      </c>
      <c r="BJ30" s="80" t="n">
        <f aca="false" t="array" ref="BJ30:BJ30">IF(COLUMN() - ($E30 + 5) &lt; 0, 0,
  IF(COLUMN() - ($E30 + 5) = 0, $F30,
    BI30 * (1 - IFERROR(INDEX('Inputs &amp; Assuptions'!$D$13:$D$72, COLUMN() - ($E30 + 5)), 0))
  )
)</f>
        <v>1043.20738573195</v>
      </c>
      <c r="BK30" s="80" t="n">
        <f aca="false" t="array" ref="BK30:BK30">IF(COLUMN() - ($E30 + 5) &lt; 0, 0,
  IF(COLUMN() - ($E30 + 5) = 0, $F30,
    BJ30 * (1 - IFERROR(INDEX('Inputs &amp; Assuptions'!$D$13:$D$72, COLUMN() - ($E30 + 5)), 0))
  )
)</f>
        <v>1042.68578203908</v>
      </c>
      <c r="BL30" s="80" t="n">
        <f aca="false" t="array" ref="BL30:BL30">IF(COLUMN() - ($E30 + 5) &lt; 0, 0,
  IF(COLUMN() - ($E30 + 5) = 0, $F30,
    BK30 * (1 - IFERROR(INDEX('Inputs &amp; Assuptions'!$D$13:$D$72, COLUMN() - ($E30 + 5)), 0))
  )
)</f>
        <v>1042.16443914806</v>
      </c>
      <c r="BM30" s="81" t="n">
        <f aca="false" t="array" ref="BM30:BM30">IF(COLUMN() - ($E30 + 5) &lt; 0, 0,
  IF(COLUMN() - ($E30 + 5) = 0, $F30,
    BL30 * (1 - IFERROR(INDEX('Inputs &amp; Assuptions'!$D$13:$D$72, COLUMN() - ($E30 + 5)), 0))
  )
)</f>
        <v>1041.64335692849</v>
      </c>
      <c r="BN30" s="76"/>
    </row>
    <row r="31" customFormat="false" ht="14.25" hidden="false" customHeight="false" outlineLevel="0" collapsed="false">
      <c r="A31" s="29" t="n">
        <f aca="false">A30+1</f>
        <v>26</v>
      </c>
      <c r="B31" s="77" t="n">
        <f aca="false">IF(MOD($A31-1, 12) = 0, $B30 * 1.05, $B30)</f>
        <v>1102.5</v>
      </c>
      <c r="C31" s="93" t="n">
        <f aca="false">$B31*(1-'Inputs &amp; Assuptions'!$D$12)</f>
        <v>1078.245</v>
      </c>
      <c r="E31" s="29" t="n">
        <f aca="false">E30+1</f>
        <v>26</v>
      </c>
      <c r="F31" s="79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 t="n">
        <f aca="false">$C31</f>
        <v>1078.245</v>
      </c>
      <c r="AF31" s="80" t="n">
        <f aca="false" t="array" ref="AF31:AF31">IF(COLUMN() - ($E31 + 5) &lt; 0, 0,
  IF(COLUMN() - ($E31 + 5) = 0, $F31,
    AE31 * (1 - IFERROR(INDEX('Inputs &amp; Assuptions'!$D$13:$D$72, COLUMN() - ($E31 + 5)), 0))
  )
)</f>
        <v>1072.853775</v>
      </c>
      <c r="AG31" s="80" t="n">
        <f aca="false" t="array" ref="AG31:AG31">IF(COLUMN() - ($E31 + 5) &lt; 0, 0,
  IF(COLUMN() - ($E31 + 5) = 0, $F31,
    AF31 * (1 - IFERROR(INDEX('Inputs &amp; Assuptions'!$D$13:$D$72, COLUMN() - ($E31 + 5)), 0))
  )
)</f>
        <v>1068.776930655</v>
      </c>
      <c r="AH31" s="80" t="n">
        <f aca="false" t="array" ref="AH31:AH31">IF(COLUMN() - ($E31 + 5) &lt; 0, 0,
  IF(COLUMN() - ($E31 + 5) = 0, $F31,
    AG31 * (1 - IFERROR(INDEX('Inputs &amp; Assuptions'!$D$13:$D$72, COLUMN() - ($E31 + 5)), 0))
  )
)</f>
        <v>1066.10498832836</v>
      </c>
      <c r="AI31" s="80" t="n">
        <f aca="false" t="array" ref="AI31:AI31">IF(COLUMN() - ($E31 + 5) &lt; 0, 0,
  IF(COLUMN() - ($E31 + 5) = 0, $F31,
    AH31 * (1 - IFERROR(INDEX('Inputs &amp; Assuptions'!$D$13:$D$72, COLUMN() - ($E31 + 5)), 0))
  )
)</f>
        <v>1063.65294685521</v>
      </c>
      <c r="AJ31" s="80" t="n">
        <f aca="false" t="array" ref="AJ31:AJ31">IF(COLUMN() - ($E31 + 5) &lt; 0, 0,
  IF(COLUMN() - ($E31 + 5) = 0, $F31,
    AI31 * (1 - IFERROR(INDEX('Inputs &amp; Assuptions'!$D$13:$D$72, COLUMN() - ($E31 + 5)), 0))
  )
)</f>
        <v>1061.5256409615</v>
      </c>
      <c r="AK31" s="80" t="n">
        <f aca="false" t="array" ref="AK31:AK31">IF(COLUMN() - ($E31 + 5) &lt; 0, 0,
  IF(COLUMN() - ($E31 + 5) = 0, $F31,
    AJ31 * (1 - IFERROR(INDEX('Inputs &amp; Assuptions'!$D$13:$D$72, COLUMN() - ($E31 + 5)), 0))
  )
)</f>
        <v>1059.61489480777</v>
      </c>
      <c r="AL31" s="80" t="n">
        <f aca="false" t="array" ref="AL31:AL31">IF(COLUMN() - ($E31 + 5) &lt; 0, 0,
  IF(COLUMN() - ($E31 + 5) = 0, $F31,
    AK31 * (1 - IFERROR(INDEX('Inputs &amp; Assuptions'!$D$13:$D$72, COLUMN() - ($E31 + 5)), 0))
  )
)</f>
        <v>1058.02547246555</v>
      </c>
      <c r="AM31" s="80" t="n">
        <f aca="false" t="array" ref="AM31:AM31">IF(COLUMN() - ($E31 + 5) &lt; 0, 0,
  IF(COLUMN() - ($E31 + 5) = 0, $F31,
    AL31 * (1 - IFERROR(INDEX('Inputs &amp; Assuptions'!$D$13:$D$72, COLUMN() - ($E31 + 5)), 0))
  )
)</f>
        <v>1056.65003935135</v>
      </c>
      <c r="AN31" s="80" t="n">
        <f aca="false" t="array" ref="AN31:AN31">IF(COLUMN() - ($E31 + 5) &lt; 0, 0,
  IF(COLUMN() - ($E31 + 5) = 0, $F31,
    AM31 * (1 - IFERROR(INDEX('Inputs &amp; Assuptions'!$D$13:$D$72, COLUMN() - ($E31 + 5)), 0))
  )
)</f>
        <v>1055.593389312</v>
      </c>
      <c r="AO31" s="80" t="n">
        <f aca="false" t="array" ref="AO31:AO31">IF(COLUMN() - ($E31 + 5) &lt; 0, 0,
  IF(COLUMN() - ($E31 + 5) = 0, $F31,
    AN31 * (1 - IFERROR(INDEX('Inputs &amp; Assuptions'!$D$13:$D$72, COLUMN() - ($E31 + 5)), 0))
  )
)</f>
        <v>1054.74891460055</v>
      </c>
      <c r="AP31" s="80" t="n">
        <f aca="false" t="array" ref="AP31:AP31">IF(COLUMN() - ($E31 + 5) &lt; 0, 0,
  IF(COLUMN() - ($E31 + 5) = 0, $F31,
    AO31 * (1 - IFERROR(INDEX('Inputs &amp; Assuptions'!$D$13:$D$72, COLUMN() - ($E31 + 5)), 0))
  )
)</f>
        <v>1054.22154014325</v>
      </c>
      <c r="AQ31" s="80" t="n">
        <f aca="false" t="array" ref="AQ31:AQ31">IF(COLUMN() - ($E31 + 5) &lt; 0, 0,
  IF(COLUMN() - ($E31 + 5) = 0, $F31,
    AP31 * (1 - IFERROR(INDEX('Inputs &amp; Assuptions'!$D$13:$D$72, COLUMN() - ($E31 + 5)), 0))
  )
)</f>
        <v>1053.69442937318</v>
      </c>
      <c r="AR31" s="80" t="n">
        <f aca="false" t="array" ref="AR31:AR31">IF(COLUMN() - ($E31 + 5) &lt; 0, 0,
  IF(COLUMN() - ($E31 + 5) = 0, $F31,
    AQ31 * (1 - IFERROR(INDEX('Inputs &amp; Assuptions'!$D$13:$D$72, COLUMN() - ($E31 + 5)), 0))
  )
)</f>
        <v>1053.16758215849</v>
      </c>
      <c r="AS31" s="80" t="n">
        <f aca="false" t="array" ref="AS31:AS31">IF(COLUMN() - ($E31 + 5) &lt; 0, 0,
  IF(COLUMN() - ($E31 + 5) = 0, $F31,
    AR31 * (1 - IFERROR(INDEX('Inputs &amp; Assuptions'!$D$13:$D$72, COLUMN() - ($E31 + 5)), 0))
  )
)</f>
        <v>1052.64099836741</v>
      </c>
      <c r="AT31" s="80" t="n">
        <f aca="false" t="array" ref="AT31:AT31">IF(COLUMN() - ($E31 + 5) &lt; 0, 0,
  IF(COLUMN() - ($E31 + 5) = 0, $F31,
    AS31 * (1 - IFERROR(INDEX('Inputs &amp; Assuptions'!$D$13:$D$72, COLUMN() - ($E31 + 5)), 0))
  )
)</f>
        <v>1052.11467786823</v>
      </c>
      <c r="AU31" s="80" t="n">
        <f aca="false" t="array" ref="AU31:AU31">IF(COLUMN() - ($E31 + 5) &lt; 0, 0,
  IF(COLUMN() - ($E31 + 5) = 0, $F31,
    AT31 * (1 - IFERROR(INDEX('Inputs &amp; Assuptions'!$D$13:$D$72, COLUMN() - ($E31 + 5)), 0))
  )
)</f>
        <v>1051.58862052929</v>
      </c>
      <c r="AV31" s="80" t="n">
        <f aca="false" t="array" ref="AV31:AV31">IF(COLUMN() - ($E31 + 5) &lt; 0, 0,
  IF(COLUMN() - ($E31 + 5) = 0, $F31,
    AU31 * (1 - IFERROR(INDEX('Inputs &amp; Assuptions'!$D$13:$D$72, COLUMN() - ($E31 + 5)), 0))
  )
)</f>
        <v>1051.06282621903</v>
      </c>
      <c r="AW31" s="80" t="n">
        <f aca="false" t="array" ref="AW31:AW31">IF(COLUMN() - ($E31 + 5) &lt; 0, 0,
  IF(COLUMN() - ($E31 + 5) = 0, $F31,
    AV31 * (1 - IFERROR(INDEX('Inputs &amp; Assuptions'!$D$13:$D$72, COLUMN() - ($E31 + 5)), 0))
  )
)</f>
        <v>1050.53729480592</v>
      </c>
      <c r="AX31" s="80" t="n">
        <f aca="false" t="array" ref="AX31:AX31">IF(COLUMN() - ($E31 + 5) &lt; 0, 0,
  IF(COLUMN() - ($E31 + 5) = 0, $F31,
    AW31 * (1 - IFERROR(INDEX('Inputs &amp; Assuptions'!$D$13:$D$72, COLUMN() - ($E31 + 5)), 0))
  )
)</f>
        <v>1050.01202615852</v>
      </c>
      <c r="AY31" s="80" t="n">
        <f aca="false" t="array" ref="AY31:AY31">IF(COLUMN() - ($E31 + 5) &lt; 0, 0,
  IF(COLUMN() - ($E31 + 5) = 0, $F31,
    AX31 * (1 - IFERROR(INDEX('Inputs &amp; Assuptions'!$D$13:$D$72, COLUMN() - ($E31 + 5)), 0))
  )
)</f>
        <v>1049.48702014544</v>
      </c>
      <c r="AZ31" s="80" t="n">
        <f aca="false" t="array" ref="AZ31:AZ31">IF(COLUMN() - ($E31 + 5) &lt; 0, 0,
  IF(COLUMN() - ($E31 + 5) = 0, $F31,
    AY31 * (1 - IFERROR(INDEX('Inputs &amp; Assuptions'!$D$13:$D$72, COLUMN() - ($E31 + 5)), 0))
  )
)</f>
        <v>1048.96227663536</v>
      </c>
      <c r="BA31" s="80" t="n">
        <f aca="false" t="array" ref="BA31:BA31">IF(COLUMN() - ($E31 + 5) &lt; 0, 0,
  IF(COLUMN() - ($E31 + 5) = 0, $F31,
    AZ31 * (1 - IFERROR(INDEX('Inputs &amp; Assuptions'!$D$13:$D$72, COLUMN() - ($E31 + 5)), 0))
  )
)</f>
        <v>1048.43779549705</v>
      </c>
      <c r="BB31" s="80" t="n">
        <f aca="false" t="array" ref="BB31:BB31">IF(COLUMN() - ($E31 + 5) &lt; 0, 0,
  IF(COLUMN() - ($E31 + 5) = 0, $F31,
    BA31 * (1 - IFERROR(INDEX('Inputs &amp; Assuptions'!$D$13:$D$72, COLUMN() - ($E31 + 5)), 0))
  )
)</f>
        <v>1047.9135765993</v>
      </c>
      <c r="BC31" s="80" t="n">
        <f aca="false" t="array" ref="BC31:BC31">IF(COLUMN() - ($E31 + 5) &lt; 0, 0,
  IF(COLUMN() - ($E31 + 5) = 0, $F31,
    BB31 * (1 - IFERROR(INDEX('Inputs &amp; Assuptions'!$D$13:$D$72, COLUMN() - ($E31 + 5)), 0))
  )
)</f>
        <v>1047.389619811</v>
      </c>
      <c r="BD31" s="80" t="n">
        <f aca="false" t="array" ref="BD31:BD31">IF(COLUMN() - ($E31 + 5) &lt; 0, 0,
  IF(COLUMN() - ($E31 + 5) = 0, $F31,
    BC31 * (1 - IFERROR(INDEX('Inputs &amp; Assuptions'!$D$13:$D$72, COLUMN() - ($E31 + 5)), 0))
  )
)</f>
        <v>1046.86592500109</v>
      </c>
      <c r="BE31" s="80" t="n">
        <f aca="false" t="array" ref="BE31:BE31">IF(COLUMN() - ($E31 + 5) &lt; 0, 0,
  IF(COLUMN() - ($E31 + 5) = 0, $F31,
    BD31 * (1 - IFERROR(INDEX('Inputs &amp; Assuptions'!$D$13:$D$72, COLUMN() - ($E31 + 5)), 0))
  )
)</f>
        <v>1046.34249203859</v>
      </c>
      <c r="BF31" s="80" t="n">
        <f aca="false" t="array" ref="BF31:BF31">IF(COLUMN() - ($E31 + 5) &lt; 0, 0,
  IF(COLUMN() - ($E31 + 5) = 0, $F31,
    BE31 * (1 - IFERROR(INDEX('Inputs &amp; Assuptions'!$D$13:$D$72, COLUMN() - ($E31 + 5)), 0))
  )
)</f>
        <v>1045.81932079257</v>
      </c>
      <c r="BG31" s="80" t="n">
        <f aca="false" t="array" ref="BG31:BG31">IF(COLUMN() - ($E31 + 5) &lt; 0, 0,
  IF(COLUMN() - ($E31 + 5) = 0, $F31,
    BF31 * (1 - IFERROR(INDEX('Inputs &amp; Assuptions'!$D$13:$D$72, COLUMN() - ($E31 + 5)), 0))
  )
)</f>
        <v>1045.29641113218</v>
      </c>
      <c r="BH31" s="80" t="n">
        <f aca="false" t="array" ref="BH31:BH31">IF(COLUMN() - ($E31 + 5) &lt; 0, 0,
  IF(COLUMN() - ($E31 + 5) = 0, $F31,
    BG31 * (1 - IFERROR(INDEX('Inputs &amp; Assuptions'!$D$13:$D$72, COLUMN() - ($E31 + 5)), 0))
  )
)</f>
        <v>1044.77376292661</v>
      </c>
      <c r="BI31" s="80" t="n">
        <f aca="false" t="array" ref="BI31:BI31">IF(COLUMN() - ($E31 + 5) &lt; 0, 0,
  IF(COLUMN() - ($E31 + 5) = 0, $F31,
    BH31 * (1 - IFERROR(INDEX('Inputs &amp; Assuptions'!$D$13:$D$72, COLUMN() - ($E31 + 5)), 0))
  )
)</f>
        <v>1044.25137604515</v>
      </c>
      <c r="BJ31" s="80" t="n">
        <f aca="false" t="array" ref="BJ31:BJ31">IF(COLUMN() - ($E31 + 5) &lt; 0, 0,
  IF(COLUMN() - ($E31 + 5) = 0, $F31,
    BI31 * (1 - IFERROR(INDEX('Inputs &amp; Assuptions'!$D$13:$D$72, COLUMN() - ($E31 + 5)), 0))
  )
)</f>
        <v>1043.72925035712</v>
      </c>
      <c r="BK31" s="80" t="n">
        <f aca="false" t="array" ref="BK31:BK31">IF(COLUMN() - ($E31 + 5) &lt; 0, 0,
  IF(COLUMN() - ($E31 + 5) = 0, $F31,
    BJ31 * (1 - IFERROR(INDEX('Inputs &amp; Assuptions'!$D$13:$D$72, COLUMN() - ($E31 + 5)), 0))
  )
)</f>
        <v>1043.20738573195</v>
      </c>
      <c r="BL31" s="80" t="n">
        <f aca="false" t="array" ref="BL31:BL31">IF(COLUMN() - ($E31 + 5) &lt; 0, 0,
  IF(COLUMN() - ($E31 + 5) = 0, $F31,
    BK31 * (1 - IFERROR(INDEX('Inputs &amp; Assuptions'!$D$13:$D$72, COLUMN() - ($E31 + 5)), 0))
  )
)</f>
        <v>1042.68578203908</v>
      </c>
      <c r="BM31" s="81" t="n">
        <f aca="false" t="array" ref="BM31:BM31">IF(COLUMN() - ($E31 + 5) &lt; 0, 0,
  IF(COLUMN() - ($E31 + 5) = 0, $F31,
    BL31 * (1 - IFERROR(INDEX('Inputs &amp; Assuptions'!$D$13:$D$72, COLUMN() - ($E31 + 5)), 0))
  )
)</f>
        <v>1042.16443914806</v>
      </c>
      <c r="BN31" s="76"/>
    </row>
    <row r="32" customFormat="false" ht="14.25" hidden="false" customHeight="false" outlineLevel="0" collapsed="false">
      <c r="A32" s="29" t="n">
        <f aca="false">A31+1</f>
        <v>27</v>
      </c>
      <c r="B32" s="77" t="n">
        <f aca="false">IF(MOD($A32-1, 12) = 0, $B31 * 1.05, $B31)</f>
        <v>1102.5</v>
      </c>
      <c r="C32" s="93" t="n">
        <f aca="false">$B32*(1-'Inputs &amp; Assuptions'!$D$12)</f>
        <v>1078.245</v>
      </c>
      <c r="E32" s="29" t="n">
        <f aca="false">E31+1</f>
        <v>27</v>
      </c>
      <c r="F32" s="79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 t="n">
        <f aca="false">$C32</f>
        <v>1078.245</v>
      </c>
      <c r="AG32" s="80" t="n">
        <f aca="false" t="array" ref="AG32:AG32">IF(COLUMN() - ($E32 + 5) &lt; 0, 0,
  IF(COLUMN() - ($E32 + 5) = 0, $F32,
    AF32 * (1 - IFERROR(INDEX('Inputs &amp; Assuptions'!$D$13:$D$72, COLUMN() - ($E32 + 5)), 0))
  )
)</f>
        <v>1072.853775</v>
      </c>
      <c r="AH32" s="80" t="n">
        <f aca="false" t="array" ref="AH32:AH32">IF(COLUMN() - ($E32 + 5) &lt; 0, 0,
  IF(COLUMN() - ($E32 + 5) = 0, $F32,
    AG32 * (1 - IFERROR(INDEX('Inputs &amp; Assuptions'!$D$13:$D$72, COLUMN() - ($E32 + 5)), 0))
  )
)</f>
        <v>1068.776930655</v>
      </c>
      <c r="AI32" s="80" t="n">
        <f aca="false" t="array" ref="AI32:AI32">IF(COLUMN() - ($E32 + 5) &lt; 0, 0,
  IF(COLUMN() - ($E32 + 5) = 0, $F32,
    AH32 * (1 - IFERROR(INDEX('Inputs &amp; Assuptions'!$D$13:$D$72, COLUMN() - ($E32 + 5)), 0))
  )
)</f>
        <v>1066.10498832836</v>
      </c>
      <c r="AJ32" s="80" t="n">
        <f aca="false" t="array" ref="AJ32:AJ32">IF(COLUMN() - ($E32 + 5) &lt; 0, 0,
  IF(COLUMN() - ($E32 + 5) = 0, $F32,
    AI32 * (1 - IFERROR(INDEX('Inputs &amp; Assuptions'!$D$13:$D$72, COLUMN() - ($E32 + 5)), 0))
  )
)</f>
        <v>1063.65294685521</v>
      </c>
      <c r="AK32" s="80" t="n">
        <f aca="false" t="array" ref="AK32:AK32">IF(COLUMN() - ($E32 + 5) &lt; 0, 0,
  IF(COLUMN() - ($E32 + 5) = 0, $F32,
    AJ32 * (1 - IFERROR(INDEX('Inputs &amp; Assuptions'!$D$13:$D$72, COLUMN() - ($E32 + 5)), 0))
  )
)</f>
        <v>1061.5256409615</v>
      </c>
      <c r="AL32" s="80" t="n">
        <f aca="false" t="array" ref="AL32:AL32">IF(COLUMN() - ($E32 + 5) &lt; 0, 0,
  IF(COLUMN() - ($E32 + 5) = 0, $F32,
    AK32 * (1 - IFERROR(INDEX('Inputs &amp; Assuptions'!$D$13:$D$72, COLUMN() - ($E32 + 5)), 0))
  )
)</f>
        <v>1059.61489480777</v>
      </c>
      <c r="AM32" s="80" t="n">
        <f aca="false" t="array" ref="AM32:AM32">IF(COLUMN() - ($E32 + 5) &lt; 0, 0,
  IF(COLUMN() - ($E32 + 5) = 0, $F32,
    AL32 * (1 - IFERROR(INDEX('Inputs &amp; Assuptions'!$D$13:$D$72, COLUMN() - ($E32 + 5)), 0))
  )
)</f>
        <v>1058.02547246555</v>
      </c>
      <c r="AN32" s="80" t="n">
        <f aca="false" t="array" ref="AN32:AN32">IF(COLUMN() - ($E32 + 5) &lt; 0, 0,
  IF(COLUMN() - ($E32 + 5) = 0, $F32,
    AM32 * (1 - IFERROR(INDEX('Inputs &amp; Assuptions'!$D$13:$D$72, COLUMN() - ($E32 + 5)), 0))
  )
)</f>
        <v>1056.65003935135</v>
      </c>
      <c r="AO32" s="80" t="n">
        <f aca="false" t="array" ref="AO32:AO32">IF(COLUMN() - ($E32 + 5) &lt; 0, 0,
  IF(COLUMN() - ($E32 + 5) = 0, $F32,
    AN32 * (1 - IFERROR(INDEX('Inputs &amp; Assuptions'!$D$13:$D$72, COLUMN() - ($E32 + 5)), 0))
  )
)</f>
        <v>1055.593389312</v>
      </c>
      <c r="AP32" s="80" t="n">
        <f aca="false" t="array" ref="AP32:AP32">IF(COLUMN() - ($E32 + 5) &lt; 0, 0,
  IF(COLUMN() - ($E32 + 5) = 0, $F32,
    AO32 * (1 - IFERROR(INDEX('Inputs &amp; Assuptions'!$D$13:$D$72, COLUMN() - ($E32 + 5)), 0))
  )
)</f>
        <v>1054.74891460055</v>
      </c>
      <c r="AQ32" s="80" t="n">
        <f aca="false" t="array" ref="AQ32:AQ32">IF(COLUMN() - ($E32 + 5) &lt; 0, 0,
  IF(COLUMN() - ($E32 + 5) = 0, $F32,
    AP32 * (1 - IFERROR(INDEX('Inputs &amp; Assuptions'!$D$13:$D$72, COLUMN() - ($E32 + 5)), 0))
  )
)</f>
        <v>1054.22154014325</v>
      </c>
      <c r="AR32" s="80" t="n">
        <f aca="false" t="array" ref="AR32:AR32">IF(COLUMN() - ($E32 + 5) &lt; 0, 0,
  IF(COLUMN() - ($E32 + 5) = 0, $F32,
    AQ32 * (1 - IFERROR(INDEX('Inputs &amp; Assuptions'!$D$13:$D$72, COLUMN() - ($E32 + 5)), 0))
  )
)</f>
        <v>1053.69442937318</v>
      </c>
      <c r="AS32" s="80" t="n">
        <f aca="false" t="array" ref="AS32:AS32">IF(COLUMN() - ($E32 + 5) &lt; 0, 0,
  IF(COLUMN() - ($E32 + 5) = 0, $F32,
    AR32 * (1 - IFERROR(INDEX('Inputs &amp; Assuptions'!$D$13:$D$72, COLUMN() - ($E32 + 5)), 0))
  )
)</f>
        <v>1053.16758215849</v>
      </c>
      <c r="AT32" s="80" t="n">
        <f aca="false" t="array" ref="AT32:AT32">IF(COLUMN() - ($E32 + 5) &lt; 0, 0,
  IF(COLUMN() - ($E32 + 5) = 0, $F32,
    AS32 * (1 - IFERROR(INDEX('Inputs &amp; Assuptions'!$D$13:$D$72, COLUMN() - ($E32 + 5)), 0))
  )
)</f>
        <v>1052.64099836741</v>
      </c>
      <c r="AU32" s="80" t="n">
        <f aca="false" t="array" ref="AU32:AU32">IF(COLUMN() - ($E32 + 5) &lt; 0, 0,
  IF(COLUMN() - ($E32 + 5) = 0, $F32,
    AT32 * (1 - IFERROR(INDEX('Inputs &amp; Assuptions'!$D$13:$D$72, COLUMN() - ($E32 + 5)), 0))
  )
)</f>
        <v>1052.11467786823</v>
      </c>
      <c r="AV32" s="80" t="n">
        <f aca="false" t="array" ref="AV32:AV32">IF(COLUMN() - ($E32 + 5) &lt; 0, 0,
  IF(COLUMN() - ($E32 + 5) = 0, $F32,
    AU32 * (1 - IFERROR(INDEX('Inputs &amp; Assuptions'!$D$13:$D$72, COLUMN() - ($E32 + 5)), 0))
  )
)</f>
        <v>1051.58862052929</v>
      </c>
      <c r="AW32" s="80" t="n">
        <f aca="false" t="array" ref="AW32:AW32">IF(COLUMN() - ($E32 + 5) &lt; 0, 0,
  IF(COLUMN() - ($E32 + 5) = 0, $F32,
    AV32 * (1 - IFERROR(INDEX('Inputs &amp; Assuptions'!$D$13:$D$72, COLUMN() - ($E32 + 5)), 0))
  )
)</f>
        <v>1051.06282621903</v>
      </c>
      <c r="AX32" s="80" t="n">
        <f aca="false" t="array" ref="AX32:AX32">IF(COLUMN() - ($E32 + 5) &lt; 0, 0,
  IF(COLUMN() - ($E32 + 5) = 0, $F32,
    AW32 * (1 - IFERROR(INDEX('Inputs &amp; Assuptions'!$D$13:$D$72, COLUMN() - ($E32 + 5)), 0))
  )
)</f>
        <v>1050.53729480592</v>
      </c>
      <c r="AY32" s="80" t="n">
        <f aca="false" t="array" ref="AY32:AY32">IF(COLUMN() - ($E32 + 5) &lt; 0, 0,
  IF(COLUMN() - ($E32 + 5) = 0, $F32,
    AX32 * (1 - IFERROR(INDEX('Inputs &amp; Assuptions'!$D$13:$D$72, COLUMN() - ($E32 + 5)), 0))
  )
)</f>
        <v>1050.01202615852</v>
      </c>
      <c r="AZ32" s="80" t="n">
        <f aca="false" t="array" ref="AZ32:AZ32">IF(COLUMN() - ($E32 + 5) &lt; 0, 0,
  IF(COLUMN() - ($E32 + 5) = 0, $F32,
    AY32 * (1 - IFERROR(INDEX('Inputs &amp; Assuptions'!$D$13:$D$72, COLUMN() - ($E32 + 5)), 0))
  )
)</f>
        <v>1049.48702014544</v>
      </c>
      <c r="BA32" s="80" t="n">
        <f aca="false" t="array" ref="BA32:BA32">IF(COLUMN() - ($E32 + 5) &lt; 0, 0,
  IF(COLUMN() - ($E32 + 5) = 0, $F32,
    AZ32 * (1 - IFERROR(INDEX('Inputs &amp; Assuptions'!$D$13:$D$72, COLUMN() - ($E32 + 5)), 0))
  )
)</f>
        <v>1048.96227663536</v>
      </c>
      <c r="BB32" s="80" t="n">
        <f aca="false" t="array" ref="BB32:BB32">IF(COLUMN() - ($E32 + 5) &lt; 0, 0,
  IF(COLUMN() - ($E32 + 5) = 0, $F32,
    BA32 * (1 - IFERROR(INDEX('Inputs &amp; Assuptions'!$D$13:$D$72, COLUMN() - ($E32 + 5)), 0))
  )
)</f>
        <v>1048.43779549705</v>
      </c>
      <c r="BC32" s="80" t="n">
        <f aca="false" t="array" ref="BC32:BC32">IF(COLUMN() - ($E32 + 5) &lt; 0, 0,
  IF(COLUMN() - ($E32 + 5) = 0, $F32,
    BB32 * (1 - IFERROR(INDEX('Inputs &amp; Assuptions'!$D$13:$D$72, COLUMN() - ($E32 + 5)), 0))
  )
)</f>
        <v>1047.9135765993</v>
      </c>
      <c r="BD32" s="80" t="n">
        <f aca="false" t="array" ref="BD32:BD32">IF(COLUMN() - ($E32 + 5) &lt; 0, 0,
  IF(COLUMN() - ($E32 + 5) = 0, $F32,
    BC32 * (1 - IFERROR(INDEX('Inputs &amp; Assuptions'!$D$13:$D$72, COLUMN() - ($E32 + 5)), 0))
  )
)</f>
        <v>1047.389619811</v>
      </c>
      <c r="BE32" s="80" t="n">
        <f aca="false" t="array" ref="BE32:BE32">IF(COLUMN() - ($E32 + 5) &lt; 0, 0,
  IF(COLUMN() - ($E32 + 5) = 0, $F32,
    BD32 * (1 - IFERROR(INDEX('Inputs &amp; Assuptions'!$D$13:$D$72, COLUMN() - ($E32 + 5)), 0))
  )
)</f>
        <v>1046.86592500109</v>
      </c>
      <c r="BF32" s="80" t="n">
        <f aca="false" t="array" ref="BF32:BF32">IF(COLUMN() - ($E32 + 5) &lt; 0, 0,
  IF(COLUMN() - ($E32 + 5) = 0, $F32,
    BE32 * (1 - IFERROR(INDEX('Inputs &amp; Assuptions'!$D$13:$D$72, COLUMN() - ($E32 + 5)), 0))
  )
)</f>
        <v>1046.34249203859</v>
      </c>
      <c r="BG32" s="80" t="n">
        <f aca="false" t="array" ref="BG32:BG32">IF(COLUMN() - ($E32 + 5) &lt; 0, 0,
  IF(COLUMN() - ($E32 + 5) = 0, $F32,
    BF32 * (1 - IFERROR(INDEX('Inputs &amp; Assuptions'!$D$13:$D$72, COLUMN() - ($E32 + 5)), 0))
  )
)</f>
        <v>1045.81932079257</v>
      </c>
      <c r="BH32" s="80" t="n">
        <f aca="false" t="array" ref="BH32:BH32">IF(COLUMN() - ($E32 + 5) &lt; 0, 0,
  IF(COLUMN() - ($E32 + 5) = 0, $F32,
    BG32 * (1 - IFERROR(INDEX('Inputs &amp; Assuptions'!$D$13:$D$72, COLUMN() - ($E32 + 5)), 0))
  )
)</f>
        <v>1045.29641113218</v>
      </c>
      <c r="BI32" s="80" t="n">
        <f aca="false" t="array" ref="BI32:BI32">IF(COLUMN() - ($E32 + 5) &lt; 0, 0,
  IF(COLUMN() - ($E32 + 5) = 0, $F32,
    BH32 * (1 - IFERROR(INDEX('Inputs &amp; Assuptions'!$D$13:$D$72, COLUMN() - ($E32 + 5)), 0))
  )
)</f>
        <v>1044.77376292661</v>
      </c>
      <c r="BJ32" s="80" t="n">
        <f aca="false" t="array" ref="BJ32:BJ32">IF(COLUMN() - ($E32 + 5) &lt; 0, 0,
  IF(COLUMN() - ($E32 + 5) = 0, $F32,
    BI32 * (1 - IFERROR(INDEX('Inputs &amp; Assuptions'!$D$13:$D$72, COLUMN() - ($E32 + 5)), 0))
  )
)</f>
        <v>1044.25137604515</v>
      </c>
      <c r="BK32" s="80" t="n">
        <f aca="false" t="array" ref="BK32:BK32">IF(COLUMN() - ($E32 + 5) &lt; 0, 0,
  IF(COLUMN() - ($E32 + 5) = 0, $F32,
    BJ32 * (1 - IFERROR(INDEX('Inputs &amp; Assuptions'!$D$13:$D$72, COLUMN() - ($E32 + 5)), 0))
  )
)</f>
        <v>1043.72925035712</v>
      </c>
      <c r="BL32" s="80" t="n">
        <f aca="false" t="array" ref="BL32:BL32">IF(COLUMN() - ($E32 + 5) &lt; 0, 0,
  IF(COLUMN() - ($E32 + 5) = 0, $F32,
    BK32 * (1 - IFERROR(INDEX('Inputs &amp; Assuptions'!$D$13:$D$72, COLUMN() - ($E32 + 5)), 0))
  )
)</f>
        <v>1043.20738573195</v>
      </c>
      <c r="BM32" s="81" t="n">
        <f aca="false" t="array" ref="BM32:BM32">IF(COLUMN() - ($E32 + 5) &lt; 0, 0,
  IF(COLUMN() - ($E32 + 5) = 0, $F32,
    BL32 * (1 - IFERROR(INDEX('Inputs &amp; Assuptions'!$D$13:$D$72, COLUMN() - ($E32 + 5)), 0))
  )
)</f>
        <v>1042.68578203908</v>
      </c>
      <c r="BN32" s="76"/>
    </row>
    <row r="33" customFormat="false" ht="14.25" hidden="false" customHeight="false" outlineLevel="0" collapsed="false">
      <c r="A33" s="29" t="n">
        <f aca="false">A32+1</f>
        <v>28</v>
      </c>
      <c r="B33" s="77" t="n">
        <f aca="false">IF(MOD($A33-1, 12) = 0, $B32 * 1.05, $B32)</f>
        <v>1102.5</v>
      </c>
      <c r="C33" s="93" t="n">
        <f aca="false">$B33*(1-'Inputs &amp; Assuptions'!$D$12)</f>
        <v>1078.245</v>
      </c>
      <c r="E33" s="29" t="n">
        <f aca="false">E32+1</f>
        <v>28</v>
      </c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 t="n">
        <f aca="false">$C33</f>
        <v>1078.245</v>
      </c>
      <c r="AH33" s="80" t="n">
        <f aca="false" t="array" ref="AH33:AH33">IF(COLUMN() - ($E33 + 5) &lt; 0, 0,
  IF(COLUMN() - ($E33 + 5) = 0, $F33,
    AG33 * (1 - IFERROR(INDEX('Inputs &amp; Assuptions'!$D$13:$D$72, COLUMN() - ($E33 + 5)), 0))
  )
)</f>
        <v>1072.853775</v>
      </c>
      <c r="AI33" s="80" t="n">
        <f aca="false" t="array" ref="AI33:AI33">IF(COLUMN() - ($E33 + 5) &lt; 0, 0,
  IF(COLUMN() - ($E33 + 5) = 0, $F33,
    AH33 * (1 - IFERROR(INDEX('Inputs &amp; Assuptions'!$D$13:$D$72, COLUMN() - ($E33 + 5)), 0))
  )
)</f>
        <v>1068.776930655</v>
      </c>
      <c r="AJ33" s="80" t="n">
        <f aca="false" t="array" ref="AJ33:AJ33">IF(COLUMN() - ($E33 + 5) &lt; 0, 0,
  IF(COLUMN() - ($E33 + 5) = 0, $F33,
    AI33 * (1 - IFERROR(INDEX('Inputs &amp; Assuptions'!$D$13:$D$72, COLUMN() - ($E33 + 5)), 0))
  )
)</f>
        <v>1066.10498832836</v>
      </c>
      <c r="AK33" s="80" t="n">
        <f aca="false" t="array" ref="AK33:AK33">IF(COLUMN() - ($E33 + 5) &lt; 0, 0,
  IF(COLUMN() - ($E33 + 5) = 0, $F33,
    AJ33 * (1 - IFERROR(INDEX('Inputs &amp; Assuptions'!$D$13:$D$72, COLUMN() - ($E33 + 5)), 0))
  )
)</f>
        <v>1063.65294685521</v>
      </c>
      <c r="AL33" s="80" t="n">
        <f aca="false" t="array" ref="AL33:AL33">IF(COLUMN() - ($E33 + 5) &lt; 0, 0,
  IF(COLUMN() - ($E33 + 5) = 0, $F33,
    AK33 * (1 - IFERROR(INDEX('Inputs &amp; Assuptions'!$D$13:$D$72, COLUMN() - ($E33 + 5)), 0))
  )
)</f>
        <v>1061.5256409615</v>
      </c>
      <c r="AM33" s="80" t="n">
        <f aca="false" t="array" ref="AM33:AM33">IF(COLUMN() - ($E33 + 5) &lt; 0, 0,
  IF(COLUMN() - ($E33 + 5) = 0, $F33,
    AL33 * (1 - IFERROR(INDEX('Inputs &amp; Assuptions'!$D$13:$D$72, COLUMN() - ($E33 + 5)), 0))
  )
)</f>
        <v>1059.61489480777</v>
      </c>
      <c r="AN33" s="80" t="n">
        <f aca="false" t="array" ref="AN33:AN33">IF(COLUMN() - ($E33 + 5) &lt; 0, 0,
  IF(COLUMN() - ($E33 + 5) = 0, $F33,
    AM33 * (1 - IFERROR(INDEX('Inputs &amp; Assuptions'!$D$13:$D$72, COLUMN() - ($E33 + 5)), 0))
  )
)</f>
        <v>1058.02547246555</v>
      </c>
      <c r="AO33" s="80" t="n">
        <f aca="false" t="array" ref="AO33:AO33">IF(COLUMN() - ($E33 + 5) &lt; 0, 0,
  IF(COLUMN() - ($E33 + 5) = 0, $F33,
    AN33 * (1 - IFERROR(INDEX('Inputs &amp; Assuptions'!$D$13:$D$72, COLUMN() - ($E33 + 5)), 0))
  )
)</f>
        <v>1056.65003935135</v>
      </c>
      <c r="AP33" s="80" t="n">
        <f aca="false" t="array" ref="AP33:AP33">IF(COLUMN() - ($E33 + 5) &lt; 0, 0,
  IF(COLUMN() - ($E33 + 5) = 0, $F33,
    AO33 * (1 - IFERROR(INDEX('Inputs &amp; Assuptions'!$D$13:$D$72, COLUMN() - ($E33 + 5)), 0))
  )
)</f>
        <v>1055.593389312</v>
      </c>
      <c r="AQ33" s="80" t="n">
        <f aca="false" t="array" ref="AQ33:AQ33">IF(COLUMN() - ($E33 + 5) &lt; 0, 0,
  IF(COLUMN() - ($E33 + 5) = 0, $F33,
    AP33 * (1 - IFERROR(INDEX('Inputs &amp; Assuptions'!$D$13:$D$72, COLUMN() - ($E33 + 5)), 0))
  )
)</f>
        <v>1054.74891460055</v>
      </c>
      <c r="AR33" s="80" t="n">
        <f aca="false" t="array" ref="AR33:AR33">IF(COLUMN() - ($E33 + 5) &lt; 0, 0,
  IF(COLUMN() - ($E33 + 5) = 0, $F33,
    AQ33 * (1 - IFERROR(INDEX('Inputs &amp; Assuptions'!$D$13:$D$72, COLUMN() - ($E33 + 5)), 0))
  )
)</f>
        <v>1054.22154014325</v>
      </c>
      <c r="AS33" s="80" t="n">
        <f aca="false" t="array" ref="AS33:AS33">IF(COLUMN() - ($E33 + 5) &lt; 0, 0,
  IF(COLUMN() - ($E33 + 5) = 0, $F33,
    AR33 * (1 - IFERROR(INDEX('Inputs &amp; Assuptions'!$D$13:$D$72, COLUMN() - ($E33 + 5)), 0))
  )
)</f>
        <v>1053.69442937318</v>
      </c>
      <c r="AT33" s="80" t="n">
        <f aca="false" t="array" ref="AT33:AT33">IF(COLUMN() - ($E33 + 5) &lt; 0, 0,
  IF(COLUMN() - ($E33 + 5) = 0, $F33,
    AS33 * (1 - IFERROR(INDEX('Inputs &amp; Assuptions'!$D$13:$D$72, COLUMN() - ($E33 + 5)), 0))
  )
)</f>
        <v>1053.16758215849</v>
      </c>
      <c r="AU33" s="80" t="n">
        <f aca="false" t="array" ref="AU33:AU33">IF(COLUMN() - ($E33 + 5) &lt; 0, 0,
  IF(COLUMN() - ($E33 + 5) = 0, $F33,
    AT33 * (1 - IFERROR(INDEX('Inputs &amp; Assuptions'!$D$13:$D$72, COLUMN() - ($E33 + 5)), 0))
  )
)</f>
        <v>1052.64099836741</v>
      </c>
      <c r="AV33" s="80" t="n">
        <f aca="false" t="array" ref="AV33:AV33">IF(COLUMN() - ($E33 + 5) &lt; 0, 0,
  IF(COLUMN() - ($E33 + 5) = 0, $F33,
    AU33 * (1 - IFERROR(INDEX('Inputs &amp; Assuptions'!$D$13:$D$72, COLUMN() - ($E33 + 5)), 0))
  )
)</f>
        <v>1052.11467786823</v>
      </c>
      <c r="AW33" s="80" t="n">
        <f aca="false" t="array" ref="AW33:AW33">IF(COLUMN() - ($E33 + 5) &lt; 0, 0,
  IF(COLUMN() - ($E33 + 5) = 0, $F33,
    AV33 * (1 - IFERROR(INDEX('Inputs &amp; Assuptions'!$D$13:$D$72, COLUMN() - ($E33 + 5)), 0))
  )
)</f>
        <v>1051.58862052929</v>
      </c>
      <c r="AX33" s="80" t="n">
        <f aca="false" t="array" ref="AX33:AX33">IF(COLUMN() - ($E33 + 5) &lt; 0, 0,
  IF(COLUMN() - ($E33 + 5) = 0, $F33,
    AW33 * (1 - IFERROR(INDEX('Inputs &amp; Assuptions'!$D$13:$D$72, COLUMN() - ($E33 + 5)), 0))
  )
)</f>
        <v>1051.06282621903</v>
      </c>
      <c r="AY33" s="80" t="n">
        <f aca="false" t="array" ref="AY33:AY33">IF(COLUMN() - ($E33 + 5) &lt; 0, 0,
  IF(COLUMN() - ($E33 + 5) = 0, $F33,
    AX33 * (1 - IFERROR(INDEX('Inputs &amp; Assuptions'!$D$13:$D$72, COLUMN() - ($E33 + 5)), 0))
  )
)</f>
        <v>1050.53729480592</v>
      </c>
      <c r="AZ33" s="80" t="n">
        <f aca="false" t="array" ref="AZ33:AZ33">IF(COLUMN() - ($E33 + 5) &lt; 0, 0,
  IF(COLUMN() - ($E33 + 5) = 0, $F33,
    AY33 * (1 - IFERROR(INDEX('Inputs &amp; Assuptions'!$D$13:$D$72, COLUMN() - ($E33 + 5)), 0))
  )
)</f>
        <v>1050.01202615852</v>
      </c>
      <c r="BA33" s="80" t="n">
        <f aca="false" t="array" ref="BA33:BA33">IF(COLUMN() - ($E33 + 5) &lt; 0, 0,
  IF(COLUMN() - ($E33 + 5) = 0, $F33,
    AZ33 * (1 - IFERROR(INDEX('Inputs &amp; Assuptions'!$D$13:$D$72, COLUMN() - ($E33 + 5)), 0))
  )
)</f>
        <v>1049.48702014544</v>
      </c>
      <c r="BB33" s="80" t="n">
        <f aca="false" t="array" ref="BB33:BB33">IF(COLUMN() - ($E33 + 5) &lt; 0, 0,
  IF(COLUMN() - ($E33 + 5) = 0, $F33,
    BA33 * (1 - IFERROR(INDEX('Inputs &amp; Assuptions'!$D$13:$D$72, COLUMN() - ($E33 + 5)), 0))
  )
)</f>
        <v>1048.96227663536</v>
      </c>
      <c r="BC33" s="80" t="n">
        <f aca="false" t="array" ref="BC33:BC33">IF(COLUMN() - ($E33 + 5) &lt; 0, 0,
  IF(COLUMN() - ($E33 + 5) = 0, $F33,
    BB33 * (1 - IFERROR(INDEX('Inputs &amp; Assuptions'!$D$13:$D$72, COLUMN() - ($E33 + 5)), 0))
  )
)</f>
        <v>1048.43779549705</v>
      </c>
      <c r="BD33" s="80" t="n">
        <f aca="false" t="array" ref="BD33:BD33">IF(COLUMN() - ($E33 + 5) &lt; 0, 0,
  IF(COLUMN() - ($E33 + 5) = 0, $F33,
    BC33 * (1 - IFERROR(INDEX('Inputs &amp; Assuptions'!$D$13:$D$72, COLUMN() - ($E33 + 5)), 0))
  )
)</f>
        <v>1047.9135765993</v>
      </c>
      <c r="BE33" s="80" t="n">
        <f aca="false" t="array" ref="BE33:BE33">IF(COLUMN() - ($E33 + 5) &lt; 0, 0,
  IF(COLUMN() - ($E33 + 5) = 0, $F33,
    BD33 * (1 - IFERROR(INDEX('Inputs &amp; Assuptions'!$D$13:$D$72, COLUMN() - ($E33 + 5)), 0))
  )
)</f>
        <v>1047.389619811</v>
      </c>
      <c r="BF33" s="80" t="n">
        <f aca="false" t="array" ref="BF33:BF33">IF(COLUMN() - ($E33 + 5) &lt; 0, 0,
  IF(COLUMN() - ($E33 + 5) = 0, $F33,
    BE33 * (1 - IFERROR(INDEX('Inputs &amp; Assuptions'!$D$13:$D$72, COLUMN() - ($E33 + 5)), 0))
  )
)</f>
        <v>1046.86592500109</v>
      </c>
      <c r="BG33" s="80" t="n">
        <f aca="false" t="array" ref="BG33:BG33">IF(COLUMN() - ($E33 + 5) &lt; 0, 0,
  IF(COLUMN() - ($E33 + 5) = 0, $F33,
    BF33 * (1 - IFERROR(INDEX('Inputs &amp; Assuptions'!$D$13:$D$72, COLUMN() - ($E33 + 5)), 0))
  )
)</f>
        <v>1046.34249203859</v>
      </c>
      <c r="BH33" s="80" t="n">
        <f aca="false" t="array" ref="BH33:BH33">IF(COLUMN() - ($E33 + 5) &lt; 0, 0,
  IF(COLUMN() - ($E33 + 5) = 0, $F33,
    BG33 * (1 - IFERROR(INDEX('Inputs &amp; Assuptions'!$D$13:$D$72, COLUMN() - ($E33 + 5)), 0))
  )
)</f>
        <v>1045.81932079257</v>
      </c>
      <c r="BI33" s="80" t="n">
        <f aca="false" t="array" ref="BI33:BI33">IF(COLUMN() - ($E33 + 5) &lt; 0, 0,
  IF(COLUMN() - ($E33 + 5) = 0, $F33,
    BH33 * (1 - IFERROR(INDEX('Inputs &amp; Assuptions'!$D$13:$D$72, COLUMN() - ($E33 + 5)), 0))
  )
)</f>
        <v>1045.29641113218</v>
      </c>
      <c r="BJ33" s="80" t="n">
        <f aca="false" t="array" ref="BJ33:BJ33">IF(COLUMN() - ($E33 + 5) &lt; 0, 0,
  IF(COLUMN() - ($E33 + 5) = 0, $F33,
    BI33 * (1 - IFERROR(INDEX('Inputs &amp; Assuptions'!$D$13:$D$72, COLUMN() - ($E33 + 5)), 0))
  )
)</f>
        <v>1044.77376292661</v>
      </c>
      <c r="BK33" s="80" t="n">
        <f aca="false" t="array" ref="BK33:BK33">IF(COLUMN() - ($E33 + 5) &lt; 0, 0,
  IF(COLUMN() - ($E33 + 5) = 0, $F33,
    BJ33 * (1 - IFERROR(INDEX('Inputs &amp; Assuptions'!$D$13:$D$72, COLUMN() - ($E33 + 5)), 0))
  )
)</f>
        <v>1044.25137604515</v>
      </c>
      <c r="BL33" s="80" t="n">
        <f aca="false" t="array" ref="BL33:BL33">IF(COLUMN() - ($E33 + 5) &lt; 0, 0,
  IF(COLUMN() - ($E33 + 5) = 0, $F33,
    BK33 * (1 - IFERROR(INDEX('Inputs &amp; Assuptions'!$D$13:$D$72, COLUMN() - ($E33 + 5)), 0))
  )
)</f>
        <v>1043.72925035712</v>
      </c>
      <c r="BM33" s="81" t="n">
        <f aca="false" t="array" ref="BM33:BM33">IF(COLUMN() - ($E33 + 5) &lt; 0, 0,
  IF(COLUMN() - ($E33 + 5) = 0, $F33,
    BL33 * (1 - IFERROR(INDEX('Inputs &amp; Assuptions'!$D$13:$D$72, COLUMN() - ($E33 + 5)), 0))
  )
)</f>
        <v>1043.20738573195</v>
      </c>
      <c r="BN33" s="76"/>
    </row>
    <row r="34" customFormat="false" ht="14.25" hidden="false" customHeight="false" outlineLevel="0" collapsed="false">
      <c r="A34" s="29" t="n">
        <f aca="false">A33+1</f>
        <v>29</v>
      </c>
      <c r="B34" s="77" t="n">
        <f aca="false">IF(MOD($A34-1, 12) = 0, $B33 * 1.05, $B33)</f>
        <v>1102.5</v>
      </c>
      <c r="C34" s="93" t="n">
        <f aca="false">$B34*(1-'Inputs &amp; Assuptions'!$D$12)</f>
        <v>1078.245</v>
      </c>
      <c r="E34" s="29" t="n">
        <f aca="false">E33+1</f>
        <v>29</v>
      </c>
      <c r="F34" s="79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 t="n">
        <f aca="false">$C34</f>
        <v>1078.245</v>
      </c>
      <c r="AI34" s="80" t="n">
        <f aca="false" t="array" ref="AI34:AI34">IF(COLUMN() - ($E34 + 5) &lt; 0, 0,
  IF(COLUMN() - ($E34 + 5) = 0, $F34,
    AH34 * (1 - IFERROR(INDEX('Inputs &amp; Assuptions'!$D$13:$D$72, COLUMN() - ($E34 + 5)), 0))
  )
)</f>
        <v>1072.853775</v>
      </c>
      <c r="AJ34" s="80" t="n">
        <f aca="false" t="array" ref="AJ34:AJ34">IF(COLUMN() - ($E34 + 5) &lt; 0, 0,
  IF(COLUMN() - ($E34 + 5) = 0, $F34,
    AI34 * (1 - IFERROR(INDEX('Inputs &amp; Assuptions'!$D$13:$D$72, COLUMN() - ($E34 + 5)), 0))
  )
)</f>
        <v>1068.776930655</v>
      </c>
      <c r="AK34" s="80" t="n">
        <f aca="false" t="array" ref="AK34:AK34">IF(COLUMN() - ($E34 + 5) &lt; 0, 0,
  IF(COLUMN() - ($E34 + 5) = 0, $F34,
    AJ34 * (1 - IFERROR(INDEX('Inputs &amp; Assuptions'!$D$13:$D$72, COLUMN() - ($E34 + 5)), 0))
  )
)</f>
        <v>1066.10498832836</v>
      </c>
      <c r="AL34" s="80" t="n">
        <f aca="false" t="array" ref="AL34:AL34">IF(COLUMN() - ($E34 + 5) &lt; 0, 0,
  IF(COLUMN() - ($E34 + 5) = 0, $F34,
    AK34 * (1 - IFERROR(INDEX('Inputs &amp; Assuptions'!$D$13:$D$72, COLUMN() - ($E34 + 5)), 0))
  )
)</f>
        <v>1063.65294685521</v>
      </c>
      <c r="AM34" s="80" t="n">
        <f aca="false" t="array" ref="AM34:AM34">IF(COLUMN() - ($E34 + 5) &lt; 0, 0,
  IF(COLUMN() - ($E34 + 5) = 0, $F34,
    AL34 * (1 - IFERROR(INDEX('Inputs &amp; Assuptions'!$D$13:$D$72, COLUMN() - ($E34 + 5)), 0))
  )
)</f>
        <v>1061.5256409615</v>
      </c>
      <c r="AN34" s="80" t="n">
        <f aca="false" t="array" ref="AN34:AN34">IF(COLUMN() - ($E34 + 5) &lt; 0, 0,
  IF(COLUMN() - ($E34 + 5) = 0, $F34,
    AM34 * (1 - IFERROR(INDEX('Inputs &amp; Assuptions'!$D$13:$D$72, COLUMN() - ($E34 + 5)), 0))
  )
)</f>
        <v>1059.61489480777</v>
      </c>
      <c r="AO34" s="80" t="n">
        <f aca="false" t="array" ref="AO34:AO34">IF(COLUMN() - ($E34 + 5) &lt; 0, 0,
  IF(COLUMN() - ($E34 + 5) = 0, $F34,
    AN34 * (1 - IFERROR(INDEX('Inputs &amp; Assuptions'!$D$13:$D$72, COLUMN() - ($E34 + 5)), 0))
  )
)</f>
        <v>1058.02547246555</v>
      </c>
      <c r="AP34" s="80" t="n">
        <f aca="false" t="array" ref="AP34:AP34">IF(COLUMN() - ($E34 + 5) &lt; 0, 0,
  IF(COLUMN() - ($E34 + 5) = 0, $F34,
    AO34 * (1 - IFERROR(INDEX('Inputs &amp; Assuptions'!$D$13:$D$72, COLUMN() - ($E34 + 5)), 0))
  )
)</f>
        <v>1056.65003935135</v>
      </c>
      <c r="AQ34" s="80" t="n">
        <f aca="false" t="array" ref="AQ34:AQ34">IF(COLUMN() - ($E34 + 5) &lt; 0, 0,
  IF(COLUMN() - ($E34 + 5) = 0, $F34,
    AP34 * (1 - IFERROR(INDEX('Inputs &amp; Assuptions'!$D$13:$D$72, COLUMN() - ($E34 + 5)), 0))
  )
)</f>
        <v>1055.593389312</v>
      </c>
      <c r="AR34" s="80" t="n">
        <f aca="false" t="array" ref="AR34:AR34">IF(COLUMN() - ($E34 + 5) &lt; 0, 0,
  IF(COLUMN() - ($E34 + 5) = 0, $F34,
    AQ34 * (1 - IFERROR(INDEX('Inputs &amp; Assuptions'!$D$13:$D$72, COLUMN() - ($E34 + 5)), 0))
  )
)</f>
        <v>1054.74891460055</v>
      </c>
      <c r="AS34" s="80" t="n">
        <f aca="false" t="array" ref="AS34:AS34">IF(COLUMN() - ($E34 + 5) &lt; 0, 0,
  IF(COLUMN() - ($E34 + 5) = 0, $F34,
    AR34 * (1 - IFERROR(INDEX('Inputs &amp; Assuptions'!$D$13:$D$72, COLUMN() - ($E34 + 5)), 0))
  )
)</f>
        <v>1054.22154014325</v>
      </c>
      <c r="AT34" s="80" t="n">
        <f aca="false" t="array" ref="AT34:AT34">IF(COLUMN() - ($E34 + 5) &lt; 0, 0,
  IF(COLUMN() - ($E34 + 5) = 0, $F34,
    AS34 * (1 - IFERROR(INDEX('Inputs &amp; Assuptions'!$D$13:$D$72, COLUMN() - ($E34 + 5)), 0))
  )
)</f>
        <v>1053.69442937318</v>
      </c>
      <c r="AU34" s="80" t="n">
        <f aca="false" t="array" ref="AU34:AU34">IF(COLUMN() - ($E34 + 5) &lt; 0, 0,
  IF(COLUMN() - ($E34 + 5) = 0, $F34,
    AT34 * (1 - IFERROR(INDEX('Inputs &amp; Assuptions'!$D$13:$D$72, COLUMN() - ($E34 + 5)), 0))
  )
)</f>
        <v>1053.16758215849</v>
      </c>
      <c r="AV34" s="80" t="n">
        <f aca="false" t="array" ref="AV34:AV34">IF(COLUMN() - ($E34 + 5) &lt; 0, 0,
  IF(COLUMN() - ($E34 + 5) = 0, $F34,
    AU34 * (1 - IFERROR(INDEX('Inputs &amp; Assuptions'!$D$13:$D$72, COLUMN() - ($E34 + 5)), 0))
  )
)</f>
        <v>1052.64099836741</v>
      </c>
      <c r="AW34" s="80" t="n">
        <f aca="false" t="array" ref="AW34:AW34">IF(COLUMN() - ($E34 + 5) &lt; 0, 0,
  IF(COLUMN() - ($E34 + 5) = 0, $F34,
    AV34 * (1 - IFERROR(INDEX('Inputs &amp; Assuptions'!$D$13:$D$72, COLUMN() - ($E34 + 5)), 0))
  )
)</f>
        <v>1052.11467786823</v>
      </c>
      <c r="AX34" s="80" t="n">
        <f aca="false" t="array" ref="AX34:AX34">IF(COLUMN() - ($E34 + 5) &lt; 0, 0,
  IF(COLUMN() - ($E34 + 5) = 0, $F34,
    AW34 * (1 - IFERROR(INDEX('Inputs &amp; Assuptions'!$D$13:$D$72, COLUMN() - ($E34 + 5)), 0))
  )
)</f>
        <v>1051.58862052929</v>
      </c>
      <c r="AY34" s="80" t="n">
        <f aca="false" t="array" ref="AY34:AY34">IF(COLUMN() - ($E34 + 5) &lt; 0, 0,
  IF(COLUMN() - ($E34 + 5) = 0, $F34,
    AX34 * (1 - IFERROR(INDEX('Inputs &amp; Assuptions'!$D$13:$D$72, COLUMN() - ($E34 + 5)), 0))
  )
)</f>
        <v>1051.06282621903</v>
      </c>
      <c r="AZ34" s="80" t="n">
        <f aca="false" t="array" ref="AZ34:AZ34">IF(COLUMN() - ($E34 + 5) &lt; 0, 0,
  IF(COLUMN() - ($E34 + 5) = 0, $F34,
    AY34 * (1 - IFERROR(INDEX('Inputs &amp; Assuptions'!$D$13:$D$72, COLUMN() - ($E34 + 5)), 0))
  )
)</f>
        <v>1050.53729480592</v>
      </c>
      <c r="BA34" s="80" t="n">
        <f aca="false" t="array" ref="BA34:BA34">IF(COLUMN() - ($E34 + 5) &lt; 0, 0,
  IF(COLUMN() - ($E34 + 5) = 0, $F34,
    AZ34 * (1 - IFERROR(INDEX('Inputs &amp; Assuptions'!$D$13:$D$72, COLUMN() - ($E34 + 5)), 0))
  )
)</f>
        <v>1050.01202615852</v>
      </c>
      <c r="BB34" s="80" t="n">
        <f aca="false" t="array" ref="BB34:BB34">IF(COLUMN() - ($E34 + 5) &lt; 0, 0,
  IF(COLUMN() - ($E34 + 5) = 0, $F34,
    BA34 * (1 - IFERROR(INDEX('Inputs &amp; Assuptions'!$D$13:$D$72, COLUMN() - ($E34 + 5)), 0))
  )
)</f>
        <v>1049.48702014544</v>
      </c>
      <c r="BC34" s="80" t="n">
        <f aca="false" t="array" ref="BC34:BC34">IF(COLUMN() - ($E34 + 5) &lt; 0, 0,
  IF(COLUMN() - ($E34 + 5) = 0, $F34,
    BB34 * (1 - IFERROR(INDEX('Inputs &amp; Assuptions'!$D$13:$D$72, COLUMN() - ($E34 + 5)), 0))
  )
)</f>
        <v>1048.96227663536</v>
      </c>
      <c r="BD34" s="80" t="n">
        <f aca="false" t="array" ref="BD34:BD34">IF(COLUMN() - ($E34 + 5) &lt; 0, 0,
  IF(COLUMN() - ($E34 + 5) = 0, $F34,
    BC34 * (1 - IFERROR(INDEX('Inputs &amp; Assuptions'!$D$13:$D$72, COLUMN() - ($E34 + 5)), 0))
  )
)</f>
        <v>1048.43779549705</v>
      </c>
      <c r="BE34" s="80" t="n">
        <f aca="false" t="array" ref="BE34:BE34">IF(COLUMN() - ($E34 + 5) &lt; 0, 0,
  IF(COLUMN() - ($E34 + 5) = 0, $F34,
    BD34 * (1 - IFERROR(INDEX('Inputs &amp; Assuptions'!$D$13:$D$72, COLUMN() - ($E34 + 5)), 0))
  )
)</f>
        <v>1047.9135765993</v>
      </c>
      <c r="BF34" s="80" t="n">
        <f aca="false" t="array" ref="BF34:BF34">IF(COLUMN() - ($E34 + 5) &lt; 0, 0,
  IF(COLUMN() - ($E34 + 5) = 0, $F34,
    BE34 * (1 - IFERROR(INDEX('Inputs &amp; Assuptions'!$D$13:$D$72, COLUMN() - ($E34 + 5)), 0))
  )
)</f>
        <v>1047.389619811</v>
      </c>
      <c r="BG34" s="80" t="n">
        <f aca="false" t="array" ref="BG34:BG34">IF(COLUMN() - ($E34 + 5) &lt; 0, 0,
  IF(COLUMN() - ($E34 + 5) = 0, $F34,
    BF34 * (1 - IFERROR(INDEX('Inputs &amp; Assuptions'!$D$13:$D$72, COLUMN() - ($E34 + 5)), 0))
  )
)</f>
        <v>1046.86592500109</v>
      </c>
      <c r="BH34" s="80" t="n">
        <f aca="false" t="array" ref="BH34:BH34">IF(COLUMN() - ($E34 + 5) &lt; 0, 0,
  IF(COLUMN() - ($E34 + 5) = 0, $F34,
    BG34 * (1 - IFERROR(INDEX('Inputs &amp; Assuptions'!$D$13:$D$72, COLUMN() - ($E34 + 5)), 0))
  )
)</f>
        <v>1046.34249203859</v>
      </c>
      <c r="BI34" s="80" t="n">
        <f aca="false" t="array" ref="BI34:BI34">IF(COLUMN() - ($E34 + 5) &lt; 0, 0,
  IF(COLUMN() - ($E34 + 5) = 0, $F34,
    BH34 * (1 - IFERROR(INDEX('Inputs &amp; Assuptions'!$D$13:$D$72, COLUMN() - ($E34 + 5)), 0))
  )
)</f>
        <v>1045.81932079257</v>
      </c>
      <c r="BJ34" s="80" t="n">
        <f aca="false" t="array" ref="BJ34:BJ34">IF(COLUMN() - ($E34 + 5) &lt; 0, 0,
  IF(COLUMN() - ($E34 + 5) = 0, $F34,
    BI34 * (1 - IFERROR(INDEX('Inputs &amp; Assuptions'!$D$13:$D$72, COLUMN() - ($E34 + 5)), 0))
  )
)</f>
        <v>1045.29641113218</v>
      </c>
      <c r="BK34" s="80" t="n">
        <f aca="false" t="array" ref="BK34:BK34">IF(COLUMN() - ($E34 + 5) &lt; 0, 0,
  IF(COLUMN() - ($E34 + 5) = 0, $F34,
    BJ34 * (1 - IFERROR(INDEX('Inputs &amp; Assuptions'!$D$13:$D$72, COLUMN() - ($E34 + 5)), 0))
  )
)</f>
        <v>1044.77376292661</v>
      </c>
      <c r="BL34" s="80" t="n">
        <f aca="false" t="array" ref="BL34:BL34">IF(COLUMN() - ($E34 + 5) &lt; 0, 0,
  IF(COLUMN() - ($E34 + 5) = 0, $F34,
    BK34 * (1 - IFERROR(INDEX('Inputs &amp; Assuptions'!$D$13:$D$72, COLUMN() - ($E34 + 5)), 0))
  )
)</f>
        <v>1044.25137604515</v>
      </c>
      <c r="BM34" s="81" t="n">
        <f aca="false" t="array" ref="BM34:BM34">IF(COLUMN() - ($E34 + 5) &lt; 0, 0,
  IF(COLUMN() - ($E34 + 5) = 0, $F34,
    BL34 * (1 - IFERROR(INDEX('Inputs &amp; Assuptions'!$D$13:$D$72, COLUMN() - ($E34 + 5)), 0))
  )
)</f>
        <v>1043.72925035712</v>
      </c>
      <c r="BN34" s="76"/>
    </row>
    <row r="35" customFormat="false" ht="14.25" hidden="false" customHeight="false" outlineLevel="0" collapsed="false">
      <c r="A35" s="29" t="n">
        <f aca="false">A34+1</f>
        <v>30</v>
      </c>
      <c r="B35" s="77" t="n">
        <f aca="false">IF(MOD($A35-1, 12) = 0, $B34 * 1.05, $B34)</f>
        <v>1102.5</v>
      </c>
      <c r="C35" s="93" t="n">
        <f aca="false">$B35*(1-'Inputs &amp; Assuptions'!$D$12)</f>
        <v>1078.245</v>
      </c>
      <c r="E35" s="29" t="n">
        <f aca="false">E34+1</f>
        <v>30</v>
      </c>
      <c r="F35" s="79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 t="n">
        <f aca="false">$C35</f>
        <v>1078.245</v>
      </c>
      <c r="AJ35" s="80" t="n">
        <f aca="false" t="array" ref="AJ35:AJ35">IF(COLUMN() - ($E35 + 5) &lt; 0, 0,
  IF(COLUMN() - ($E35 + 5) = 0, $F35,
    AI35 * (1 - IFERROR(INDEX('Inputs &amp; Assuptions'!$D$13:$D$72, COLUMN() - ($E35 + 5)), 0))
  )
)</f>
        <v>1072.853775</v>
      </c>
      <c r="AK35" s="80" t="n">
        <f aca="false" t="array" ref="AK35:AK35">IF(COLUMN() - ($E35 + 5) &lt; 0, 0,
  IF(COLUMN() - ($E35 + 5) = 0, $F35,
    AJ35 * (1 - IFERROR(INDEX('Inputs &amp; Assuptions'!$D$13:$D$72, COLUMN() - ($E35 + 5)), 0))
  )
)</f>
        <v>1068.776930655</v>
      </c>
      <c r="AL35" s="80" t="n">
        <f aca="false" t="array" ref="AL35:AL35">IF(COLUMN() - ($E35 + 5) &lt; 0, 0,
  IF(COLUMN() - ($E35 + 5) = 0, $F35,
    AK35 * (1 - IFERROR(INDEX('Inputs &amp; Assuptions'!$D$13:$D$72, COLUMN() - ($E35 + 5)), 0))
  )
)</f>
        <v>1066.10498832836</v>
      </c>
      <c r="AM35" s="80" t="n">
        <f aca="false" t="array" ref="AM35:AM35">IF(COLUMN() - ($E35 + 5) &lt; 0, 0,
  IF(COLUMN() - ($E35 + 5) = 0, $F35,
    AL35 * (1 - IFERROR(INDEX('Inputs &amp; Assuptions'!$D$13:$D$72, COLUMN() - ($E35 + 5)), 0))
  )
)</f>
        <v>1063.65294685521</v>
      </c>
      <c r="AN35" s="80" t="n">
        <f aca="false" t="array" ref="AN35:AN35">IF(COLUMN() - ($E35 + 5) &lt; 0, 0,
  IF(COLUMN() - ($E35 + 5) = 0, $F35,
    AM35 * (1 - IFERROR(INDEX('Inputs &amp; Assuptions'!$D$13:$D$72, COLUMN() - ($E35 + 5)), 0))
  )
)</f>
        <v>1061.5256409615</v>
      </c>
      <c r="AO35" s="80" t="n">
        <f aca="false" t="array" ref="AO35:AO35">IF(COLUMN() - ($E35 + 5) &lt; 0, 0,
  IF(COLUMN() - ($E35 + 5) = 0, $F35,
    AN35 * (1 - IFERROR(INDEX('Inputs &amp; Assuptions'!$D$13:$D$72, COLUMN() - ($E35 + 5)), 0))
  )
)</f>
        <v>1059.61489480777</v>
      </c>
      <c r="AP35" s="80" t="n">
        <f aca="false" t="array" ref="AP35:AP35">IF(COLUMN() - ($E35 + 5) &lt; 0, 0,
  IF(COLUMN() - ($E35 + 5) = 0, $F35,
    AO35 * (1 - IFERROR(INDEX('Inputs &amp; Assuptions'!$D$13:$D$72, COLUMN() - ($E35 + 5)), 0))
  )
)</f>
        <v>1058.02547246555</v>
      </c>
      <c r="AQ35" s="80" t="n">
        <f aca="false" t="array" ref="AQ35:AQ35">IF(COLUMN() - ($E35 + 5) &lt; 0, 0,
  IF(COLUMN() - ($E35 + 5) = 0, $F35,
    AP35 * (1 - IFERROR(INDEX('Inputs &amp; Assuptions'!$D$13:$D$72, COLUMN() - ($E35 + 5)), 0))
  )
)</f>
        <v>1056.65003935135</v>
      </c>
      <c r="AR35" s="80" t="n">
        <f aca="false" t="array" ref="AR35:AR35">IF(COLUMN() - ($E35 + 5) &lt; 0, 0,
  IF(COLUMN() - ($E35 + 5) = 0, $F35,
    AQ35 * (1 - IFERROR(INDEX('Inputs &amp; Assuptions'!$D$13:$D$72, COLUMN() - ($E35 + 5)), 0))
  )
)</f>
        <v>1055.593389312</v>
      </c>
      <c r="AS35" s="80" t="n">
        <f aca="false" t="array" ref="AS35:AS35">IF(COLUMN() - ($E35 + 5) &lt; 0, 0,
  IF(COLUMN() - ($E35 + 5) = 0, $F35,
    AR35 * (1 - IFERROR(INDEX('Inputs &amp; Assuptions'!$D$13:$D$72, COLUMN() - ($E35 + 5)), 0))
  )
)</f>
        <v>1054.74891460055</v>
      </c>
      <c r="AT35" s="80" t="n">
        <f aca="false" t="array" ref="AT35:AT35">IF(COLUMN() - ($E35 + 5) &lt; 0, 0,
  IF(COLUMN() - ($E35 + 5) = 0, $F35,
    AS35 * (1 - IFERROR(INDEX('Inputs &amp; Assuptions'!$D$13:$D$72, COLUMN() - ($E35 + 5)), 0))
  )
)</f>
        <v>1054.22154014325</v>
      </c>
      <c r="AU35" s="80" t="n">
        <f aca="false" t="array" ref="AU35:AU35">IF(COLUMN() - ($E35 + 5) &lt; 0, 0,
  IF(COLUMN() - ($E35 + 5) = 0, $F35,
    AT35 * (1 - IFERROR(INDEX('Inputs &amp; Assuptions'!$D$13:$D$72, COLUMN() - ($E35 + 5)), 0))
  )
)</f>
        <v>1053.69442937318</v>
      </c>
      <c r="AV35" s="80" t="n">
        <f aca="false" t="array" ref="AV35:AV35">IF(COLUMN() - ($E35 + 5) &lt; 0, 0,
  IF(COLUMN() - ($E35 + 5) = 0, $F35,
    AU35 * (1 - IFERROR(INDEX('Inputs &amp; Assuptions'!$D$13:$D$72, COLUMN() - ($E35 + 5)), 0))
  )
)</f>
        <v>1053.16758215849</v>
      </c>
      <c r="AW35" s="80" t="n">
        <f aca="false" t="array" ref="AW35:AW35">IF(COLUMN() - ($E35 + 5) &lt; 0, 0,
  IF(COLUMN() - ($E35 + 5) = 0, $F35,
    AV35 * (1 - IFERROR(INDEX('Inputs &amp; Assuptions'!$D$13:$D$72, COLUMN() - ($E35 + 5)), 0))
  )
)</f>
        <v>1052.64099836741</v>
      </c>
      <c r="AX35" s="80" t="n">
        <f aca="false" t="array" ref="AX35:AX35">IF(COLUMN() - ($E35 + 5) &lt; 0, 0,
  IF(COLUMN() - ($E35 + 5) = 0, $F35,
    AW35 * (1 - IFERROR(INDEX('Inputs &amp; Assuptions'!$D$13:$D$72, COLUMN() - ($E35 + 5)), 0))
  )
)</f>
        <v>1052.11467786823</v>
      </c>
      <c r="AY35" s="80" t="n">
        <f aca="false" t="array" ref="AY35:AY35">IF(COLUMN() - ($E35 + 5) &lt; 0, 0,
  IF(COLUMN() - ($E35 + 5) = 0, $F35,
    AX35 * (1 - IFERROR(INDEX('Inputs &amp; Assuptions'!$D$13:$D$72, COLUMN() - ($E35 + 5)), 0))
  )
)</f>
        <v>1051.58862052929</v>
      </c>
      <c r="AZ35" s="80" t="n">
        <f aca="false" t="array" ref="AZ35:AZ35">IF(COLUMN() - ($E35 + 5) &lt; 0, 0,
  IF(COLUMN() - ($E35 + 5) = 0, $F35,
    AY35 * (1 - IFERROR(INDEX('Inputs &amp; Assuptions'!$D$13:$D$72, COLUMN() - ($E35 + 5)), 0))
  )
)</f>
        <v>1051.06282621903</v>
      </c>
      <c r="BA35" s="80" t="n">
        <f aca="false" t="array" ref="BA35:BA35">IF(COLUMN() - ($E35 + 5) &lt; 0, 0,
  IF(COLUMN() - ($E35 + 5) = 0, $F35,
    AZ35 * (1 - IFERROR(INDEX('Inputs &amp; Assuptions'!$D$13:$D$72, COLUMN() - ($E35 + 5)), 0))
  )
)</f>
        <v>1050.53729480592</v>
      </c>
      <c r="BB35" s="80" t="n">
        <f aca="false" t="array" ref="BB35:BB35">IF(COLUMN() - ($E35 + 5) &lt; 0, 0,
  IF(COLUMN() - ($E35 + 5) = 0, $F35,
    BA35 * (1 - IFERROR(INDEX('Inputs &amp; Assuptions'!$D$13:$D$72, COLUMN() - ($E35 + 5)), 0))
  )
)</f>
        <v>1050.01202615852</v>
      </c>
      <c r="BC35" s="80" t="n">
        <f aca="false" t="array" ref="BC35:BC35">IF(COLUMN() - ($E35 + 5) &lt; 0, 0,
  IF(COLUMN() - ($E35 + 5) = 0, $F35,
    BB35 * (1 - IFERROR(INDEX('Inputs &amp; Assuptions'!$D$13:$D$72, COLUMN() - ($E35 + 5)), 0))
  )
)</f>
        <v>1049.48702014544</v>
      </c>
      <c r="BD35" s="80" t="n">
        <f aca="false" t="array" ref="BD35:BD35">IF(COLUMN() - ($E35 + 5) &lt; 0, 0,
  IF(COLUMN() - ($E35 + 5) = 0, $F35,
    BC35 * (1 - IFERROR(INDEX('Inputs &amp; Assuptions'!$D$13:$D$72, COLUMN() - ($E35 + 5)), 0))
  )
)</f>
        <v>1048.96227663536</v>
      </c>
      <c r="BE35" s="80" t="n">
        <f aca="false" t="array" ref="BE35:BE35">IF(COLUMN() - ($E35 + 5) &lt; 0, 0,
  IF(COLUMN() - ($E35 + 5) = 0, $F35,
    BD35 * (1 - IFERROR(INDEX('Inputs &amp; Assuptions'!$D$13:$D$72, COLUMN() - ($E35 + 5)), 0))
  )
)</f>
        <v>1048.43779549705</v>
      </c>
      <c r="BF35" s="80" t="n">
        <f aca="false" t="array" ref="BF35:BF35">IF(COLUMN() - ($E35 + 5) &lt; 0, 0,
  IF(COLUMN() - ($E35 + 5) = 0, $F35,
    BE35 * (1 - IFERROR(INDEX('Inputs &amp; Assuptions'!$D$13:$D$72, COLUMN() - ($E35 + 5)), 0))
  )
)</f>
        <v>1047.9135765993</v>
      </c>
      <c r="BG35" s="80" t="n">
        <f aca="false" t="array" ref="BG35:BG35">IF(COLUMN() - ($E35 + 5) &lt; 0, 0,
  IF(COLUMN() - ($E35 + 5) = 0, $F35,
    BF35 * (1 - IFERROR(INDEX('Inputs &amp; Assuptions'!$D$13:$D$72, COLUMN() - ($E35 + 5)), 0))
  )
)</f>
        <v>1047.389619811</v>
      </c>
      <c r="BH35" s="80" t="n">
        <f aca="false" t="array" ref="BH35:BH35">IF(COLUMN() - ($E35 + 5) &lt; 0, 0,
  IF(COLUMN() - ($E35 + 5) = 0, $F35,
    BG35 * (1 - IFERROR(INDEX('Inputs &amp; Assuptions'!$D$13:$D$72, COLUMN() - ($E35 + 5)), 0))
  )
)</f>
        <v>1046.86592500109</v>
      </c>
      <c r="BI35" s="80" t="n">
        <f aca="false" t="array" ref="BI35:BI35">IF(COLUMN() - ($E35 + 5) &lt; 0, 0,
  IF(COLUMN() - ($E35 + 5) = 0, $F35,
    BH35 * (1 - IFERROR(INDEX('Inputs &amp; Assuptions'!$D$13:$D$72, COLUMN() - ($E35 + 5)), 0))
  )
)</f>
        <v>1046.34249203859</v>
      </c>
      <c r="BJ35" s="80" t="n">
        <f aca="false" t="array" ref="BJ35:BJ35">IF(COLUMN() - ($E35 + 5) &lt; 0, 0,
  IF(COLUMN() - ($E35 + 5) = 0, $F35,
    BI35 * (1 - IFERROR(INDEX('Inputs &amp; Assuptions'!$D$13:$D$72, COLUMN() - ($E35 + 5)), 0))
  )
)</f>
        <v>1045.81932079257</v>
      </c>
      <c r="BK35" s="80" t="n">
        <f aca="false" t="array" ref="BK35:BK35">IF(COLUMN() - ($E35 + 5) &lt; 0, 0,
  IF(COLUMN() - ($E35 + 5) = 0, $F35,
    BJ35 * (1 - IFERROR(INDEX('Inputs &amp; Assuptions'!$D$13:$D$72, COLUMN() - ($E35 + 5)), 0))
  )
)</f>
        <v>1045.29641113218</v>
      </c>
      <c r="BL35" s="80" t="n">
        <f aca="false" t="array" ref="BL35:BL35">IF(COLUMN() - ($E35 + 5) &lt; 0, 0,
  IF(COLUMN() - ($E35 + 5) = 0, $F35,
    BK35 * (1 - IFERROR(INDEX('Inputs &amp; Assuptions'!$D$13:$D$72, COLUMN() - ($E35 + 5)), 0))
  )
)</f>
        <v>1044.77376292661</v>
      </c>
      <c r="BM35" s="81" t="n">
        <f aca="false" t="array" ref="BM35:BM35">IF(COLUMN() - ($E35 + 5) &lt; 0, 0,
  IF(COLUMN() - ($E35 + 5) = 0, $F35,
    BL35 * (1 - IFERROR(INDEX('Inputs &amp; Assuptions'!$D$13:$D$72, COLUMN() - ($E35 + 5)), 0))
  )
)</f>
        <v>1044.25137604515</v>
      </c>
      <c r="BN35" s="76"/>
    </row>
    <row r="36" customFormat="false" ht="14.25" hidden="false" customHeight="false" outlineLevel="0" collapsed="false">
      <c r="A36" s="29" t="n">
        <f aca="false">A35+1</f>
        <v>31</v>
      </c>
      <c r="B36" s="77" t="n">
        <f aca="false">IF(MOD($A36-1, 12) = 0, $B35 * 1.05, $B35)</f>
        <v>1102.5</v>
      </c>
      <c r="C36" s="93" t="n">
        <f aca="false">$B36*(1-'Inputs &amp; Assuptions'!$D$12)</f>
        <v>1078.245</v>
      </c>
      <c r="E36" s="29" t="n">
        <f aca="false">E35+1</f>
        <v>31</v>
      </c>
      <c r="F36" s="79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 t="n">
        <f aca="false">$C36</f>
        <v>1078.245</v>
      </c>
      <c r="AK36" s="80" t="n">
        <f aca="false" t="array" ref="AK36:AK36">IF(COLUMN() - ($E36 + 5) &lt; 0, 0,
  IF(COLUMN() - ($E36 + 5) = 0, $F36,
    AJ36 * (1 - IFERROR(INDEX('Inputs &amp; Assuptions'!$D$13:$D$72, COLUMN() - ($E36 + 5)), 0))
  )
)</f>
        <v>1072.853775</v>
      </c>
      <c r="AL36" s="80" t="n">
        <f aca="false" t="array" ref="AL36:AL36">IF(COLUMN() - ($E36 + 5) &lt; 0, 0,
  IF(COLUMN() - ($E36 + 5) = 0, $F36,
    AK36 * (1 - IFERROR(INDEX('Inputs &amp; Assuptions'!$D$13:$D$72, COLUMN() - ($E36 + 5)), 0))
  )
)</f>
        <v>1068.776930655</v>
      </c>
      <c r="AM36" s="80" t="n">
        <f aca="false" t="array" ref="AM36:AM36">IF(COLUMN() - ($E36 + 5) &lt; 0, 0,
  IF(COLUMN() - ($E36 + 5) = 0, $F36,
    AL36 * (1 - IFERROR(INDEX('Inputs &amp; Assuptions'!$D$13:$D$72, COLUMN() - ($E36 + 5)), 0))
  )
)</f>
        <v>1066.10498832836</v>
      </c>
      <c r="AN36" s="80" t="n">
        <f aca="false" t="array" ref="AN36:AN36">IF(COLUMN() - ($E36 + 5) &lt; 0, 0,
  IF(COLUMN() - ($E36 + 5) = 0, $F36,
    AM36 * (1 - IFERROR(INDEX('Inputs &amp; Assuptions'!$D$13:$D$72, COLUMN() - ($E36 + 5)), 0))
  )
)</f>
        <v>1063.65294685521</v>
      </c>
      <c r="AO36" s="80" t="n">
        <f aca="false" t="array" ref="AO36:AO36">IF(COLUMN() - ($E36 + 5) &lt; 0, 0,
  IF(COLUMN() - ($E36 + 5) = 0, $F36,
    AN36 * (1 - IFERROR(INDEX('Inputs &amp; Assuptions'!$D$13:$D$72, COLUMN() - ($E36 + 5)), 0))
  )
)</f>
        <v>1061.5256409615</v>
      </c>
      <c r="AP36" s="80" t="n">
        <f aca="false" t="array" ref="AP36:AP36">IF(COLUMN() - ($E36 + 5) &lt; 0, 0,
  IF(COLUMN() - ($E36 + 5) = 0, $F36,
    AO36 * (1 - IFERROR(INDEX('Inputs &amp; Assuptions'!$D$13:$D$72, COLUMN() - ($E36 + 5)), 0))
  )
)</f>
        <v>1059.61489480777</v>
      </c>
      <c r="AQ36" s="80" t="n">
        <f aca="false" t="array" ref="AQ36:AQ36">IF(COLUMN() - ($E36 + 5) &lt; 0, 0,
  IF(COLUMN() - ($E36 + 5) = 0, $F36,
    AP36 * (1 - IFERROR(INDEX('Inputs &amp; Assuptions'!$D$13:$D$72, COLUMN() - ($E36 + 5)), 0))
  )
)</f>
        <v>1058.02547246555</v>
      </c>
      <c r="AR36" s="80" t="n">
        <f aca="false" t="array" ref="AR36:AR36">IF(COLUMN() - ($E36 + 5) &lt; 0, 0,
  IF(COLUMN() - ($E36 + 5) = 0, $F36,
    AQ36 * (1 - IFERROR(INDEX('Inputs &amp; Assuptions'!$D$13:$D$72, COLUMN() - ($E36 + 5)), 0))
  )
)</f>
        <v>1056.65003935135</v>
      </c>
      <c r="AS36" s="80" t="n">
        <f aca="false" t="array" ref="AS36:AS36">IF(COLUMN() - ($E36 + 5) &lt; 0, 0,
  IF(COLUMN() - ($E36 + 5) = 0, $F36,
    AR36 * (1 - IFERROR(INDEX('Inputs &amp; Assuptions'!$D$13:$D$72, COLUMN() - ($E36 + 5)), 0))
  )
)</f>
        <v>1055.593389312</v>
      </c>
      <c r="AT36" s="80" t="n">
        <f aca="false" t="array" ref="AT36:AT36">IF(COLUMN() - ($E36 + 5) &lt; 0, 0,
  IF(COLUMN() - ($E36 + 5) = 0, $F36,
    AS36 * (1 - IFERROR(INDEX('Inputs &amp; Assuptions'!$D$13:$D$72, COLUMN() - ($E36 + 5)), 0))
  )
)</f>
        <v>1054.74891460055</v>
      </c>
      <c r="AU36" s="80" t="n">
        <f aca="false" t="array" ref="AU36:AU36">IF(COLUMN() - ($E36 + 5) &lt; 0, 0,
  IF(COLUMN() - ($E36 + 5) = 0, $F36,
    AT36 * (1 - IFERROR(INDEX('Inputs &amp; Assuptions'!$D$13:$D$72, COLUMN() - ($E36 + 5)), 0))
  )
)</f>
        <v>1054.22154014325</v>
      </c>
      <c r="AV36" s="80" t="n">
        <f aca="false" t="array" ref="AV36:AV36">IF(COLUMN() - ($E36 + 5) &lt; 0, 0,
  IF(COLUMN() - ($E36 + 5) = 0, $F36,
    AU36 * (1 - IFERROR(INDEX('Inputs &amp; Assuptions'!$D$13:$D$72, COLUMN() - ($E36 + 5)), 0))
  )
)</f>
        <v>1053.69442937318</v>
      </c>
      <c r="AW36" s="80" t="n">
        <f aca="false" t="array" ref="AW36:AW36">IF(COLUMN() - ($E36 + 5) &lt; 0, 0,
  IF(COLUMN() - ($E36 + 5) = 0, $F36,
    AV36 * (1 - IFERROR(INDEX('Inputs &amp; Assuptions'!$D$13:$D$72, COLUMN() - ($E36 + 5)), 0))
  )
)</f>
        <v>1053.16758215849</v>
      </c>
      <c r="AX36" s="80" t="n">
        <f aca="false" t="array" ref="AX36:AX36">IF(COLUMN() - ($E36 + 5) &lt; 0, 0,
  IF(COLUMN() - ($E36 + 5) = 0, $F36,
    AW36 * (1 - IFERROR(INDEX('Inputs &amp; Assuptions'!$D$13:$D$72, COLUMN() - ($E36 + 5)), 0))
  )
)</f>
        <v>1052.64099836741</v>
      </c>
      <c r="AY36" s="80" t="n">
        <f aca="false" t="array" ref="AY36:AY36">IF(COLUMN() - ($E36 + 5) &lt; 0, 0,
  IF(COLUMN() - ($E36 + 5) = 0, $F36,
    AX36 * (1 - IFERROR(INDEX('Inputs &amp; Assuptions'!$D$13:$D$72, COLUMN() - ($E36 + 5)), 0))
  )
)</f>
        <v>1052.11467786823</v>
      </c>
      <c r="AZ36" s="80" t="n">
        <f aca="false" t="array" ref="AZ36:AZ36">IF(COLUMN() - ($E36 + 5) &lt; 0, 0,
  IF(COLUMN() - ($E36 + 5) = 0, $F36,
    AY36 * (1 - IFERROR(INDEX('Inputs &amp; Assuptions'!$D$13:$D$72, COLUMN() - ($E36 + 5)), 0))
  )
)</f>
        <v>1051.58862052929</v>
      </c>
      <c r="BA36" s="80" t="n">
        <f aca="false" t="array" ref="BA36:BA36">IF(COLUMN() - ($E36 + 5) &lt; 0, 0,
  IF(COLUMN() - ($E36 + 5) = 0, $F36,
    AZ36 * (1 - IFERROR(INDEX('Inputs &amp; Assuptions'!$D$13:$D$72, COLUMN() - ($E36 + 5)), 0))
  )
)</f>
        <v>1051.06282621903</v>
      </c>
      <c r="BB36" s="80" t="n">
        <f aca="false" t="array" ref="BB36:BB36">IF(COLUMN() - ($E36 + 5) &lt; 0, 0,
  IF(COLUMN() - ($E36 + 5) = 0, $F36,
    BA36 * (1 - IFERROR(INDEX('Inputs &amp; Assuptions'!$D$13:$D$72, COLUMN() - ($E36 + 5)), 0))
  )
)</f>
        <v>1050.53729480592</v>
      </c>
      <c r="BC36" s="80" t="n">
        <f aca="false" t="array" ref="BC36:BC36">IF(COLUMN() - ($E36 + 5) &lt; 0, 0,
  IF(COLUMN() - ($E36 + 5) = 0, $F36,
    BB36 * (1 - IFERROR(INDEX('Inputs &amp; Assuptions'!$D$13:$D$72, COLUMN() - ($E36 + 5)), 0))
  )
)</f>
        <v>1050.01202615852</v>
      </c>
      <c r="BD36" s="80" t="n">
        <f aca="false" t="array" ref="BD36:BD36">IF(COLUMN() - ($E36 + 5) &lt; 0, 0,
  IF(COLUMN() - ($E36 + 5) = 0, $F36,
    BC36 * (1 - IFERROR(INDEX('Inputs &amp; Assuptions'!$D$13:$D$72, COLUMN() - ($E36 + 5)), 0))
  )
)</f>
        <v>1049.48702014544</v>
      </c>
      <c r="BE36" s="80" t="n">
        <f aca="false" t="array" ref="BE36:BE36">IF(COLUMN() - ($E36 + 5) &lt; 0, 0,
  IF(COLUMN() - ($E36 + 5) = 0, $F36,
    BD36 * (1 - IFERROR(INDEX('Inputs &amp; Assuptions'!$D$13:$D$72, COLUMN() - ($E36 + 5)), 0))
  )
)</f>
        <v>1048.96227663536</v>
      </c>
      <c r="BF36" s="80" t="n">
        <f aca="false" t="array" ref="BF36:BF36">IF(COLUMN() - ($E36 + 5) &lt; 0, 0,
  IF(COLUMN() - ($E36 + 5) = 0, $F36,
    BE36 * (1 - IFERROR(INDEX('Inputs &amp; Assuptions'!$D$13:$D$72, COLUMN() - ($E36 + 5)), 0))
  )
)</f>
        <v>1048.43779549705</v>
      </c>
      <c r="BG36" s="80" t="n">
        <f aca="false" t="array" ref="BG36:BG36">IF(COLUMN() - ($E36 + 5) &lt; 0, 0,
  IF(COLUMN() - ($E36 + 5) = 0, $F36,
    BF36 * (1 - IFERROR(INDEX('Inputs &amp; Assuptions'!$D$13:$D$72, COLUMN() - ($E36 + 5)), 0))
  )
)</f>
        <v>1047.9135765993</v>
      </c>
      <c r="BH36" s="80" t="n">
        <f aca="false" t="array" ref="BH36:BH36">IF(COLUMN() - ($E36 + 5) &lt; 0, 0,
  IF(COLUMN() - ($E36 + 5) = 0, $F36,
    BG36 * (1 - IFERROR(INDEX('Inputs &amp; Assuptions'!$D$13:$D$72, COLUMN() - ($E36 + 5)), 0))
  )
)</f>
        <v>1047.389619811</v>
      </c>
      <c r="BI36" s="80" t="n">
        <f aca="false" t="array" ref="BI36:BI36">IF(COLUMN() - ($E36 + 5) &lt; 0, 0,
  IF(COLUMN() - ($E36 + 5) = 0, $F36,
    BH36 * (1 - IFERROR(INDEX('Inputs &amp; Assuptions'!$D$13:$D$72, COLUMN() - ($E36 + 5)), 0))
  )
)</f>
        <v>1046.86592500109</v>
      </c>
      <c r="BJ36" s="80" t="n">
        <f aca="false" t="array" ref="BJ36:BJ36">IF(COLUMN() - ($E36 + 5) &lt; 0, 0,
  IF(COLUMN() - ($E36 + 5) = 0, $F36,
    BI36 * (1 - IFERROR(INDEX('Inputs &amp; Assuptions'!$D$13:$D$72, COLUMN() - ($E36 + 5)), 0))
  )
)</f>
        <v>1046.34249203859</v>
      </c>
      <c r="BK36" s="80" t="n">
        <f aca="false" t="array" ref="BK36:BK36">IF(COLUMN() - ($E36 + 5) &lt; 0, 0,
  IF(COLUMN() - ($E36 + 5) = 0, $F36,
    BJ36 * (1 - IFERROR(INDEX('Inputs &amp; Assuptions'!$D$13:$D$72, COLUMN() - ($E36 + 5)), 0))
  )
)</f>
        <v>1045.81932079257</v>
      </c>
      <c r="BL36" s="80" t="n">
        <f aca="false" t="array" ref="BL36:BL36">IF(COLUMN() - ($E36 + 5) &lt; 0, 0,
  IF(COLUMN() - ($E36 + 5) = 0, $F36,
    BK36 * (1 - IFERROR(INDEX('Inputs &amp; Assuptions'!$D$13:$D$72, COLUMN() - ($E36 + 5)), 0))
  )
)</f>
        <v>1045.29641113218</v>
      </c>
      <c r="BM36" s="81" t="n">
        <f aca="false" t="array" ref="BM36:BM36">IF(COLUMN() - ($E36 + 5) &lt; 0, 0,
  IF(COLUMN() - ($E36 + 5) = 0, $F36,
    BL36 * (1 - IFERROR(INDEX('Inputs &amp; Assuptions'!$D$13:$D$72, COLUMN() - ($E36 + 5)), 0))
  )
)</f>
        <v>1044.77376292661</v>
      </c>
      <c r="BN36" s="76"/>
    </row>
    <row r="37" customFormat="false" ht="14.25" hidden="false" customHeight="false" outlineLevel="0" collapsed="false">
      <c r="A37" s="29" t="n">
        <f aca="false">A36+1</f>
        <v>32</v>
      </c>
      <c r="B37" s="77" t="n">
        <f aca="false">IF(MOD($A37-1, 12) = 0, $B36 * 1.05, $B36)</f>
        <v>1102.5</v>
      </c>
      <c r="C37" s="93" t="n">
        <f aca="false">$B37*(1-'Inputs &amp; Assuptions'!$D$12)</f>
        <v>1078.245</v>
      </c>
      <c r="E37" s="29" t="n">
        <f aca="false">E36+1</f>
        <v>32</v>
      </c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 t="n">
        <f aca="false">$C37</f>
        <v>1078.245</v>
      </c>
      <c r="AL37" s="80" t="n">
        <f aca="false" t="array" ref="AL37:AL37">IF(COLUMN() - ($E37 + 5) &lt; 0, 0,
  IF(COLUMN() - ($E37 + 5) = 0, $F37,
    AK37 * (1 - IFERROR(INDEX('Inputs &amp; Assuptions'!$D$13:$D$72, COLUMN() - ($E37 + 5)), 0))
  )
)</f>
        <v>1072.853775</v>
      </c>
      <c r="AM37" s="80" t="n">
        <f aca="false" t="array" ref="AM37:AM37">IF(COLUMN() - ($E37 + 5) &lt; 0, 0,
  IF(COLUMN() - ($E37 + 5) = 0, $F37,
    AL37 * (1 - IFERROR(INDEX('Inputs &amp; Assuptions'!$D$13:$D$72, COLUMN() - ($E37 + 5)), 0))
  )
)</f>
        <v>1068.776930655</v>
      </c>
      <c r="AN37" s="80" t="n">
        <f aca="false" t="array" ref="AN37:AN37">IF(COLUMN() - ($E37 + 5) &lt; 0, 0,
  IF(COLUMN() - ($E37 + 5) = 0, $F37,
    AM37 * (1 - IFERROR(INDEX('Inputs &amp; Assuptions'!$D$13:$D$72, COLUMN() - ($E37 + 5)), 0))
  )
)</f>
        <v>1066.10498832836</v>
      </c>
      <c r="AO37" s="80" t="n">
        <f aca="false" t="array" ref="AO37:AO37">IF(COLUMN() - ($E37 + 5) &lt; 0, 0,
  IF(COLUMN() - ($E37 + 5) = 0, $F37,
    AN37 * (1 - IFERROR(INDEX('Inputs &amp; Assuptions'!$D$13:$D$72, COLUMN() - ($E37 + 5)), 0))
  )
)</f>
        <v>1063.65294685521</v>
      </c>
      <c r="AP37" s="80" t="n">
        <f aca="false" t="array" ref="AP37:AP37">IF(COLUMN() - ($E37 + 5) &lt; 0, 0,
  IF(COLUMN() - ($E37 + 5) = 0, $F37,
    AO37 * (1 - IFERROR(INDEX('Inputs &amp; Assuptions'!$D$13:$D$72, COLUMN() - ($E37 + 5)), 0))
  )
)</f>
        <v>1061.5256409615</v>
      </c>
      <c r="AQ37" s="80" t="n">
        <f aca="false" t="array" ref="AQ37:AQ37">IF(COLUMN() - ($E37 + 5) &lt; 0, 0,
  IF(COLUMN() - ($E37 + 5) = 0, $F37,
    AP37 * (1 - IFERROR(INDEX('Inputs &amp; Assuptions'!$D$13:$D$72, COLUMN() - ($E37 + 5)), 0))
  )
)</f>
        <v>1059.61489480777</v>
      </c>
      <c r="AR37" s="80" t="n">
        <f aca="false" t="array" ref="AR37:AR37">IF(COLUMN() - ($E37 + 5) &lt; 0, 0,
  IF(COLUMN() - ($E37 + 5) = 0, $F37,
    AQ37 * (1 - IFERROR(INDEX('Inputs &amp; Assuptions'!$D$13:$D$72, COLUMN() - ($E37 + 5)), 0))
  )
)</f>
        <v>1058.02547246555</v>
      </c>
      <c r="AS37" s="80" t="n">
        <f aca="false" t="array" ref="AS37:AS37">IF(COLUMN() - ($E37 + 5) &lt; 0, 0,
  IF(COLUMN() - ($E37 + 5) = 0, $F37,
    AR37 * (1 - IFERROR(INDEX('Inputs &amp; Assuptions'!$D$13:$D$72, COLUMN() - ($E37 + 5)), 0))
  )
)</f>
        <v>1056.65003935135</v>
      </c>
      <c r="AT37" s="80" t="n">
        <f aca="false" t="array" ref="AT37:AT37">IF(COLUMN() - ($E37 + 5) &lt; 0, 0,
  IF(COLUMN() - ($E37 + 5) = 0, $F37,
    AS37 * (1 - IFERROR(INDEX('Inputs &amp; Assuptions'!$D$13:$D$72, COLUMN() - ($E37 + 5)), 0))
  )
)</f>
        <v>1055.593389312</v>
      </c>
      <c r="AU37" s="80" t="n">
        <f aca="false" t="array" ref="AU37:AU37">IF(COLUMN() - ($E37 + 5) &lt; 0, 0,
  IF(COLUMN() - ($E37 + 5) = 0, $F37,
    AT37 * (1 - IFERROR(INDEX('Inputs &amp; Assuptions'!$D$13:$D$72, COLUMN() - ($E37 + 5)), 0))
  )
)</f>
        <v>1054.74891460055</v>
      </c>
      <c r="AV37" s="80" t="n">
        <f aca="false" t="array" ref="AV37:AV37">IF(COLUMN() - ($E37 + 5) &lt; 0, 0,
  IF(COLUMN() - ($E37 + 5) = 0, $F37,
    AU37 * (1 - IFERROR(INDEX('Inputs &amp; Assuptions'!$D$13:$D$72, COLUMN() - ($E37 + 5)), 0))
  )
)</f>
        <v>1054.22154014325</v>
      </c>
      <c r="AW37" s="80" t="n">
        <f aca="false" t="array" ref="AW37:AW37">IF(COLUMN() - ($E37 + 5) &lt; 0, 0,
  IF(COLUMN() - ($E37 + 5) = 0, $F37,
    AV37 * (1 - IFERROR(INDEX('Inputs &amp; Assuptions'!$D$13:$D$72, COLUMN() - ($E37 + 5)), 0))
  )
)</f>
        <v>1053.69442937318</v>
      </c>
      <c r="AX37" s="80" t="n">
        <f aca="false" t="array" ref="AX37:AX37">IF(COLUMN() - ($E37 + 5) &lt; 0, 0,
  IF(COLUMN() - ($E37 + 5) = 0, $F37,
    AW37 * (1 - IFERROR(INDEX('Inputs &amp; Assuptions'!$D$13:$D$72, COLUMN() - ($E37 + 5)), 0))
  )
)</f>
        <v>1053.16758215849</v>
      </c>
      <c r="AY37" s="80" t="n">
        <f aca="false" t="array" ref="AY37:AY37">IF(COLUMN() - ($E37 + 5) &lt; 0, 0,
  IF(COLUMN() - ($E37 + 5) = 0, $F37,
    AX37 * (1 - IFERROR(INDEX('Inputs &amp; Assuptions'!$D$13:$D$72, COLUMN() - ($E37 + 5)), 0))
  )
)</f>
        <v>1052.64099836741</v>
      </c>
      <c r="AZ37" s="80" t="n">
        <f aca="false" t="array" ref="AZ37:AZ37">IF(COLUMN() - ($E37 + 5) &lt; 0, 0,
  IF(COLUMN() - ($E37 + 5) = 0, $F37,
    AY37 * (1 - IFERROR(INDEX('Inputs &amp; Assuptions'!$D$13:$D$72, COLUMN() - ($E37 + 5)), 0))
  )
)</f>
        <v>1052.11467786823</v>
      </c>
      <c r="BA37" s="80" t="n">
        <f aca="false" t="array" ref="BA37:BA37">IF(COLUMN() - ($E37 + 5) &lt; 0, 0,
  IF(COLUMN() - ($E37 + 5) = 0, $F37,
    AZ37 * (1 - IFERROR(INDEX('Inputs &amp; Assuptions'!$D$13:$D$72, COLUMN() - ($E37 + 5)), 0))
  )
)</f>
        <v>1051.58862052929</v>
      </c>
      <c r="BB37" s="80" t="n">
        <f aca="false" t="array" ref="BB37:BB37">IF(COLUMN() - ($E37 + 5) &lt; 0, 0,
  IF(COLUMN() - ($E37 + 5) = 0, $F37,
    BA37 * (1 - IFERROR(INDEX('Inputs &amp; Assuptions'!$D$13:$D$72, COLUMN() - ($E37 + 5)), 0))
  )
)</f>
        <v>1051.06282621903</v>
      </c>
      <c r="BC37" s="80" t="n">
        <f aca="false" t="array" ref="BC37:BC37">IF(COLUMN() - ($E37 + 5) &lt; 0, 0,
  IF(COLUMN() - ($E37 + 5) = 0, $F37,
    BB37 * (1 - IFERROR(INDEX('Inputs &amp; Assuptions'!$D$13:$D$72, COLUMN() - ($E37 + 5)), 0))
  )
)</f>
        <v>1050.53729480592</v>
      </c>
      <c r="BD37" s="80" t="n">
        <f aca="false" t="array" ref="BD37:BD37">IF(COLUMN() - ($E37 + 5) &lt; 0, 0,
  IF(COLUMN() - ($E37 + 5) = 0, $F37,
    BC37 * (1 - IFERROR(INDEX('Inputs &amp; Assuptions'!$D$13:$D$72, COLUMN() - ($E37 + 5)), 0))
  )
)</f>
        <v>1050.01202615852</v>
      </c>
      <c r="BE37" s="80" t="n">
        <f aca="false" t="array" ref="BE37:BE37">IF(COLUMN() - ($E37 + 5) &lt; 0, 0,
  IF(COLUMN() - ($E37 + 5) = 0, $F37,
    BD37 * (1 - IFERROR(INDEX('Inputs &amp; Assuptions'!$D$13:$D$72, COLUMN() - ($E37 + 5)), 0))
  )
)</f>
        <v>1049.48702014544</v>
      </c>
      <c r="BF37" s="80" t="n">
        <f aca="false" t="array" ref="BF37:BF37">IF(COLUMN() - ($E37 + 5) &lt; 0, 0,
  IF(COLUMN() - ($E37 + 5) = 0, $F37,
    BE37 * (1 - IFERROR(INDEX('Inputs &amp; Assuptions'!$D$13:$D$72, COLUMN() - ($E37 + 5)), 0))
  )
)</f>
        <v>1048.96227663536</v>
      </c>
      <c r="BG37" s="80" t="n">
        <f aca="false" t="array" ref="BG37:BG37">IF(COLUMN() - ($E37 + 5) &lt; 0, 0,
  IF(COLUMN() - ($E37 + 5) = 0, $F37,
    BF37 * (1 - IFERROR(INDEX('Inputs &amp; Assuptions'!$D$13:$D$72, COLUMN() - ($E37 + 5)), 0))
  )
)</f>
        <v>1048.43779549705</v>
      </c>
      <c r="BH37" s="80" t="n">
        <f aca="false" t="array" ref="BH37:BH37">IF(COLUMN() - ($E37 + 5) &lt; 0, 0,
  IF(COLUMN() - ($E37 + 5) = 0, $F37,
    BG37 * (1 - IFERROR(INDEX('Inputs &amp; Assuptions'!$D$13:$D$72, COLUMN() - ($E37 + 5)), 0))
  )
)</f>
        <v>1047.9135765993</v>
      </c>
      <c r="BI37" s="80" t="n">
        <f aca="false" t="array" ref="BI37:BI37">IF(COLUMN() - ($E37 + 5) &lt; 0, 0,
  IF(COLUMN() - ($E37 + 5) = 0, $F37,
    BH37 * (1 - IFERROR(INDEX('Inputs &amp; Assuptions'!$D$13:$D$72, COLUMN() - ($E37 + 5)), 0))
  )
)</f>
        <v>1047.389619811</v>
      </c>
      <c r="BJ37" s="80" t="n">
        <f aca="false" t="array" ref="BJ37:BJ37">IF(COLUMN() - ($E37 + 5) &lt; 0, 0,
  IF(COLUMN() - ($E37 + 5) = 0, $F37,
    BI37 * (1 - IFERROR(INDEX('Inputs &amp; Assuptions'!$D$13:$D$72, COLUMN() - ($E37 + 5)), 0))
  )
)</f>
        <v>1046.86592500109</v>
      </c>
      <c r="BK37" s="80" t="n">
        <f aca="false" t="array" ref="BK37:BK37">IF(COLUMN() - ($E37 + 5) &lt; 0, 0,
  IF(COLUMN() - ($E37 + 5) = 0, $F37,
    BJ37 * (1 - IFERROR(INDEX('Inputs &amp; Assuptions'!$D$13:$D$72, COLUMN() - ($E37 + 5)), 0))
  )
)</f>
        <v>1046.34249203859</v>
      </c>
      <c r="BL37" s="80" t="n">
        <f aca="false" t="array" ref="BL37:BL37">IF(COLUMN() - ($E37 + 5) &lt; 0, 0,
  IF(COLUMN() - ($E37 + 5) = 0, $F37,
    BK37 * (1 - IFERROR(INDEX('Inputs &amp; Assuptions'!$D$13:$D$72, COLUMN() - ($E37 + 5)), 0))
  )
)</f>
        <v>1045.81932079257</v>
      </c>
      <c r="BM37" s="81" t="n">
        <f aca="false" t="array" ref="BM37:BM37">IF(COLUMN() - ($E37 + 5) &lt; 0, 0,
  IF(COLUMN() - ($E37 + 5) = 0, $F37,
    BL37 * (1 - IFERROR(INDEX('Inputs &amp; Assuptions'!$D$13:$D$72, COLUMN() - ($E37 + 5)), 0))
  )
)</f>
        <v>1045.29641113218</v>
      </c>
      <c r="BN37" s="76"/>
    </row>
    <row r="38" customFormat="false" ht="14.25" hidden="false" customHeight="false" outlineLevel="0" collapsed="false">
      <c r="A38" s="29" t="n">
        <f aca="false">A37+1</f>
        <v>33</v>
      </c>
      <c r="B38" s="77" t="n">
        <f aca="false">IF(MOD($A38-1, 12) = 0, $B37 * 1.05, $B37)</f>
        <v>1102.5</v>
      </c>
      <c r="C38" s="93" t="n">
        <f aca="false">$B38*(1-'Inputs &amp; Assuptions'!$D$12)</f>
        <v>1078.245</v>
      </c>
      <c r="E38" s="29" t="n">
        <f aca="false">E37+1</f>
        <v>33</v>
      </c>
      <c r="F38" s="79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 t="n">
        <f aca="false">$C38</f>
        <v>1078.245</v>
      </c>
      <c r="AM38" s="80" t="n">
        <f aca="false" t="array" ref="AM38:AM38">IF(COLUMN() - ($E38 + 5) &lt; 0, 0,
  IF(COLUMN() - ($E38 + 5) = 0, $F38,
    AL38 * (1 - IFERROR(INDEX('Inputs &amp; Assuptions'!$D$13:$D$72, COLUMN() - ($E38 + 5)), 0))
  )
)</f>
        <v>1072.853775</v>
      </c>
      <c r="AN38" s="80" t="n">
        <f aca="false" t="array" ref="AN38:AN38">IF(COLUMN() - ($E38 + 5) &lt; 0, 0,
  IF(COLUMN() - ($E38 + 5) = 0, $F38,
    AM38 * (1 - IFERROR(INDEX('Inputs &amp; Assuptions'!$D$13:$D$72, COLUMN() - ($E38 + 5)), 0))
  )
)</f>
        <v>1068.776930655</v>
      </c>
      <c r="AO38" s="80" t="n">
        <f aca="false" t="array" ref="AO38:AO38">IF(COLUMN() - ($E38 + 5) &lt; 0, 0,
  IF(COLUMN() - ($E38 + 5) = 0, $F38,
    AN38 * (1 - IFERROR(INDEX('Inputs &amp; Assuptions'!$D$13:$D$72, COLUMN() - ($E38 + 5)), 0))
  )
)</f>
        <v>1066.10498832836</v>
      </c>
      <c r="AP38" s="80" t="n">
        <f aca="false" t="array" ref="AP38:AP38">IF(COLUMN() - ($E38 + 5) &lt; 0, 0,
  IF(COLUMN() - ($E38 + 5) = 0, $F38,
    AO38 * (1 - IFERROR(INDEX('Inputs &amp; Assuptions'!$D$13:$D$72, COLUMN() - ($E38 + 5)), 0))
  )
)</f>
        <v>1063.65294685521</v>
      </c>
      <c r="AQ38" s="80" t="n">
        <f aca="false" t="array" ref="AQ38:AQ38">IF(COLUMN() - ($E38 + 5) &lt; 0, 0,
  IF(COLUMN() - ($E38 + 5) = 0, $F38,
    AP38 * (1 - IFERROR(INDEX('Inputs &amp; Assuptions'!$D$13:$D$72, COLUMN() - ($E38 + 5)), 0))
  )
)</f>
        <v>1061.5256409615</v>
      </c>
      <c r="AR38" s="80" t="n">
        <f aca="false" t="array" ref="AR38:AR38">IF(COLUMN() - ($E38 + 5) &lt; 0, 0,
  IF(COLUMN() - ($E38 + 5) = 0, $F38,
    AQ38 * (1 - IFERROR(INDEX('Inputs &amp; Assuptions'!$D$13:$D$72, COLUMN() - ($E38 + 5)), 0))
  )
)</f>
        <v>1059.61489480777</v>
      </c>
      <c r="AS38" s="80" t="n">
        <f aca="false" t="array" ref="AS38:AS38">IF(COLUMN() - ($E38 + 5) &lt; 0, 0,
  IF(COLUMN() - ($E38 + 5) = 0, $F38,
    AR38 * (1 - IFERROR(INDEX('Inputs &amp; Assuptions'!$D$13:$D$72, COLUMN() - ($E38 + 5)), 0))
  )
)</f>
        <v>1058.02547246555</v>
      </c>
      <c r="AT38" s="80" t="n">
        <f aca="false" t="array" ref="AT38:AT38">IF(COLUMN() - ($E38 + 5) &lt; 0, 0,
  IF(COLUMN() - ($E38 + 5) = 0, $F38,
    AS38 * (1 - IFERROR(INDEX('Inputs &amp; Assuptions'!$D$13:$D$72, COLUMN() - ($E38 + 5)), 0))
  )
)</f>
        <v>1056.65003935135</v>
      </c>
      <c r="AU38" s="80" t="n">
        <f aca="false" t="array" ref="AU38:AU38">IF(COLUMN() - ($E38 + 5) &lt; 0, 0,
  IF(COLUMN() - ($E38 + 5) = 0, $F38,
    AT38 * (1 - IFERROR(INDEX('Inputs &amp; Assuptions'!$D$13:$D$72, COLUMN() - ($E38 + 5)), 0))
  )
)</f>
        <v>1055.593389312</v>
      </c>
      <c r="AV38" s="80" t="n">
        <f aca="false" t="array" ref="AV38:AV38">IF(COLUMN() - ($E38 + 5) &lt; 0, 0,
  IF(COLUMN() - ($E38 + 5) = 0, $F38,
    AU38 * (1 - IFERROR(INDEX('Inputs &amp; Assuptions'!$D$13:$D$72, COLUMN() - ($E38 + 5)), 0))
  )
)</f>
        <v>1054.74891460055</v>
      </c>
      <c r="AW38" s="80" t="n">
        <f aca="false" t="array" ref="AW38:AW38">IF(COLUMN() - ($E38 + 5) &lt; 0, 0,
  IF(COLUMN() - ($E38 + 5) = 0, $F38,
    AV38 * (1 - IFERROR(INDEX('Inputs &amp; Assuptions'!$D$13:$D$72, COLUMN() - ($E38 + 5)), 0))
  )
)</f>
        <v>1054.22154014325</v>
      </c>
      <c r="AX38" s="80" t="n">
        <f aca="false" t="array" ref="AX38:AX38">IF(COLUMN() - ($E38 + 5) &lt; 0, 0,
  IF(COLUMN() - ($E38 + 5) = 0, $F38,
    AW38 * (1 - IFERROR(INDEX('Inputs &amp; Assuptions'!$D$13:$D$72, COLUMN() - ($E38 + 5)), 0))
  )
)</f>
        <v>1053.69442937318</v>
      </c>
      <c r="AY38" s="80" t="n">
        <f aca="false" t="array" ref="AY38:AY38">IF(COLUMN() - ($E38 + 5) &lt; 0, 0,
  IF(COLUMN() - ($E38 + 5) = 0, $F38,
    AX38 * (1 - IFERROR(INDEX('Inputs &amp; Assuptions'!$D$13:$D$72, COLUMN() - ($E38 + 5)), 0))
  )
)</f>
        <v>1053.16758215849</v>
      </c>
      <c r="AZ38" s="80" t="n">
        <f aca="false" t="array" ref="AZ38:AZ38">IF(COLUMN() - ($E38 + 5) &lt; 0, 0,
  IF(COLUMN() - ($E38 + 5) = 0, $F38,
    AY38 * (1 - IFERROR(INDEX('Inputs &amp; Assuptions'!$D$13:$D$72, COLUMN() - ($E38 + 5)), 0))
  )
)</f>
        <v>1052.64099836741</v>
      </c>
      <c r="BA38" s="80" t="n">
        <f aca="false" t="array" ref="BA38:BA38">IF(COLUMN() - ($E38 + 5) &lt; 0, 0,
  IF(COLUMN() - ($E38 + 5) = 0, $F38,
    AZ38 * (1 - IFERROR(INDEX('Inputs &amp; Assuptions'!$D$13:$D$72, COLUMN() - ($E38 + 5)), 0))
  )
)</f>
        <v>1052.11467786823</v>
      </c>
      <c r="BB38" s="80" t="n">
        <f aca="false" t="array" ref="BB38:BB38">IF(COLUMN() - ($E38 + 5) &lt; 0, 0,
  IF(COLUMN() - ($E38 + 5) = 0, $F38,
    BA38 * (1 - IFERROR(INDEX('Inputs &amp; Assuptions'!$D$13:$D$72, COLUMN() - ($E38 + 5)), 0))
  )
)</f>
        <v>1051.58862052929</v>
      </c>
      <c r="BC38" s="80" t="n">
        <f aca="false" t="array" ref="BC38:BC38">IF(COLUMN() - ($E38 + 5) &lt; 0, 0,
  IF(COLUMN() - ($E38 + 5) = 0, $F38,
    BB38 * (1 - IFERROR(INDEX('Inputs &amp; Assuptions'!$D$13:$D$72, COLUMN() - ($E38 + 5)), 0))
  )
)</f>
        <v>1051.06282621903</v>
      </c>
      <c r="BD38" s="80" t="n">
        <f aca="false" t="array" ref="BD38:BD38">IF(COLUMN() - ($E38 + 5) &lt; 0, 0,
  IF(COLUMN() - ($E38 + 5) = 0, $F38,
    BC38 * (1 - IFERROR(INDEX('Inputs &amp; Assuptions'!$D$13:$D$72, COLUMN() - ($E38 + 5)), 0))
  )
)</f>
        <v>1050.53729480592</v>
      </c>
      <c r="BE38" s="80" t="n">
        <f aca="false" t="array" ref="BE38:BE38">IF(COLUMN() - ($E38 + 5) &lt; 0, 0,
  IF(COLUMN() - ($E38 + 5) = 0, $F38,
    BD38 * (1 - IFERROR(INDEX('Inputs &amp; Assuptions'!$D$13:$D$72, COLUMN() - ($E38 + 5)), 0))
  )
)</f>
        <v>1050.01202615852</v>
      </c>
      <c r="BF38" s="80" t="n">
        <f aca="false" t="array" ref="BF38:BF38">IF(COLUMN() - ($E38 + 5) &lt; 0, 0,
  IF(COLUMN() - ($E38 + 5) = 0, $F38,
    BE38 * (1 - IFERROR(INDEX('Inputs &amp; Assuptions'!$D$13:$D$72, COLUMN() - ($E38 + 5)), 0))
  )
)</f>
        <v>1049.48702014544</v>
      </c>
      <c r="BG38" s="80" t="n">
        <f aca="false" t="array" ref="BG38:BG38">IF(COLUMN() - ($E38 + 5) &lt; 0, 0,
  IF(COLUMN() - ($E38 + 5) = 0, $F38,
    BF38 * (1 - IFERROR(INDEX('Inputs &amp; Assuptions'!$D$13:$D$72, COLUMN() - ($E38 + 5)), 0))
  )
)</f>
        <v>1048.96227663536</v>
      </c>
      <c r="BH38" s="80" t="n">
        <f aca="false" t="array" ref="BH38:BH38">IF(COLUMN() - ($E38 + 5) &lt; 0, 0,
  IF(COLUMN() - ($E38 + 5) = 0, $F38,
    BG38 * (1 - IFERROR(INDEX('Inputs &amp; Assuptions'!$D$13:$D$72, COLUMN() - ($E38 + 5)), 0))
  )
)</f>
        <v>1048.43779549705</v>
      </c>
      <c r="BI38" s="80" t="n">
        <f aca="false" t="array" ref="BI38:BI38">IF(COLUMN() - ($E38 + 5) &lt; 0, 0,
  IF(COLUMN() - ($E38 + 5) = 0, $F38,
    BH38 * (1 - IFERROR(INDEX('Inputs &amp; Assuptions'!$D$13:$D$72, COLUMN() - ($E38 + 5)), 0))
  )
)</f>
        <v>1047.9135765993</v>
      </c>
      <c r="BJ38" s="80" t="n">
        <f aca="false" t="array" ref="BJ38:BJ38">IF(COLUMN() - ($E38 + 5) &lt; 0, 0,
  IF(COLUMN() - ($E38 + 5) = 0, $F38,
    BI38 * (1 - IFERROR(INDEX('Inputs &amp; Assuptions'!$D$13:$D$72, COLUMN() - ($E38 + 5)), 0))
  )
)</f>
        <v>1047.389619811</v>
      </c>
      <c r="BK38" s="80" t="n">
        <f aca="false" t="array" ref="BK38:BK38">IF(COLUMN() - ($E38 + 5) &lt; 0, 0,
  IF(COLUMN() - ($E38 + 5) = 0, $F38,
    BJ38 * (1 - IFERROR(INDEX('Inputs &amp; Assuptions'!$D$13:$D$72, COLUMN() - ($E38 + 5)), 0))
  )
)</f>
        <v>1046.86592500109</v>
      </c>
      <c r="BL38" s="80" t="n">
        <f aca="false" t="array" ref="BL38:BL38">IF(COLUMN() - ($E38 + 5) &lt; 0, 0,
  IF(COLUMN() - ($E38 + 5) = 0, $F38,
    BK38 * (1 - IFERROR(INDEX('Inputs &amp; Assuptions'!$D$13:$D$72, COLUMN() - ($E38 + 5)), 0))
  )
)</f>
        <v>1046.34249203859</v>
      </c>
      <c r="BM38" s="81" t="n">
        <f aca="false" t="array" ref="BM38:BM38">IF(COLUMN() - ($E38 + 5) &lt; 0, 0,
  IF(COLUMN() - ($E38 + 5) = 0, $F38,
    BL38 * (1 - IFERROR(INDEX('Inputs &amp; Assuptions'!$D$13:$D$72, COLUMN() - ($E38 + 5)), 0))
  )
)</f>
        <v>1045.81932079257</v>
      </c>
      <c r="BN38" s="76"/>
    </row>
    <row r="39" customFormat="false" ht="14.25" hidden="false" customHeight="false" outlineLevel="0" collapsed="false">
      <c r="A39" s="29" t="n">
        <f aca="false">A38+1</f>
        <v>34</v>
      </c>
      <c r="B39" s="77" t="n">
        <f aca="false">IF(MOD($A39-1, 12) = 0, $B38 * 1.05, $B38)</f>
        <v>1102.5</v>
      </c>
      <c r="C39" s="93" t="n">
        <f aca="false">$B39*(1-'Inputs &amp; Assuptions'!$D$12)</f>
        <v>1078.245</v>
      </c>
      <c r="E39" s="29" t="n">
        <f aca="false">E38+1</f>
        <v>34</v>
      </c>
      <c r="F39" s="79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 t="n">
        <f aca="false">$C39</f>
        <v>1078.245</v>
      </c>
      <c r="AN39" s="80" t="n">
        <f aca="false" t="array" ref="AN39:AN39">IF(COLUMN() - ($E39 + 5) &lt; 0, 0,
  IF(COLUMN() - ($E39 + 5) = 0, $F39,
    AM39 * (1 - IFERROR(INDEX('Inputs &amp; Assuptions'!$D$13:$D$72, COLUMN() - ($E39 + 5)), 0))
  )
)</f>
        <v>1072.853775</v>
      </c>
      <c r="AO39" s="80" t="n">
        <f aca="false" t="array" ref="AO39:AO39">IF(COLUMN() - ($E39 + 5) &lt; 0, 0,
  IF(COLUMN() - ($E39 + 5) = 0, $F39,
    AN39 * (1 - IFERROR(INDEX('Inputs &amp; Assuptions'!$D$13:$D$72, COLUMN() - ($E39 + 5)), 0))
  )
)</f>
        <v>1068.776930655</v>
      </c>
      <c r="AP39" s="80" t="n">
        <f aca="false" t="array" ref="AP39:AP39">IF(COLUMN() - ($E39 + 5) &lt; 0, 0,
  IF(COLUMN() - ($E39 + 5) = 0, $F39,
    AO39 * (1 - IFERROR(INDEX('Inputs &amp; Assuptions'!$D$13:$D$72, COLUMN() - ($E39 + 5)), 0))
  )
)</f>
        <v>1066.10498832836</v>
      </c>
      <c r="AQ39" s="80" t="n">
        <f aca="false" t="array" ref="AQ39:AQ39">IF(COLUMN() - ($E39 + 5) &lt; 0, 0,
  IF(COLUMN() - ($E39 + 5) = 0, $F39,
    AP39 * (1 - IFERROR(INDEX('Inputs &amp; Assuptions'!$D$13:$D$72, COLUMN() - ($E39 + 5)), 0))
  )
)</f>
        <v>1063.65294685521</v>
      </c>
      <c r="AR39" s="80" t="n">
        <f aca="false" t="array" ref="AR39:AR39">IF(COLUMN() - ($E39 + 5) &lt; 0, 0,
  IF(COLUMN() - ($E39 + 5) = 0, $F39,
    AQ39 * (1 - IFERROR(INDEX('Inputs &amp; Assuptions'!$D$13:$D$72, COLUMN() - ($E39 + 5)), 0))
  )
)</f>
        <v>1061.5256409615</v>
      </c>
      <c r="AS39" s="80" t="n">
        <f aca="false" t="array" ref="AS39:AS39">IF(COLUMN() - ($E39 + 5) &lt; 0, 0,
  IF(COLUMN() - ($E39 + 5) = 0, $F39,
    AR39 * (1 - IFERROR(INDEX('Inputs &amp; Assuptions'!$D$13:$D$72, COLUMN() - ($E39 + 5)), 0))
  )
)</f>
        <v>1059.61489480777</v>
      </c>
      <c r="AT39" s="80" t="n">
        <f aca="false" t="array" ref="AT39:AT39">IF(COLUMN() - ($E39 + 5) &lt; 0, 0,
  IF(COLUMN() - ($E39 + 5) = 0, $F39,
    AS39 * (1 - IFERROR(INDEX('Inputs &amp; Assuptions'!$D$13:$D$72, COLUMN() - ($E39 + 5)), 0))
  )
)</f>
        <v>1058.02547246555</v>
      </c>
      <c r="AU39" s="80" t="n">
        <f aca="false" t="array" ref="AU39:AU39">IF(COLUMN() - ($E39 + 5) &lt; 0, 0,
  IF(COLUMN() - ($E39 + 5) = 0, $F39,
    AT39 * (1 - IFERROR(INDEX('Inputs &amp; Assuptions'!$D$13:$D$72, COLUMN() - ($E39 + 5)), 0))
  )
)</f>
        <v>1056.65003935135</v>
      </c>
      <c r="AV39" s="80" t="n">
        <f aca="false" t="array" ref="AV39:AV39">IF(COLUMN() - ($E39 + 5) &lt; 0, 0,
  IF(COLUMN() - ($E39 + 5) = 0, $F39,
    AU39 * (1 - IFERROR(INDEX('Inputs &amp; Assuptions'!$D$13:$D$72, COLUMN() - ($E39 + 5)), 0))
  )
)</f>
        <v>1055.593389312</v>
      </c>
      <c r="AW39" s="80" t="n">
        <f aca="false" t="array" ref="AW39:AW39">IF(COLUMN() - ($E39 + 5) &lt; 0, 0,
  IF(COLUMN() - ($E39 + 5) = 0, $F39,
    AV39 * (1 - IFERROR(INDEX('Inputs &amp; Assuptions'!$D$13:$D$72, COLUMN() - ($E39 + 5)), 0))
  )
)</f>
        <v>1054.74891460055</v>
      </c>
      <c r="AX39" s="80" t="n">
        <f aca="false" t="array" ref="AX39:AX39">IF(COLUMN() - ($E39 + 5) &lt; 0, 0,
  IF(COLUMN() - ($E39 + 5) = 0, $F39,
    AW39 * (1 - IFERROR(INDEX('Inputs &amp; Assuptions'!$D$13:$D$72, COLUMN() - ($E39 + 5)), 0))
  )
)</f>
        <v>1054.22154014325</v>
      </c>
      <c r="AY39" s="80" t="n">
        <f aca="false" t="array" ref="AY39:AY39">IF(COLUMN() - ($E39 + 5) &lt; 0, 0,
  IF(COLUMN() - ($E39 + 5) = 0, $F39,
    AX39 * (1 - IFERROR(INDEX('Inputs &amp; Assuptions'!$D$13:$D$72, COLUMN() - ($E39 + 5)), 0))
  )
)</f>
        <v>1053.69442937318</v>
      </c>
      <c r="AZ39" s="80" t="n">
        <f aca="false" t="array" ref="AZ39:AZ39">IF(COLUMN() - ($E39 + 5) &lt; 0, 0,
  IF(COLUMN() - ($E39 + 5) = 0, $F39,
    AY39 * (1 - IFERROR(INDEX('Inputs &amp; Assuptions'!$D$13:$D$72, COLUMN() - ($E39 + 5)), 0))
  )
)</f>
        <v>1053.16758215849</v>
      </c>
      <c r="BA39" s="80" t="n">
        <f aca="false" t="array" ref="BA39:BA39">IF(COLUMN() - ($E39 + 5) &lt; 0, 0,
  IF(COLUMN() - ($E39 + 5) = 0, $F39,
    AZ39 * (1 - IFERROR(INDEX('Inputs &amp; Assuptions'!$D$13:$D$72, COLUMN() - ($E39 + 5)), 0))
  )
)</f>
        <v>1052.64099836741</v>
      </c>
      <c r="BB39" s="80" t="n">
        <f aca="false" t="array" ref="BB39:BB39">IF(COLUMN() - ($E39 + 5) &lt; 0, 0,
  IF(COLUMN() - ($E39 + 5) = 0, $F39,
    BA39 * (1 - IFERROR(INDEX('Inputs &amp; Assuptions'!$D$13:$D$72, COLUMN() - ($E39 + 5)), 0))
  )
)</f>
        <v>1052.11467786823</v>
      </c>
      <c r="BC39" s="80" t="n">
        <f aca="false" t="array" ref="BC39:BC39">IF(COLUMN() - ($E39 + 5) &lt; 0, 0,
  IF(COLUMN() - ($E39 + 5) = 0, $F39,
    BB39 * (1 - IFERROR(INDEX('Inputs &amp; Assuptions'!$D$13:$D$72, COLUMN() - ($E39 + 5)), 0))
  )
)</f>
        <v>1051.58862052929</v>
      </c>
      <c r="BD39" s="80" t="n">
        <f aca="false" t="array" ref="BD39:BD39">IF(COLUMN() - ($E39 + 5) &lt; 0, 0,
  IF(COLUMN() - ($E39 + 5) = 0, $F39,
    BC39 * (1 - IFERROR(INDEX('Inputs &amp; Assuptions'!$D$13:$D$72, COLUMN() - ($E39 + 5)), 0))
  )
)</f>
        <v>1051.06282621903</v>
      </c>
      <c r="BE39" s="80" t="n">
        <f aca="false" t="array" ref="BE39:BE39">IF(COLUMN() - ($E39 + 5) &lt; 0, 0,
  IF(COLUMN() - ($E39 + 5) = 0, $F39,
    BD39 * (1 - IFERROR(INDEX('Inputs &amp; Assuptions'!$D$13:$D$72, COLUMN() - ($E39 + 5)), 0))
  )
)</f>
        <v>1050.53729480592</v>
      </c>
      <c r="BF39" s="80" t="n">
        <f aca="false" t="array" ref="BF39:BF39">IF(COLUMN() - ($E39 + 5) &lt; 0, 0,
  IF(COLUMN() - ($E39 + 5) = 0, $F39,
    BE39 * (1 - IFERROR(INDEX('Inputs &amp; Assuptions'!$D$13:$D$72, COLUMN() - ($E39 + 5)), 0))
  )
)</f>
        <v>1050.01202615852</v>
      </c>
      <c r="BG39" s="80" t="n">
        <f aca="false" t="array" ref="BG39:BG39">IF(COLUMN() - ($E39 + 5) &lt; 0, 0,
  IF(COLUMN() - ($E39 + 5) = 0, $F39,
    BF39 * (1 - IFERROR(INDEX('Inputs &amp; Assuptions'!$D$13:$D$72, COLUMN() - ($E39 + 5)), 0))
  )
)</f>
        <v>1049.48702014544</v>
      </c>
      <c r="BH39" s="80" t="n">
        <f aca="false" t="array" ref="BH39:BH39">IF(COLUMN() - ($E39 + 5) &lt; 0, 0,
  IF(COLUMN() - ($E39 + 5) = 0, $F39,
    BG39 * (1 - IFERROR(INDEX('Inputs &amp; Assuptions'!$D$13:$D$72, COLUMN() - ($E39 + 5)), 0))
  )
)</f>
        <v>1048.96227663536</v>
      </c>
      <c r="BI39" s="80" t="n">
        <f aca="false" t="array" ref="BI39:BI39">IF(COLUMN() - ($E39 + 5) &lt; 0, 0,
  IF(COLUMN() - ($E39 + 5) = 0, $F39,
    BH39 * (1 - IFERROR(INDEX('Inputs &amp; Assuptions'!$D$13:$D$72, COLUMN() - ($E39 + 5)), 0))
  )
)</f>
        <v>1048.43779549705</v>
      </c>
      <c r="BJ39" s="80" t="n">
        <f aca="false" t="array" ref="BJ39:BJ39">IF(COLUMN() - ($E39 + 5) &lt; 0, 0,
  IF(COLUMN() - ($E39 + 5) = 0, $F39,
    BI39 * (1 - IFERROR(INDEX('Inputs &amp; Assuptions'!$D$13:$D$72, COLUMN() - ($E39 + 5)), 0))
  )
)</f>
        <v>1047.9135765993</v>
      </c>
      <c r="BK39" s="80" t="n">
        <f aca="false" t="array" ref="BK39:BK39">IF(COLUMN() - ($E39 + 5) &lt; 0, 0,
  IF(COLUMN() - ($E39 + 5) = 0, $F39,
    BJ39 * (1 - IFERROR(INDEX('Inputs &amp; Assuptions'!$D$13:$D$72, COLUMN() - ($E39 + 5)), 0))
  )
)</f>
        <v>1047.389619811</v>
      </c>
      <c r="BL39" s="80" t="n">
        <f aca="false" t="array" ref="BL39:BL39">IF(COLUMN() - ($E39 + 5) &lt; 0, 0,
  IF(COLUMN() - ($E39 + 5) = 0, $F39,
    BK39 * (1 - IFERROR(INDEX('Inputs &amp; Assuptions'!$D$13:$D$72, COLUMN() - ($E39 + 5)), 0))
  )
)</f>
        <v>1046.86592500109</v>
      </c>
      <c r="BM39" s="81" t="n">
        <f aca="false" t="array" ref="BM39:BM39">IF(COLUMN() - ($E39 + 5) &lt; 0, 0,
  IF(COLUMN() - ($E39 + 5) = 0, $F39,
    BL39 * (1 - IFERROR(INDEX('Inputs &amp; Assuptions'!$D$13:$D$72, COLUMN() - ($E39 + 5)), 0))
  )
)</f>
        <v>1046.34249203859</v>
      </c>
      <c r="BN39" s="76"/>
    </row>
    <row r="40" customFormat="false" ht="14.25" hidden="false" customHeight="false" outlineLevel="0" collapsed="false">
      <c r="A40" s="29" t="n">
        <f aca="false">A39+1</f>
        <v>35</v>
      </c>
      <c r="B40" s="77" t="n">
        <f aca="false">IF(MOD($A40-1, 12) = 0, $B39 * 1.05, $B39)</f>
        <v>1102.5</v>
      </c>
      <c r="C40" s="93" t="n">
        <f aca="false">$B40*(1-'Inputs &amp; Assuptions'!$D$12)</f>
        <v>1078.245</v>
      </c>
      <c r="E40" s="29" t="n">
        <f aca="false">E39+1</f>
        <v>35</v>
      </c>
      <c r="F40" s="79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 t="n">
        <f aca="false">$C40</f>
        <v>1078.245</v>
      </c>
      <c r="AO40" s="80" t="n">
        <f aca="false" t="array" ref="AO40:AO40">IF(COLUMN() - ($E40 + 5) &lt; 0, 0,
  IF(COLUMN() - ($E40 + 5) = 0, $F40,
    AN40 * (1 - IFERROR(INDEX('Inputs &amp; Assuptions'!$D$13:$D$72, COLUMN() - ($E40 + 5)), 0))
  )
)</f>
        <v>1072.853775</v>
      </c>
      <c r="AP40" s="80" t="n">
        <f aca="false" t="array" ref="AP40:AP40">IF(COLUMN() - ($E40 + 5) &lt; 0, 0,
  IF(COLUMN() - ($E40 + 5) = 0, $F40,
    AO40 * (1 - IFERROR(INDEX('Inputs &amp; Assuptions'!$D$13:$D$72, COLUMN() - ($E40 + 5)), 0))
  )
)</f>
        <v>1068.776930655</v>
      </c>
      <c r="AQ40" s="80" t="n">
        <f aca="false" t="array" ref="AQ40:AQ40">IF(COLUMN() - ($E40 + 5) &lt; 0, 0,
  IF(COLUMN() - ($E40 + 5) = 0, $F40,
    AP40 * (1 - IFERROR(INDEX('Inputs &amp; Assuptions'!$D$13:$D$72, COLUMN() - ($E40 + 5)), 0))
  )
)</f>
        <v>1066.10498832836</v>
      </c>
      <c r="AR40" s="80" t="n">
        <f aca="false" t="array" ref="AR40:AR40">IF(COLUMN() - ($E40 + 5) &lt; 0, 0,
  IF(COLUMN() - ($E40 + 5) = 0, $F40,
    AQ40 * (1 - IFERROR(INDEX('Inputs &amp; Assuptions'!$D$13:$D$72, COLUMN() - ($E40 + 5)), 0))
  )
)</f>
        <v>1063.65294685521</v>
      </c>
      <c r="AS40" s="80" t="n">
        <f aca="false" t="array" ref="AS40:AS40">IF(COLUMN() - ($E40 + 5) &lt; 0, 0,
  IF(COLUMN() - ($E40 + 5) = 0, $F40,
    AR40 * (1 - IFERROR(INDEX('Inputs &amp; Assuptions'!$D$13:$D$72, COLUMN() - ($E40 + 5)), 0))
  )
)</f>
        <v>1061.5256409615</v>
      </c>
      <c r="AT40" s="80" t="n">
        <f aca="false" t="array" ref="AT40:AT40">IF(COLUMN() - ($E40 + 5) &lt; 0, 0,
  IF(COLUMN() - ($E40 + 5) = 0, $F40,
    AS40 * (1 - IFERROR(INDEX('Inputs &amp; Assuptions'!$D$13:$D$72, COLUMN() - ($E40 + 5)), 0))
  )
)</f>
        <v>1059.61489480777</v>
      </c>
      <c r="AU40" s="80" t="n">
        <f aca="false" t="array" ref="AU40:AU40">IF(COLUMN() - ($E40 + 5) &lt; 0, 0,
  IF(COLUMN() - ($E40 + 5) = 0, $F40,
    AT40 * (1 - IFERROR(INDEX('Inputs &amp; Assuptions'!$D$13:$D$72, COLUMN() - ($E40 + 5)), 0))
  )
)</f>
        <v>1058.02547246555</v>
      </c>
      <c r="AV40" s="80" t="n">
        <f aca="false" t="array" ref="AV40:AV40">IF(COLUMN() - ($E40 + 5) &lt; 0, 0,
  IF(COLUMN() - ($E40 + 5) = 0, $F40,
    AU40 * (1 - IFERROR(INDEX('Inputs &amp; Assuptions'!$D$13:$D$72, COLUMN() - ($E40 + 5)), 0))
  )
)</f>
        <v>1056.65003935135</v>
      </c>
      <c r="AW40" s="80" t="n">
        <f aca="false" t="array" ref="AW40:AW40">IF(COLUMN() - ($E40 + 5) &lt; 0, 0,
  IF(COLUMN() - ($E40 + 5) = 0, $F40,
    AV40 * (1 - IFERROR(INDEX('Inputs &amp; Assuptions'!$D$13:$D$72, COLUMN() - ($E40 + 5)), 0))
  )
)</f>
        <v>1055.593389312</v>
      </c>
      <c r="AX40" s="80" t="n">
        <f aca="false" t="array" ref="AX40:AX40">IF(COLUMN() - ($E40 + 5) &lt; 0, 0,
  IF(COLUMN() - ($E40 + 5) = 0, $F40,
    AW40 * (1 - IFERROR(INDEX('Inputs &amp; Assuptions'!$D$13:$D$72, COLUMN() - ($E40 + 5)), 0))
  )
)</f>
        <v>1054.74891460055</v>
      </c>
      <c r="AY40" s="80" t="n">
        <f aca="false" t="array" ref="AY40:AY40">IF(COLUMN() - ($E40 + 5) &lt; 0, 0,
  IF(COLUMN() - ($E40 + 5) = 0, $F40,
    AX40 * (1 - IFERROR(INDEX('Inputs &amp; Assuptions'!$D$13:$D$72, COLUMN() - ($E40 + 5)), 0))
  )
)</f>
        <v>1054.22154014325</v>
      </c>
      <c r="AZ40" s="80" t="n">
        <f aca="false" t="array" ref="AZ40:AZ40">IF(COLUMN() - ($E40 + 5) &lt; 0, 0,
  IF(COLUMN() - ($E40 + 5) = 0, $F40,
    AY40 * (1 - IFERROR(INDEX('Inputs &amp; Assuptions'!$D$13:$D$72, COLUMN() - ($E40 + 5)), 0))
  )
)</f>
        <v>1053.69442937318</v>
      </c>
      <c r="BA40" s="80" t="n">
        <f aca="false" t="array" ref="BA40:BA40">IF(COLUMN() - ($E40 + 5) &lt; 0, 0,
  IF(COLUMN() - ($E40 + 5) = 0, $F40,
    AZ40 * (1 - IFERROR(INDEX('Inputs &amp; Assuptions'!$D$13:$D$72, COLUMN() - ($E40 + 5)), 0))
  )
)</f>
        <v>1053.16758215849</v>
      </c>
      <c r="BB40" s="80" t="n">
        <f aca="false" t="array" ref="BB40:BB40">IF(COLUMN() - ($E40 + 5) &lt; 0, 0,
  IF(COLUMN() - ($E40 + 5) = 0, $F40,
    BA40 * (1 - IFERROR(INDEX('Inputs &amp; Assuptions'!$D$13:$D$72, COLUMN() - ($E40 + 5)), 0))
  )
)</f>
        <v>1052.64099836741</v>
      </c>
      <c r="BC40" s="80" t="n">
        <f aca="false" t="array" ref="BC40:BC40">IF(COLUMN() - ($E40 + 5) &lt; 0, 0,
  IF(COLUMN() - ($E40 + 5) = 0, $F40,
    BB40 * (1 - IFERROR(INDEX('Inputs &amp; Assuptions'!$D$13:$D$72, COLUMN() - ($E40 + 5)), 0))
  )
)</f>
        <v>1052.11467786823</v>
      </c>
      <c r="BD40" s="80" t="n">
        <f aca="false" t="array" ref="BD40:BD40">IF(COLUMN() - ($E40 + 5) &lt; 0, 0,
  IF(COLUMN() - ($E40 + 5) = 0, $F40,
    BC40 * (1 - IFERROR(INDEX('Inputs &amp; Assuptions'!$D$13:$D$72, COLUMN() - ($E40 + 5)), 0))
  )
)</f>
        <v>1051.58862052929</v>
      </c>
      <c r="BE40" s="80" t="n">
        <f aca="false" t="array" ref="BE40:BE40">IF(COLUMN() - ($E40 + 5) &lt; 0, 0,
  IF(COLUMN() - ($E40 + 5) = 0, $F40,
    BD40 * (1 - IFERROR(INDEX('Inputs &amp; Assuptions'!$D$13:$D$72, COLUMN() - ($E40 + 5)), 0))
  )
)</f>
        <v>1051.06282621903</v>
      </c>
      <c r="BF40" s="80" t="n">
        <f aca="false" t="array" ref="BF40:BF40">IF(COLUMN() - ($E40 + 5) &lt; 0, 0,
  IF(COLUMN() - ($E40 + 5) = 0, $F40,
    BE40 * (1 - IFERROR(INDEX('Inputs &amp; Assuptions'!$D$13:$D$72, COLUMN() - ($E40 + 5)), 0))
  )
)</f>
        <v>1050.53729480592</v>
      </c>
      <c r="BG40" s="80" t="n">
        <f aca="false" t="array" ref="BG40:BG40">IF(COLUMN() - ($E40 + 5) &lt; 0, 0,
  IF(COLUMN() - ($E40 + 5) = 0, $F40,
    BF40 * (1 - IFERROR(INDEX('Inputs &amp; Assuptions'!$D$13:$D$72, COLUMN() - ($E40 + 5)), 0))
  )
)</f>
        <v>1050.01202615852</v>
      </c>
      <c r="BH40" s="80" t="n">
        <f aca="false" t="array" ref="BH40:BH40">IF(COLUMN() - ($E40 + 5) &lt; 0, 0,
  IF(COLUMN() - ($E40 + 5) = 0, $F40,
    BG40 * (1 - IFERROR(INDEX('Inputs &amp; Assuptions'!$D$13:$D$72, COLUMN() - ($E40 + 5)), 0))
  )
)</f>
        <v>1049.48702014544</v>
      </c>
      <c r="BI40" s="80" t="n">
        <f aca="false" t="array" ref="BI40:BI40">IF(COLUMN() - ($E40 + 5) &lt; 0, 0,
  IF(COLUMN() - ($E40 + 5) = 0, $F40,
    BH40 * (1 - IFERROR(INDEX('Inputs &amp; Assuptions'!$D$13:$D$72, COLUMN() - ($E40 + 5)), 0))
  )
)</f>
        <v>1048.96227663536</v>
      </c>
      <c r="BJ40" s="80" t="n">
        <f aca="false" t="array" ref="BJ40:BJ40">IF(COLUMN() - ($E40 + 5) &lt; 0, 0,
  IF(COLUMN() - ($E40 + 5) = 0, $F40,
    BI40 * (1 - IFERROR(INDEX('Inputs &amp; Assuptions'!$D$13:$D$72, COLUMN() - ($E40 + 5)), 0))
  )
)</f>
        <v>1048.43779549705</v>
      </c>
      <c r="BK40" s="80" t="n">
        <f aca="false" t="array" ref="BK40:BK40">IF(COLUMN() - ($E40 + 5) &lt; 0, 0,
  IF(COLUMN() - ($E40 + 5) = 0, $F40,
    BJ40 * (1 - IFERROR(INDEX('Inputs &amp; Assuptions'!$D$13:$D$72, COLUMN() - ($E40 + 5)), 0))
  )
)</f>
        <v>1047.9135765993</v>
      </c>
      <c r="BL40" s="80" t="n">
        <f aca="false" t="array" ref="BL40:BL40">IF(COLUMN() - ($E40 + 5) &lt; 0, 0,
  IF(COLUMN() - ($E40 + 5) = 0, $F40,
    BK40 * (1 - IFERROR(INDEX('Inputs &amp; Assuptions'!$D$13:$D$72, COLUMN() - ($E40 + 5)), 0))
  )
)</f>
        <v>1047.389619811</v>
      </c>
      <c r="BM40" s="81" t="n">
        <f aca="false" t="array" ref="BM40:BM40">IF(COLUMN() - ($E40 + 5) &lt; 0, 0,
  IF(COLUMN() - ($E40 + 5) = 0, $F40,
    BL40 * (1 - IFERROR(INDEX('Inputs &amp; Assuptions'!$D$13:$D$72, COLUMN() - ($E40 + 5)), 0))
  )
)</f>
        <v>1046.86592500109</v>
      </c>
      <c r="BN40" s="76"/>
    </row>
    <row r="41" customFormat="false" ht="14.25" hidden="false" customHeight="false" outlineLevel="0" collapsed="false">
      <c r="A41" s="29" t="n">
        <f aca="false">A40+1</f>
        <v>36</v>
      </c>
      <c r="B41" s="77" t="n">
        <f aca="false">IF(MOD($A41-1, 12) = 0, $B40 * 1.05, $B40)</f>
        <v>1102.5</v>
      </c>
      <c r="C41" s="93" t="n">
        <f aca="false">$B41*(1-'Inputs &amp; Assuptions'!$D$12)</f>
        <v>1078.245</v>
      </c>
      <c r="E41" s="29" t="n">
        <f aca="false">E40+1</f>
        <v>36</v>
      </c>
      <c r="F41" s="7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 t="n">
        <f aca="false">$C41</f>
        <v>1078.245</v>
      </c>
      <c r="AP41" s="80" t="n">
        <f aca="false" t="array" ref="AP41:AP41">IF(COLUMN() - ($E41 + 5) &lt; 0, 0,
  IF(COLUMN() - ($E41 + 5) = 0, $F41,
    AO41 * (1 - IFERROR(INDEX('Inputs &amp; Assuptions'!$D$13:$D$72, COLUMN() - ($E41 + 5)), 0))
  )
)</f>
        <v>1072.853775</v>
      </c>
      <c r="AQ41" s="80" t="n">
        <f aca="false" t="array" ref="AQ41:AQ41">IF(COLUMN() - ($E41 + 5) &lt; 0, 0,
  IF(COLUMN() - ($E41 + 5) = 0, $F41,
    AP41 * (1 - IFERROR(INDEX('Inputs &amp; Assuptions'!$D$13:$D$72, COLUMN() - ($E41 + 5)), 0))
  )
)</f>
        <v>1068.776930655</v>
      </c>
      <c r="AR41" s="80" t="n">
        <f aca="false" t="array" ref="AR41:AR41">IF(COLUMN() - ($E41 + 5) &lt; 0, 0,
  IF(COLUMN() - ($E41 + 5) = 0, $F41,
    AQ41 * (1 - IFERROR(INDEX('Inputs &amp; Assuptions'!$D$13:$D$72, COLUMN() - ($E41 + 5)), 0))
  )
)</f>
        <v>1066.10498832836</v>
      </c>
      <c r="AS41" s="80" t="n">
        <f aca="false" t="array" ref="AS41:AS41">IF(COLUMN() - ($E41 + 5) &lt; 0, 0,
  IF(COLUMN() - ($E41 + 5) = 0, $F41,
    AR41 * (1 - IFERROR(INDEX('Inputs &amp; Assuptions'!$D$13:$D$72, COLUMN() - ($E41 + 5)), 0))
  )
)</f>
        <v>1063.65294685521</v>
      </c>
      <c r="AT41" s="80" t="n">
        <f aca="false" t="array" ref="AT41:AT41">IF(COLUMN() - ($E41 + 5) &lt; 0, 0,
  IF(COLUMN() - ($E41 + 5) = 0, $F41,
    AS41 * (1 - IFERROR(INDEX('Inputs &amp; Assuptions'!$D$13:$D$72, COLUMN() - ($E41 + 5)), 0))
  )
)</f>
        <v>1061.5256409615</v>
      </c>
      <c r="AU41" s="80" t="n">
        <f aca="false" t="array" ref="AU41:AU41">IF(COLUMN() - ($E41 + 5) &lt; 0, 0,
  IF(COLUMN() - ($E41 + 5) = 0, $F41,
    AT41 * (1 - IFERROR(INDEX('Inputs &amp; Assuptions'!$D$13:$D$72, COLUMN() - ($E41 + 5)), 0))
  )
)</f>
        <v>1059.61489480777</v>
      </c>
      <c r="AV41" s="80" t="n">
        <f aca="false" t="array" ref="AV41:AV41">IF(COLUMN() - ($E41 + 5) &lt; 0, 0,
  IF(COLUMN() - ($E41 + 5) = 0, $F41,
    AU41 * (1 - IFERROR(INDEX('Inputs &amp; Assuptions'!$D$13:$D$72, COLUMN() - ($E41 + 5)), 0))
  )
)</f>
        <v>1058.02547246555</v>
      </c>
      <c r="AW41" s="80" t="n">
        <f aca="false" t="array" ref="AW41:AW41">IF(COLUMN() - ($E41 + 5) &lt; 0, 0,
  IF(COLUMN() - ($E41 + 5) = 0, $F41,
    AV41 * (1 - IFERROR(INDEX('Inputs &amp; Assuptions'!$D$13:$D$72, COLUMN() - ($E41 + 5)), 0))
  )
)</f>
        <v>1056.65003935135</v>
      </c>
      <c r="AX41" s="80" t="n">
        <f aca="false" t="array" ref="AX41:AX41">IF(COLUMN() - ($E41 + 5) &lt; 0, 0,
  IF(COLUMN() - ($E41 + 5) = 0, $F41,
    AW41 * (1 - IFERROR(INDEX('Inputs &amp; Assuptions'!$D$13:$D$72, COLUMN() - ($E41 + 5)), 0))
  )
)</f>
        <v>1055.593389312</v>
      </c>
      <c r="AY41" s="80" t="n">
        <f aca="false" t="array" ref="AY41:AY41">IF(COLUMN() - ($E41 + 5) &lt; 0, 0,
  IF(COLUMN() - ($E41 + 5) = 0, $F41,
    AX41 * (1 - IFERROR(INDEX('Inputs &amp; Assuptions'!$D$13:$D$72, COLUMN() - ($E41 + 5)), 0))
  )
)</f>
        <v>1054.74891460055</v>
      </c>
      <c r="AZ41" s="80" t="n">
        <f aca="false" t="array" ref="AZ41:AZ41">IF(COLUMN() - ($E41 + 5) &lt; 0, 0,
  IF(COLUMN() - ($E41 + 5) = 0, $F41,
    AY41 * (1 - IFERROR(INDEX('Inputs &amp; Assuptions'!$D$13:$D$72, COLUMN() - ($E41 + 5)), 0))
  )
)</f>
        <v>1054.22154014325</v>
      </c>
      <c r="BA41" s="80" t="n">
        <f aca="false" t="array" ref="BA41:BA41">IF(COLUMN() - ($E41 + 5) &lt; 0, 0,
  IF(COLUMN() - ($E41 + 5) = 0, $F41,
    AZ41 * (1 - IFERROR(INDEX('Inputs &amp; Assuptions'!$D$13:$D$72, COLUMN() - ($E41 + 5)), 0))
  )
)</f>
        <v>1053.69442937318</v>
      </c>
      <c r="BB41" s="80" t="n">
        <f aca="false" t="array" ref="BB41:BB41">IF(COLUMN() - ($E41 + 5) &lt; 0, 0,
  IF(COLUMN() - ($E41 + 5) = 0, $F41,
    BA41 * (1 - IFERROR(INDEX('Inputs &amp; Assuptions'!$D$13:$D$72, COLUMN() - ($E41 + 5)), 0))
  )
)</f>
        <v>1053.16758215849</v>
      </c>
      <c r="BC41" s="80" t="n">
        <f aca="false" t="array" ref="BC41:BC41">IF(COLUMN() - ($E41 + 5) &lt; 0, 0,
  IF(COLUMN() - ($E41 + 5) = 0, $F41,
    BB41 * (1 - IFERROR(INDEX('Inputs &amp; Assuptions'!$D$13:$D$72, COLUMN() - ($E41 + 5)), 0))
  )
)</f>
        <v>1052.64099836741</v>
      </c>
      <c r="BD41" s="80" t="n">
        <f aca="false" t="array" ref="BD41:BD41">IF(COLUMN() - ($E41 + 5) &lt; 0, 0,
  IF(COLUMN() - ($E41 + 5) = 0, $F41,
    BC41 * (1 - IFERROR(INDEX('Inputs &amp; Assuptions'!$D$13:$D$72, COLUMN() - ($E41 + 5)), 0))
  )
)</f>
        <v>1052.11467786823</v>
      </c>
      <c r="BE41" s="80" t="n">
        <f aca="false" t="array" ref="BE41:BE41">IF(COLUMN() - ($E41 + 5) &lt; 0, 0,
  IF(COLUMN() - ($E41 + 5) = 0, $F41,
    BD41 * (1 - IFERROR(INDEX('Inputs &amp; Assuptions'!$D$13:$D$72, COLUMN() - ($E41 + 5)), 0))
  )
)</f>
        <v>1051.58862052929</v>
      </c>
      <c r="BF41" s="80" t="n">
        <f aca="false" t="array" ref="BF41:BF41">IF(COLUMN() - ($E41 + 5) &lt; 0, 0,
  IF(COLUMN() - ($E41 + 5) = 0, $F41,
    BE41 * (1 - IFERROR(INDEX('Inputs &amp; Assuptions'!$D$13:$D$72, COLUMN() - ($E41 + 5)), 0))
  )
)</f>
        <v>1051.06282621903</v>
      </c>
      <c r="BG41" s="80" t="n">
        <f aca="false" t="array" ref="BG41:BG41">IF(COLUMN() - ($E41 + 5) &lt; 0, 0,
  IF(COLUMN() - ($E41 + 5) = 0, $F41,
    BF41 * (1 - IFERROR(INDEX('Inputs &amp; Assuptions'!$D$13:$D$72, COLUMN() - ($E41 + 5)), 0))
  )
)</f>
        <v>1050.53729480592</v>
      </c>
      <c r="BH41" s="80" t="n">
        <f aca="false" t="array" ref="BH41:BH41">IF(COLUMN() - ($E41 + 5) &lt; 0, 0,
  IF(COLUMN() - ($E41 + 5) = 0, $F41,
    BG41 * (1 - IFERROR(INDEX('Inputs &amp; Assuptions'!$D$13:$D$72, COLUMN() - ($E41 + 5)), 0))
  )
)</f>
        <v>1050.01202615852</v>
      </c>
      <c r="BI41" s="80" t="n">
        <f aca="false" t="array" ref="BI41:BI41">IF(COLUMN() - ($E41 + 5) &lt; 0, 0,
  IF(COLUMN() - ($E41 + 5) = 0, $F41,
    BH41 * (1 - IFERROR(INDEX('Inputs &amp; Assuptions'!$D$13:$D$72, COLUMN() - ($E41 + 5)), 0))
  )
)</f>
        <v>1049.48702014544</v>
      </c>
      <c r="BJ41" s="80" t="n">
        <f aca="false" t="array" ref="BJ41:BJ41">IF(COLUMN() - ($E41 + 5) &lt; 0, 0,
  IF(COLUMN() - ($E41 + 5) = 0, $F41,
    BI41 * (1 - IFERROR(INDEX('Inputs &amp; Assuptions'!$D$13:$D$72, COLUMN() - ($E41 + 5)), 0))
  )
)</f>
        <v>1048.96227663536</v>
      </c>
      <c r="BK41" s="80" t="n">
        <f aca="false" t="array" ref="BK41:BK41">IF(COLUMN() - ($E41 + 5) &lt; 0, 0,
  IF(COLUMN() - ($E41 + 5) = 0, $F41,
    BJ41 * (1 - IFERROR(INDEX('Inputs &amp; Assuptions'!$D$13:$D$72, COLUMN() - ($E41 + 5)), 0))
  )
)</f>
        <v>1048.43779549705</v>
      </c>
      <c r="BL41" s="80" t="n">
        <f aca="false" t="array" ref="BL41:BL41">IF(COLUMN() - ($E41 + 5) &lt; 0, 0,
  IF(COLUMN() - ($E41 + 5) = 0, $F41,
    BK41 * (1 - IFERROR(INDEX('Inputs &amp; Assuptions'!$D$13:$D$72, COLUMN() - ($E41 + 5)), 0))
  )
)</f>
        <v>1047.9135765993</v>
      </c>
      <c r="BM41" s="81" t="n">
        <f aca="false" t="array" ref="BM41:BM41">IF(COLUMN() - ($E41 + 5) &lt; 0, 0,
  IF(COLUMN() - ($E41 + 5) = 0, $F41,
    BL41 * (1 - IFERROR(INDEX('Inputs &amp; Assuptions'!$D$13:$D$72, COLUMN() - ($E41 + 5)), 0))
  )
)</f>
        <v>1047.389619811</v>
      </c>
      <c r="BN41" s="76"/>
    </row>
    <row r="42" customFormat="false" ht="14.25" hidden="false" customHeight="false" outlineLevel="0" collapsed="false">
      <c r="A42" s="29" t="n">
        <f aca="false">A41+1</f>
        <v>37</v>
      </c>
      <c r="B42" s="77" t="n">
        <f aca="false">IF(MOD($A42-1, 12) = 0, $B41 * 1.05, $B41)</f>
        <v>1157.625</v>
      </c>
      <c r="C42" s="93" t="n">
        <f aca="false">$B42*(1-'Inputs &amp; Assuptions'!$D$12)</f>
        <v>1132.15725</v>
      </c>
      <c r="E42" s="29" t="n">
        <f aca="false">E41+1</f>
        <v>37</v>
      </c>
      <c r="F42" s="79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 t="n">
        <f aca="false">$C42</f>
        <v>1132.15725</v>
      </c>
      <c r="AQ42" s="80" t="n">
        <f aca="false" t="array" ref="AQ42:AQ42">IF(COLUMN() - ($E42 + 5) &lt; 0, 0,
  IF(COLUMN() - ($E42 + 5) = 0, $F42,
    AP42 * (1 - IFERROR(INDEX('Inputs &amp; Assuptions'!$D$13:$D$72, COLUMN() - ($E42 + 5)), 0))
  )
)</f>
        <v>1126.49646375</v>
      </c>
      <c r="AR42" s="80" t="n">
        <f aca="false" t="array" ref="AR42:AR42">IF(COLUMN() - ($E42 + 5) &lt; 0, 0,
  IF(COLUMN() - ($E42 + 5) = 0, $F42,
    AQ42 * (1 - IFERROR(INDEX('Inputs &amp; Assuptions'!$D$13:$D$72, COLUMN() - ($E42 + 5)), 0))
  )
)</f>
        <v>1122.21577718775</v>
      </c>
      <c r="AS42" s="80" t="n">
        <f aca="false" t="array" ref="AS42:AS42">IF(COLUMN() - ($E42 + 5) &lt; 0, 0,
  IF(COLUMN() - ($E42 + 5) = 0, $F42,
    AR42 * (1 - IFERROR(INDEX('Inputs &amp; Assuptions'!$D$13:$D$72, COLUMN() - ($E42 + 5)), 0))
  )
)</f>
        <v>1119.41023774478</v>
      </c>
      <c r="AT42" s="80" t="n">
        <f aca="false" t="array" ref="AT42:AT42">IF(COLUMN() - ($E42 + 5) &lt; 0, 0,
  IF(COLUMN() - ($E42 + 5) = 0, $F42,
    AS42 * (1 - IFERROR(INDEX('Inputs &amp; Assuptions'!$D$13:$D$72, COLUMN() - ($E42 + 5)), 0))
  )
)</f>
        <v>1116.83559419797</v>
      </c>
      <c r="AU42" s="80" t="n">
        <f aca="false" t="array" ref="AU42:AU42">IF(COLUMN() - ($E42 + 5) &lt; 0, 0,
  IF(COLUMN() - ($E42 + 5) = 0, $F42,
    AT42 * (1 - IFERROR(INDEX('Inputs &amp; Assuptions'!$D$13:$D$72, COLUMN() - ($E42 + 5)), 0))
  )
)</f>
        <v>1114.60192300957</v>
      </c>
      <c r="AV42" s="80" t="n">
        <f aca="false" t="array" ref="AV42:AV42">IF(COLUMN() - ($E42 + 5) &lt; 0, 0,
  IF(COLUMN() - ($E42 + 5) = 0, $F42,
    AU42 * (1 - IFERROR(INDEX('Inputs &amp; Assuptions'!$D$13:$D$72, COLUMN() - ($E42 + 5)), 0))
  )
)</f>
        <v>1112.59563954815</v>
      </c>
      <c r="AW42" s="80" t="n">
        <f aca="false" t="array" ref="AW42:AW42">IF(COLUMN() - ($E42 + 5) &lt; 0, 0,
  IF(COLUMN() - ($E42 + 5) = 0, $F42,
    AV42 * (1 - IFERROR(INDEX('Inputs &amp; Assuptions'!$D$13:$D$72, COLUMN() - ($E42 + 5)), 0))
  )
)</f>
        <v>1110.92674608883</v>
      </c>
      <c r="AX42" s="80" t="n">
        <f aca="false" t="array" ref="AX42:AX42">IF(COLUMN() - ($E42 + 5) &lt; 0, 0,
  IF(COLUMN() - ($E42 + 5) = 0, $F42,
    AW42 * (1 - IFERROR(INDEX('Inputs &amp; Assuptions'!$D$13:$D$72, COLUMN() - ($E42 + 5)), 0))
  )
)</f>
        <v>1109.48254131892</v>
      </c>
      <c r="AY42" s="80" t="n">
        <f aca="false" t="array" ref="AY42:AY42">IF(COLUMN() - ($E42 + 5) &lt; 0, 0,
  IF(COLUMN() - ($E42 + 5) = 0, $F42,
    AX42 * (1 - IFERROR(INDEX('Inputs &amp; Assuptions'!$D$13:$D$72, COLUMN() - ($E42 + 5)), 0))
  )
)</f>
        <v>1108.3730587776</v>
      </c>
      <c r="AZ42" s="80" t="n">
        <f aca="false" t="array" ref="AZ42:AZ42">IF(COLUMN() - ($E42 + 5) &lt; 0, 0,
  IF(COLUMN() - ($E42 + 5) = 0, $F42,
    AY42 * (1 - IFERROR(INDEX('Inputs &amp; Assuptions'!$D$13:$D$72, COLUMN() - ($E42 + 5)), 0))
  )
)</f>
        <v>1107.48636033058</v>
      </c>
      <c r="BA42" s="80" t="n">
        <f aca="false" t="array" ref="BA42:BA42">IF(COLUMN() - ($E42 + 5) &lt; 0, 0,
  IF(COLUMN() - ($E42 + 5) = 0, $F42,
    AZ42 * (1 - IFERROR(INDEX('Inputs &amp; Assuptions'!$D$13:$D$72, COLUMN() - ($E42 + 5)), 0))
  )
)</f>
        <v>1106.93261715041</v>
      </c>
      <c r="BB42" s="80" t="n">
        <f aca="false" t="array" ref="BB42:BB42">IF(COLUMN() - ($E42 + 5) &lt; 0, 0,
  IF(COLUMN() - ($E42 + 5) = 0, $F42,
    BA42 * (1 - IFERROR(INDEX('Inputs &amp; Assuptions'!$D$13:$D$72, COLUMN() - ($E42 + 5)), 0))
  )
)</f>
        <v>1106.37915084184</v>
      </c>
      <c r="BC42" s="80" t="n">
        <f aca="false" t="array" ref="BC42:BC42">IF(COLUMN() - ($E42 + 5) &lt; 0, 0,
  IF(COLUMN() - ($E42 + 5) = 0, $F42,
    BB42 * (1 - IFERROR(INDEX('Inputs &amp; Assuptions'!$D$13:$D$72, COLUMN() - ($E42 + 5)), 0))
  )
)</f>
        <v>1105.82596126641</v>
      </c>
      <c r="BD42" s="80" t="n">
        <f aca="false" t="array" ref="BD42:BD42">IF(COLUMN() - ($E42 + 5) &lt; 0, 0,
  IF(COLUMN() - ($E42 + 5) = 0, $F42,
    BC42 * (1 - IFERROR(INDEX('Inputs &amp; Assuptions'!$D$13:$D$72, COLUMN() - ($E42 + 5)), 0))
  )
)</f>
        <v>1105.27304828578</v>
      </c>
      <c r="BE42" s="80" t="n">
        <f aca="false" t="array" ref="BE42:BE42">IF(COLUMN() - ($E42 + 5) &lt; 0, 0,
  IF(COLUMN() - ($E42 + 5) = 0, $F42,
    BD42 * (1 - IFERROR(INDEX('Inputs &amp; Assuptions'!$D$13:$D$72, COLUMN() - ($E42 + 5)), 0))
  )
)</f>
        <v>1104.72041176164</v>
      </c>
      <c r="BF42" s="80" t="n">
        <f aca="false" t="array" ref="BF42:BF42">IF(COLUMN() - ($E42 + 5) &lt; 0, 0,
  IF(COLUMN() - ($E42 + 5) = 0, $F42,
    BE42 * (1 - IFERROR(INDEX('Inputs &amp; Assuptions'!$D$13:$D$72, COLUMN() - ($E42 + 5)), 0))
  )
)</f>
        <v>1104.16805155576</v>
      </c>
      <c r="BG42" s="80" t="n">
        <f aca="false" t="array" ref="BG42:BG42">IF(COLUMN() - ($E42 + 5) &lt; 0, 0,
  IF(COLUMN() - ($E42 + 5) = 0, $F42,
    BF42 * (1 - IFERROR(INDEX('Inputs &amp; Assuptions'!$D$13:$D$72, COLUMN() - ($E42 + 5)), 0))
  )
)</f>
        <v>1103.61596752998</v>
      </c>
      <c r="BH42" s="80" t="n">
        <f aca="false" t="array" ref="BH42:BH42">IF(COLUMN() - ($E42 + 5) &lt; 0, 0,
  IF(COLUMN() - ($E42 + 5) = 0, $F42,
    BG42 * (1 - IFERROR(INDEX('Inputs &amp; Assuptions'!$D$13:$D$72, COLUMN() - ($E42 + 5)), 0))
  )
)</f>
        <v>1103.06415954622</v>
      </c>
      <c r="BI42" s="80" t="n">
        <f aca="false" t="array" ref="BI42:BI42">IF(COLUMN() - ($E42 + 5) &lt; 0, 0,
  IF(COLUMN() - ($E42 + 5) = 0, $F42,
    BH42 * (1 - IFERROR(INDEX('Inputs &amp; Assuptions'!$D$13:$D$72, COLUMN() - ($E42 + 5)), 0))
  )
)</f>
        <v>1102.51262746644</v>
      </c>
      <c r="BJ42" s="80" t="n">
        <f aca="false" t="array" ref="BJ42:BJ42">IF(COLUMN() - ($E42 + 5) &lt; 0, 0,
  IF(COLUMN() - ($E42 + 5) = 0, $F42,
    BI42 * (1 - IFERROR(INDEX('Inputs &amp; Assuptions'!$D$13:$D$72, COLUMN() - ($E42 + 5)), 0))
  )
)</f>
        <v>1101.96137115271</v>
      </c>
      <c r="BK42" s="80" t="n">
        <f aca="false" t="array" ref="BK42:BK42">IF(COLUMN() - ($E42 + 5) &lt; 0, 0,
  IF(COLUMN() - ($E42 + 5) = 0, $F42,
    BJ42 * (1 - IFERROR(INDEX('Inputs &amp; Assuptions'!$D$13:$D$72, COLUMN() - ($E42 + 5)), 0))
  )
)</f>
        <v>1101.41039046713</v>
      </c>
      <c r="BL42" s="80" t="n">
        <f aca="false" t="array" ref="BL42:BL42">IF(COLUMN() - ($E42 + 5) &lt; 0, 0,
  IF(COLUMN() - ($E42 + 5) = 0, $F42,
    BK42 * (1 - IFERROR(INDEX('Inputs &amp; Assuptions'!$D$13:$D$72, COLUMN() - ($E42 + 5)), 0))
  )
)</f>
        <v>1100.8596852719</v>
      </c>
      <c r="BM42" s="81" t="n">
        <f aca="false" t="array" ref="BM42:BM42">IF(COLUMN() - ($E42 + 5) &lt; 0, 0,
  IF(COLUMN() - ($E42 + 5) = 0, $F42,
    BL42 * (1 - IFERROR(INDEX('Inputs &amp; Assuptions'!$D$13:$D$72, COLUMN() - ($E42 + 5)), 0))
  )
)</f>
        <v>1100.30925542926</v>
      </c>
      <c r="BN42" s="76"/>
    </row>
    <row r="43" customFormat="false" ht="14.25" hidden="false" customHeight="false" outlineLevel="0" collapsed="false">
      <c r="A43" s="29" t="n">
        <f aca="false">A42+1</f>
        <v>38</v>
      </c>
      <c r="B43" s="77" t="n">
        <f aca="false">IF(MOD($A43-1, 12) = 0, $B42 * 1.05, $B42)</f>
        <v>1157.625</v>
      </c>
      <c r="C43" s="93" t="n">
        <f aca="false">$B43*(1-'Inputs &amp; Assuptions'!$D$12)</f>
        <v>1132.15725</v>
      </c>
      <c r="E43" s="29" t="n">
        <f aca="false">E42+1</f>
        <v>38</v>
      </c>
      <c r="F43" s="79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 t="n">
        <f aca="false">$C43</f>
        <v>1132.15725</v>
      </c>
      <c r="AR43" s="80" t="n">
        <f aca="false" t="array" ref="AR43:AR43">IF(COLUMN() - ($E43 + 5) &lt; 0, 0,
  IF(COLUMN() - ($E43 + 5) = 0, $F43,
    AQ43 * (1 - IFERROR(INDEX('Inputs &amp; Assuptions'!$D$13:$D$72, COLUMN() - ($E43 + 5)), 0))
  )
)</f>
        <v>1126.49646375</v>
      </c>
      <c r="AS43" s="80" t="n">
        <f aca="false" t="array" ref="AS43:AS43">IF(COLUMN() - ($E43 + 5) &lt; 0, 0,
  IF(COLUMN() - ($E43 + 5) = 0, $F43,
    AR43 * (1 - IFERROR(INDEX('Inputs &amp; Assuptions'!$D$13:$D$72, COLUMN() - ($E43 + 5)), 0))
  )
)</f>
        <v>1122.21577718775</v>
      </c>
      <c r="AT43" s="80" t="n">
        <f aca="false" t="array" ref="AT43:AT43">IF(COLUMN() - ($E43 + 5) &lt; 0, 0,
  IF(COLUMN() - ($E43 + 5) = 0, $F43,
    AS43 * (1 - IFERROR(INDEX('Inputs &amp; Assuptions'!$D$13:$D$72, COLUMN() - ($E43 + 5)), 0))
  )
)</f>
        <v>1119.41023774478</v>
      </c>
      <c r="AU43" s="80" t="n">
        <f aca="false" t="array" ref="AU43:AU43">IF(COLUMN() - ($E43 + 5) &lt; 0, 0,
  IF(COLUMN() - ($E43 + 5) = 0, $F43,
    AT43 * (1 - IFERROR(INDEX('Inputs &amp; Assuptions'!$D$13:$D$72, COLUMN() - ($E43 + 5)), 0))
  )
)</f>
        <v>1116.83559419797</v>
      </c>
      <c r="AV43" s="80" t="n">
        <f aca="false" t="array" ref="AV43:AV43">IF(COLUMN() - ($E43 + 5) &lt; 0, 0,
  IF(COLUMN() - ($E43 + 5) = 0, $F43,
    AU43 * (1 - IFERROR(INDEX('Inputs &amp; Assuptions'!$D$13:$D$72, COLUMN() - ($E43 + 5)), 0))
  )
)</f>
        <v>1114.60192300957</v>
      </c>
      <c r="AW43" s="80" t="n">
        <f aca="false" t="array" ref="AW43:AW43">IF(COLUMN() - ($E43 + 5) &lt; 0, 0,
  IF(COLUMN() - ($E43 + 5) = 0, $F43,
    AV43 * (1 - IFERROR(INDEX('Inputs &amp; Assuptions'!$D$13:$D$72, COLUMN() - ($E43 + 5)), 0))
  )
)</f>
        <v>1112.59563954815</v>
      </c>
      <c r="AX43" s="80" t="n">
        <f aca="false" t="array" ref="AX43:AX43">IF(COLUMN() - ($E43 + 5) &lt; 0, 0,
  IF(COLUMN() - ($E43 + 5) = 0, $F43,
    AW43 * (1 - IFERROR(INDEX('Inputs &amp; Assuptions'!$D$13:$D$72, COLUMN() - ($E43 + 5)), 0))
  )
)</f>
        <v>1110.92674608883</v>
      </c>
      <c r="AY43" s="80" t="n">
        <f aca="false" t="array" ref="AY43:AY43">IF(COLUMN() - ($E43 + 5) &lt; 0, 0,
  IF(COLUMN() - ($E43 + 5) = 0, $F43,
    AX43 * (1 - IFERROR(INDEX('Inputs &amp; Assuptions'!$D$13:$D$72, COLUMN() - ($E43 + 5)), 0))
  )
)</f>
        <v>1109.48254131892</v>
      </c>
      <c r="AZ43" s="80" t="n">
        <f aca="false" t="array" ref="AZ43:AZ43">IF(COLUMN() - ($E43 + 5) &lt; 0, 0,
  IF(COLUMN() - ($E43 + 5) = 0, $F43,
    AY43 * (1 - IFERROR(INDEX('Inputs &amp; Assuptions'!$D$13:$D$72, COLUMN() - ($E43 + 5)), 0))
  )
)</f>
        <v>1108.3730587776</v>
      </c>
      <c r="BA43" s="80" t="n">
        <f aca="false" t="array" ref="BA43:BA43">IF(COLUMN() - ($E43 + 5) &lt; 0, 0,
  IF(COLUMN() - ($E43 + 5) = 0, $F43,
    AZ43 * (1 - IFERROR(INDEX('Inputs &amp; Assuptions'!$D$13:$D$72, COLUMN() - ($E43 + 5)), 0))
  )
)</f>
        <v>1107.48636033058</v>
      </c>
      <c r="BB43" s="80" t="n">
        <f aca="false" t="array" ref="BB43:BB43">IF(COLUMN() - ($E43 + 5) &lt; 0, 0,
  IF(COLUMN() - ($E43 + 5) = 0, $F43,
    BA43 * (1 - IFERROR(INDEX('Inputs &amp; Assuptions'!$D$13:$D$72, COLUMN() - ($E43 + 5)), 0))
  )
)</f>
        <v>1106.93261715041</v>
      </c>
      <c r="BC43" s="80" t="n">
        <f aca="false" t="array" ref="BC43:BC43">IF(COLUMN() - ($E43 + 5) &lt; 0, 0,
  IF(COLUMN() - ($E43 + 5) = 0, $F43,
    BB43 * (1 - IFERROR(INDEX('Inputs &amp; Assuptions'!$D$13:$D$72, COLUMN() - ($E43 + 5)), 0))
  )
)</f>
        <v>1106.37915084184</v>
      </c>
      <c r="BD43" s="80" t="n">
        <f aca="false" t="array" ref="BD43:BD43">IF(COLUMN() - ($E43 + 5) &lt; 0, 0,
  IF(COLUMN() - ($E43 + 5) = 0, $F43,
    BC43 * (1 - IFERROR(INDEX('Inputs &amp; Assuptions'!$D$13:$D$72, COLUMN() - ($E43 + 5)), 0))
  )
)</f>
        <v>1105.82596126641</v>
      </c>
      <c r="BE43" s="80" t="n">
        <f aca="false" t="array" ref="BE43:BE43">IF(COLUMN() - ($E43 + 5) &lt; 0, 0,
  IF(COLUMN() - ($E43 + 5) = 0, $F43,
    BD43 * (1 - IFERROR(INDEX('Inputs &amp; Assuptions'!$D$13:$D$72, COLUMN() - ($E43 + 5)), 0))
  )
)</f>
        <v>1105.27304828578</v>
      </c>
      <c r="BF43" s="80" t="n">
        <f aca="false" t="array" ref="BF43:BF43">IF(COLUMN() - ($E43 + 5) &lt; 0, 0,
  IF(COLUMN() - ($E43 + 5) = 0, $F43,
    BE43 * (1 - IFERROR(INDEX('Inputs &amp; Assuptions'!$D$13:$D$72, COLUMN() - ($E43 + 5)), 0))
  )
)</f>
        <v>1104.72041176164</v>
      </c>
      <c r="BG43" s="80" t="n">
        <f aca="false" t="array" ref="BG43:BG43">IF(COLUMN() - ($E43 + 5) &lt; 0, 0,
  IF(COLUMN() - ($E43 + 5) = 0, $F43,
    BF43 * (1 - IFERROR(INDEX('Inputs &amp; Assuptions'!$D$13:$D$72, COLUMN() - ($E43 + 5)), 0))
  )
)</f>
        <v>1104.16805155576</v>
      </c>
      <c r="BH43" s="80" t="n">
        <f aca="false" t="array" ref="BH43:BH43">IF(COLUMN() - ($E43 + 5) &lt; 0, 0,
  IF(COLUMN() - ($E43 + 5) = 0, $F43,
    BG43 * (1 - IFERROR(INDEX('Inputs &amp; Assuptions'!$D$13:$D$72, COLUMN() - ($E43 + 5)), 0))
  )
)</f>
        <v>1103.61596752998</v>
      </c>
      <c r="BI43" s="80" t="n">
        <f aca="false" t="array" ref="BI43:BI43">IF(COLUMN() - ($E43 + 5) &lt; 0, 0,
  IF(COLUMN() - ($E43 + 5) = 0, $F43,
    BH43 * (1 - IFERROR(INDEX('Inputs &amp; Assuptions'!$D$13:$D$72, COLUMN() - ($E43 + 5)), 0))
  )
)</f>
        <v>1103.06415954622</v>
      </c>
      <c r="BJ43" s="80" t="n">
        <f aca="false" t="array" ref="BJ43:BJ43">IF(COLUMN() - ($E43 + 5) &lt; 0, 0,
  IF(COLUMN() - ($E43 + 5) = 0, $F43,
    BI43 * (1 - IFERROR(INDEX('Inputs &amp; Assuptions'!$D$13:$D$72, COLUMN() - ($E43 + 5)), 0))
  )
)</f>
        <v>1102.51262746644</v>
      </c>
      <c r="BK43" s="80" t="n">
        <f aca="false" t="array" ref="BK43:BK43">IF(COLUMN() - ($E43 + 5) &lt; 0, 0,
  IF(COLUMN() - ($E43 + 5) = 0, $F43,
    BJ43 * (1 - IFERROR(INDEX('Inputs &amp; Assuptions'!$D$13:$D$72, COLUMN() - ($E43 + 5)), 0))
  )
)</f>
        <v>1101.96137115271</v>
      </c>
      <c r="BL43" s="80" t="n">
        <f aca="false" t="array" ref="BL43:BL43">IF(COLUMN() - ($E43 + 5) &lt; 0, 0,
  IF(COLUMN() - ($E43 + 5) = 0, $F43,
    BK43 * (1 - IFERROR(INDEX('Inputs &amp; Assuptions'!$D$13:$D$72, COLUMN() - ($E43 + 5)), 0))
  )
)</f>
        <v>1101.41039046713</v>
      </c>
      <c r="BM43" s="81" t="n">
        <f aca="false" t="array" ref="BM43:BM43">IF(COLUMN() - ($E43 + 5) &lt; 0, 0,
  IF(COLUMN() - ($E43 + 5) = 0, $F43,
    BL43 * (1 - IFERROR(INDEX('Inputs &amp; Assuptions'!$D$13:$D$72, COLUMN() - ($E43 + 5)), 0))
  )
)</f>
        <v>1100.8596852719</v>
      </c>
      <c r="BN43" s="76"/>
    </row>
    <row r="44" customFormat="false" ht="14.25" hidden="false" customHeight="false" outlineLevel="0" collapsed="false">
      <c r="A44" s="29" t="n">
        <f aca="false">A43+1</f>
        <v>39</v>
      </c>
      <c r="B44" s="77" t="n">
        <f aca="false">IF(MOD($A44-1, 12) = 0, $B43 * 1.05, $B43)</f>
        <v>1157.625</v>
      </c>
      <c r="C44" s="93" t="n">
        <f aca="false">$B44*(1-'Inputs &amp; Assuptions'!$D$12)</f>
        <v>1132.15725</v>
      </c>
      <c r="E44" s="29" t="n">
        <f aca="false">E43+1</f>
        <v>39</v>
      </c>
      <c r="F44" s="79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 t="n">
        <f aca="false">$C44</f>
        <v>1132.15725</v>
      </c>
      <c r="AS44" s="80" t="n">
        <f aca="false" t="array" ref="AS44:AS44">IF(COLUMN() - ($E44 + 5) &lt; 0, 0,
  IF(COLUMN() - ($E44 + 5) = 0, $F44,
    AR44 * (1 - IFERROR(INDEX('Inputs &amp; Assuptions'!$D$13:$D$72, COLUMN() - ($E44 + 5)), 0))
  )
)</f>
        <v>1126.49646375</v>
      </c>
      <c r="AT44" s="80" t="n">
        <f aca="false" t="array" ref="AT44:AT44">IF(COLUMN() - ($E44 + 5) &lt; 0, 0,
  IF(COLUMN() - ($E44 + 5) = 0, $F44,
    AS44 * (1 - IFERROR(INDEX('Inputs &amp; Assuptions'!$D$13:$D$72, COLUMN() - ($E44 + 5)), 0))
  )
)</f>
        <v>1122.21577718775</v>
      </c>
      <c r="AU44" s="80" t="n">
        <f aca="false" t="array" ref="AU44:AU44">IF(COLUMN() - ($E44 + 5) &lt; 0, 0,
  IF(COLUMN() - ($E44 + 5) = 0, $F44,
    AT44 * (1 - IFERROR(INDEX('Inputs &amp; Assuptions'!$D$13:$D$72, COLUMN() - ($E44 + 5)), 0))
  )
)</f>
        <v>1119.41023774478</v>
      </c>
      <c r="AV44" s="80" t="n">
        <f aca="false" t="array" ref="AV44:AV44">IF(COLUMN() - ($E44 + 5) &lt; 0, 0,
  IF(COLUMN() - ($E44 + 5) = 0, $F44,
    AU44 * (1 - IFERROR(INDEX('Inputs &amp; Assuptions'!$D$13:$D$72, COLUMN() - ($E44 + 5)), 0))
  )
)</f>
        <v>1116.83559419797</v>
      </c>
      <c r="AW44" s="80" t="n">
        <f aca="false" t="array" ref="AW44:AW44">IF(COLUMN() - ($E44 + 5) &lt; 0, 0,
  IF(COLUMN() - ($E44 + 5) = 0, $F44,
    AV44 * (1 - IFERROR(INDEX('Inputs &amp; Assuptions'!$D$13:$D$72, COLUMN() - ($E44 + 5)), 0))
  )
)</f>
        <v>1114.60192300957</v>
      </c>
      <c r="AX44" s="80" t="n">
        <f aca="false" t="array" ref="AX44:AX44">IF(COLUMN() - ($E44 + 5) &lt; 0, 0,
  IF(COLUMN() - ($E44 + 5) = 0, $F44,
    AW44 * (1 - IFERROR(INDEX('Inputs &amp; Assuptions'!$D$13:$D$72, COLUMN() - ($E44 + 5)), 0))
  )
)</f>
        <v>1112.59563954815</v>
      </c>
      <c r="AY44" s="80" t="n">
        <f aca="false" t="array" ref="AY44:AY44">IF(COLUMN() - ($E44 + 5) &lt; 0, 0,
  IF(COLUMN() - ($E44 + 5) = 0, $F44,
    AX44 * (1 - IFERROR(INDEX('Inputs &amp; Assuptions'!$D$13:$D$72, COLUMN() - ($E44 + 5)), 0))
  )
)</f>
        <v>1110.92674608883</v>
      </c>
      <c r="AZ44" s="80" t="n">
        <f aca="false" t="array" ref="AZ44:AZ44">IF(COLUMN() - ($E44 + 5) &lt; 0, 0,
  IF(COLUMN() - ($E44 + 5) = 0, $F44,
    AY44 * (1 - IFERROR(INDEX('Inputs &amp; Assuptions'!$D$13:$D$72, COLUMN() - ($E44 + 5)), 0))
  )
)</f>
        <v>1109.48254131892</v>
      </c>
      <c r="BA44" s="80" t="n">
        <f aca="false" t="array" ref="BA44:BA44">IF(COLUMN() - ($E44 + 5) &lt; 0, 0,
  IF(COLUMN() - ($E44 + 5) = 0, $F44,
    AZ44 * (1 - IFERROR(INDEX('Inputs &amp; Assuptions'!$D$13:$D$72, COLUMN() - ($E44 + 5)), 0))
  )
)</f>
        <v>1108.3730587776</v>
      </c>
      <c r="BB44" s="80" t="n">
        <f aca="false" t="array" ref="BB44:BB44">IF(COLUMN() - ($E44 + 5) &lt; 0, 0,
  IF(COLUMN() - ($E44 + 5) = 0, $F44,
    BA44 * (1 - IFERROR(INDEX('Inputs &amp; Assuptions'!$D$13:$D$72, COLUMN() - ($E44 + 5)), 0))
  )
)</f>
        <v>1107.48636033058</v>
      </c>
      <c r="BC44" s="80" t="n">
        <f aca="false" t="array" ref="BC44:BC44">IF(COLUMN() - ($E44 + 5) &lt; 0, 0,
  IF(COLUMN() - ($E44 + 5) = 0, $F44,
    BB44 * (1 - IFERROR(INDEX('Inputs &amp; Assuptions'!$D$13:$D$72, COLUMN() - ($E44 + 5)), 0))
  )
)</f>
        <v>1106.93261715041</v>
      </c>
      <c r="BD44" s="80" t="n">
        <f aca="false" t="array" ref="BD44:BD44">IF(COLUMN() - ($E44 + 5) &lt; 0, 0,
  IF(COLUMN() - ($E44 + 5) = 0, $F44,
    BC44 * (1 - IFERROR(INDEX('Inputs &amp; Assuptions'!$D$13:$D$72, COLUMN() - ($E44 + 5)), 0))
  )
)</f>
        <v>1106.37915084184</v>
      </c>
      <c r="BE44" s="80" t="n">
        <f aca="false" t="array" ref="BE44:BE44">IF(COLUMN() - ($E44 + 5) &lt; 0, 0,
  IF(COLUMN() - ($E44 + 5) = 0, $F44,
    BD44 * (1 - IFERROR(INDEX('Inputs &amp; Assuptions'!$D$13:$D$72, COLUMN() - ($E44 + 5)), 0))
  )
)</f>
        <v>1105.82596126641</v>
      </c>
      <c r="BF44" s="80" t="n">
        <f aca="false" t="array" ref="BF44:BF44">IF(COLUMN() - ($E44 + 5) &lt; 0, 0,
  IF(COLUMN() - ($E44 + 5) = 0, $F44,
    BE44 * (1 - IFERROR(INDEX('Inputs &amp; Assuptions'!$D$13:$D$72, COLUMN() - ($E44 + 5)), 0))
  )
)</f>
        <v>1105.27304828578</v>
      </c>
      <c r="BG44" s="80" t="n">
        <f aca="false" t="array" ref="BG44:BG44">IF(COLUMN() - ($E44 + 5) &lt; 0, 0,
  IF(COLUMN() - ($E44 + 5) = 0, $F44,
    BF44 * (1 - IFERROR(INDEX('Inputs &amp; Assuptions'!$D$13:$D$72, COLUMN() - ($E44 + 5)), 0))
  )
)</f>
        <v>1104.72041176164</v>
      </c>
      <c r="BH44" s="80" t="n">
        <f aca="false" t="array" ref="BH44:BH44">IF(COLUMN() - ($E44 + 5) &lt; 0, 0,
  IF(COLUMN() - ($E44 + 5) = 0, $F44,
    BG44 * (1 - IFERROR(INDEX('Inputs &amp; Assuptions'!$D$13:$D$72, COLUMN() - ($E44 + 5)), 0))
  )
)</f>
        <v>1104.16805155576</v>
      </c>
      <c r="BI44" s="80" t="n">
        <f aca="false" t="array" ref="BI44:BI44">IF(COLUMN() - ($E44 + 5) &lt; 0, 0,
  IF(COLUMN() - ($E44 + 5) = 0, $F44,
    BH44 * (1 - IFERROR(INDEX('Inputs &amp; Assuptions'!$D$13:$D$72, COLUMN() - ($E44 + 5)), 0))
  )
)</f>
        <v>1103.61596752998</v>
      </c>
      <c r="BJ44" s="80" t="n">
        <f aca="false" t="array" ref="BJ44:BJ44">IF(COLUMN() - ($E44 + 5) &lt; 0, 0,
  IF(COLUMN() - ($E44 + 5) = 0, $F44,
    BI44 * (1 - IFERROR(INDEX('Inputs &amp; Assuptions'!$D$13:$D$72, COLUMN() - ($E44 + 5)), 0))
  )
)</f>
        <v>1103.06415954622</v>
      </c>
      <c r="BK44" s="80" t="n">
        <f aca="false" t="array" ref="BK44:BK44">IF(COLUMN() - ($E44 + 5) &lt; 0, 0,
  IF(COLUMN() - ($E44 + 5) = 0, $F44,
    BJ44 * (1 - IFERROR(INDEX('Inputs &amp; Assuptions'!$D$13:$D$72, COLUMN() - ($E44 + 5)), 0))
  )
)</f>
        <v>1102.51262746644</v>
      </c>
      <c r="BL44" s="80" t="n">
        <f aca="false" t="array" ref="BL44:BL44">IF(COLUMN() - ($E44 + 5) &lt; 0, 0,
  IF(COLUMN() - ($E44 + 5) = 0, $F44,
    BK44 * (1 - IFERROR(INDEX('Inputs &amp; Assuptions'!$D$13:$D$72, COLUMN() - ($E44 + 5)), 0))
  )
)</f>
        <v>1101.96137115271</v>
      </c>
      <c r="BM44" s="81" t="n">
        <f aca="false" t="array" ref="BM44:BM44">IF(COLUMN() - ($E44 + 5) &lt; 0, 0,
  IF(COLUMN() - ($E44 + 5) = 0, $F44,
    BL44 * (1 - IFERROR(INDEX('Inputs &amp; Assuptions'!$D$13:$D$72, COLUMN() - ($E44 + 5)), 0))
  )
)</f>
        <v>1101.41039046713</v>
      </c>
      <c r="BN44" s="76"/>
    </row>
    <row r="45" customFormat="false" ht="14.25" hidden="false" customHeight="false" outlineLevel="0" collapsed="false">
      <c r="A45" s="29" t="n">
        <f aca="false">A44+1</f>
        <v>40</v>
      </c>
      <c r="B45" s="77" t="n">
        <f aca="false">IF(MOD($A45-1, 12) = 0, $B44 * 1.05, $B44)</f>
        <v>1157.625</v>
      </c>
      <c r="C45" s="93" t="n">
        <f aca="false">$B45*(1-'Inputs &amp; Assuptions'!$D$12)</f>
        <v>1132.15725</v>
      </c>
      <c r="E45" s="29" t="n">
        <f aca="false">E44+1</f>
        <v>40</v>
      </c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 t="n">
        <f aca="false">$C45</f>
        <v>1132.15725</v>
      </c>
      <c r="AT45" s="80" t="n">
        <f aca="false" t="array" ref="AT45:AT45">IF(COLUMN() - ($E45 + 5) &lt; 0, 0,
  IF(COLUMN() - ($E45 + 5) = 0, $F45,
    AS45 * (1 - IFERROR(INDEX('Inputs &amp; Assuptions'!$D$13:$D$72, COLUMN() - ($E45 + 5)), 0))
  )
)</f>
        <v>1126.49646375</v>
      </c>
      <c r="AU45" s="80" t="n">
        <f aca="false" t="array" ref="AU45:AU45">IF(COLUMN() - ($E45 + 5) &lt; 0, 0,
  IF(COLUMN() - ($E45 + 5) = 0, $F45,
    AT45 * (1 - IFERROR(INDEX('Inputs &amp; Assuptions'!$D$13:$D$72, COLUMN() - ($E45 + 5)), 0))
  )
)</f>
        <v>1122.21577718775</v>
      </c>
      <c r="AV45" s="80" t="n">
        <f aca="false" t="array" ref="AV45:AV45">IF(COLUMN() - ($E45 + 5) &lt; 0, 0,
  IF(COLUMN() - ($E45 + 5) = 0, $F45,
    AU45 * (1 - IFERROR(INDEX('Inputs &amp; Assuptions'!$D$13:$D$72, COLUMN() - ($E45 + 5)), 0))
  )
)</f>
        <v>1119.41023774478</v>
      </c>
      <c r="AW45" s="80" t="n">
        <f aca="false" t="array" ref="AW45:AW45">IF(COLUMN() - ($E45 + 5) &lt; 0, 0,
  IF(COLUMN() - ($E45 + 5) = 0, $F45,
    AV45 * (1 - IFERROR(INDEX('Inputs &amp; Assuptions'!$D$13:$D$72, COLUMN() - ($E45 + 5)), 0))
  )
)</f>
        <v>1116.83559419797</v>
      </c>
      <c r="AX45" s="80" t="n">
        <f aca="false" t="array" ref="AX45:AX45">IF(COLUMN() - ($E45 + 5) &lt; 0, 0,
  IF(COLUMN() - ($E45 + 5) = 0, $F45,
    AW45 * (1 - IFERROR(INDEX('Inputs &amp; Assuptions'!$D$13:$D$72, COLUMN() - ($E45 + 5)), 0))
  )
)</f>
        <v>1114.60192300957</v>
      </c>
      <c r="AY45" s="80" t="n">
        <f aca="false" t="array" ref="AY45:AY45">IF(COLUMN() - ($E45 + 5) &lt; 0, 0,
  IF(COLUMN() - ($E45 + 5) = 0, $F45,
    AX45 * (1 - IFERROR(INDEX('Inputs &amp; Assuptions'!$D$13:$D$72, COLUMN() - ($E45 + 5)), 0))
  )
)</f>
        <v>1112.59563954815</v>
      </c>
      <c r="AZ45" s="80" t="n">
        <f aca="false" t="array" ref="AZ45:AZ45">IF(COLUMN() - ($E45 + 5) &lt; 0, 0,
  IF(COLUMN() - ($E45 + 5) = 0, $F45,
    AY45 * (1 - IFERROR(INDEX('Inputs &amp; Assuptions'!$D$13:$D$72, COLUMN() - ($E45 + 5)), 0))
  )
)</f>
        <v>1110.92674608883</v>
      </c>
      <c r="BA45" s="80" t="n">
        <f aca="false" t="array" ref="BA45:BA45">IF(COLUMN() - ($E45 + 5) &lt; 0, 0,
  IF(COLUMN() - ($E45 + 5) = 0, $F45,
    AZ45 * (1 - IFERROR(INDEX('Inputs &amp; Assuptions'!$D$13:$D$72, COLUMN() - ($E45 + 5)), 0))
  )
)</f>
        <v>1109.48254131892</v>
      </c>
      <c r="BB45" s="80" t="n">
        <f aca="false" t="array" ref="BB45:BB45">IF(COLUMN() - ($E45 + 5) &lt; 0, 0,
  IF(COLUMN() - ($E45 + 5) = 0, $F45,
    BA45 * (1 - IFERROR(INDEX('Inputs &amp; Assuptions'!$D$13:$D$72, COLUMN() - ($E45 + 5)), 0))
  )
)</f>
        <v>1108.3730587776</v>
      </c>
      <c r="BC45" s="80" t="n">
        <f aca="false" t="array" ref="BC45:BC45">IF(COLUMN() - ($E45 + 5) &lt; 0, 0,
  IF(COLUMN() - ($E45 + 5) = 0, $F45,
    BB45 * (1 - IFERROR(INDEX('Inputs &amp; Assuptions'!$D$13:$D$72, COLUMN() - ($E45 + 5)), 0))
  )
)</f>
        <v>1107.48636033058</v>
      </c>
      <c r="BD45" s="80" t="n">
        <f aca="false" t="array" ref="BD45:BD45">IF(COLUMN() - ($E45 + 5) &lt; 0, 0,
  IF(COLUMN() - ($E45 + 5) = 0, $F45,
    BC45 * (1 - IFERROR(INDEX('Inputs &amp; Assuptions'!$D$13:$D$72, COLUMN() - ($E45 + 5)), 0))
  )
)</f>
        <v>1106.93261715041</v>
      </c>
      <c r="BE45" s="80" t="n">
        <f aca="false" t="array" ref="BE45:BE45">IF(COLUMN() - ($E45 + 5) &lt; 0, 0,
  IF(COLUMN() - ($E45 + 5) = 0, $F45,
    BD45 * (1 - IFERROR(INDEX('Inputs &amp; Assuptions'!$D$13:$D$72, COLUMN() - ($E45 + 5)), 0))
  )
)</f>
        <v>1106.37915084184</v>
      </c>
      <c r="BF45" s="80" t="n">
        <f aca="false" t="array" ref="BF45:BF45">IF(COLUMN() - ($E45 + 5) &lt; 0, 0,
  IF(COLUMN() - ($E45 + 5) = 0, $F45,
    BE45 * (1 - IFERROR(INDEX('Inputs &amp; Assuptions'!$D$13:$D$72, COLUMN() - ($E45 + 5)), 0))
  )
)</f>
        <v>1105.82596126641</v>
      </c>
      <c r="BG45" s="80" t="n">
        <f aca="false" t="array" ref="BG45:BG45">IF(COLUMN() - ($E45 + 5) &lt; 0, 0,
  IF(COLUMN() - ($E45 + 5) = 0, $F45,
    BF45 * (1 - IFERROR(INDEX('Inputs &amp; Assuptions'!$D$13:$D$72, COLUMN() - ($E45 + 5)), 0))
  )
)</f>
        <v>1105.27304828578</v>
      </c>
      <c r="BH45" s="80" t="n">
        <f aca="false" t="array" ref="BH45:BH45">IF(COLUMN() - ($E45 + 5) &lt; 0, 0,
  IF(COLUMN() - ($E45 + 5) = 0, $F45,
    BG45 * (1 - IFERROR(INDEX('Inputs &amp; Assuptions'!$D$13:$D$72, COLUMN() - ($E45 + 5)), 0))
  )
)</f>
        <v>1104.72041176164</v>
      </c>
      <c r="BI45" s="80" t="n">
        <f aca="false" t="array" ref="BI45:BI45">IF(COLUMN() - ($E45 + 5) &lt; 0, 0,
  IF(COLUMN() - ($E45 + 5) = 0, $F45,
    BH45 * (1 - IFERROR(INDEX('Inputs &amp; Assuptions'!$D$13:$D$72, COLUMN() - ($E45 + 5)), 0))
  )
)</f>
        <v>1104.16805155576</v>
      </c>
      <c r="BJ45" s="80" t="n">
        <f aca="false" t="array" ref="BJ45:BJ45">IF(COLUMN() - ($E45 + 5) &lt; 0, 0,
  IF(COLUMN() - ($E45 + 5) = 0, $F45,
    BI45 * (1 - IFERROR(INDEX('Inputs &amp; Assuptions'!$D$13:$D$72, COLUMN() - ($E45 + 5)), 0))
  )
)</f>
        <v>1103.61596752998</v>
      </c>
      <c r="BK45" s="80" t="n">
        <f aca="false" t="array" ref="BK45:BK45">IF(COLUMN() - ($E45 + 5) &lt; 0, 0,
  IF(COLUMN() - ($E45 + 5) = 0, $F45,
    BJ45 * (1 - IFERROR(INDEX('Inputs &amp; Assuptions'!$D$13:$D$72, COLUMN() - ($E45 + 5)), 0))
  )
)</f>
        <v>1103.06415954622</v>
      </c>
      <c r="BL45" s="80" t="n">
        <f aca="false" t="array" ref="BL45:BL45">IF(COLUMN() - ($E45 + 5) &lt; 0, 0,
  IF(COLUMN() - ($E45 + 5) = 0, $F45,
    BK45 * (1 - IFERROR(INDEX('Inputs &amp; Assuptions'!$D$13:$D$72, COLUMN() - ($E45 + 5)), 0))
  )
)</f>
        <v>1102.51262746644</v>
      </c>
      <c r="BM45" s="81" t="n">
        <f aca="false" t="array" ref="BM45:BM45">IF(COLUMN() - ($E45 + 5) &lt; 0, 0,
  IF(COLUMN() - ($E45 + 5) = 0, $F45,
    BL45 * (1 - IFERROR(INDEX('Inputs &amp; Assuptions'!$D$13:$D$72, COLUMN() - ($E45 + 5)), 0))
  )
)</f>
        <v>1101.96137115271</v>
      </c>
      <c r="BN45" s="76"/>
    </row>
    <row r="46" customFormat="false" ht="14.25" hidden="false" customHeight="false" outlineLevel="0" collapsed="false">
      <c r="A46" s="29" t="n">
        <f aca="false">A45+1</f>
        <v>41</v>
      </c>
      <c r="B46" s="77" t="n">
        <f aca="false">IF(MOD($A46-1, 12) = 0, $B45 * 1.05, $B45)</f>
        <v>1157.625</v>
      </c>
      <c r="C46" s="93" t="n">
        <f aca="false">$B46*(1-'Inputs &amp; Assuptions'!$D$12)</f>
        <v>1132.15725</v>
      </c>
      <c r="E46" s="29" t="n">
        <f aca="false">E45+1</f>
        <v>41</v>
      </c>
      <c r="F46" s="7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 t="n">
        <f aca="false">$C46</f>
        <v>1132.15725</v>
      </c>
      <c r="AU46" s="80" t="n">
        <f aca="false" t="array" ref="AU46:AU46">IF(COLUMN() - ($E46 + 5) &lt; 0, 0,
  IF(COLUMN() - ($E46 + 5) = 0, $F46,
    AT46 * (1 - IFERROR(INDEX('Inputs &amp; Assuptions'!$D$13:$D$72, COLUMN() - ($E46 + 5)), 0))
  )
)</f>
        <v>1126.49646375</v>
      </c>
      <c r="AV46" s="80" t="n">
        <f aca="false" t="array" ref="AV46:AV46">IF(COLUMN() - ($E46 + 5) &lt; 0, 0,
  IF(COLUMN() - ($E46 + 5) = 0, $F46,
    AU46 * (1 - IFERROR(INDEX('Inputs &amp; Assuptions'!$D$13:$D$72, COLUMN() - ($E46 + 5)), 0))
  )
)</f>
        <v>1122.21577718775</v>
      </c>
      <c r="AW46" s="80" t="n">
        <f aca="false" t="array" ref="AW46:AW46">IF(COLUMN() - ($E46 + 5) &lt; 0, 0,
  IF(COLUMN() - ($E46 + 5) = 0, $F46,
    AV46 * (1 - IFERROR(INDEX('Inputs &amp; Assuptions'!$D$13:$D$72, COLUMN() - ($E46 + 5)), 0))
  )
)</f>
        <v>1119.41023774478</v>
      </c>
      <c r="AX46" s="80" t="n">
        <f aca="false" t="array" ref="AX46:AX46">IF(COLUMN() - ($E46 + 5) &lt; 0, 0,
  IF(COLUMN() - ($E46 + 5) = 0, $F46,
    AW46 * (1 - IFERROR(INDEX('Inputs &amp; Assuptions'!$D$13:$D$72, COLUMN() - ($E46 + 5)), 0))
  )
)</f>
        <v>1116.83559419797</v>
      </c>
      <c r="AY46" s="80" t="n">
        <f aca="false" t="array" ref="AY46:AY46">IF(COLUMN() - ($E46 + 5) &lt; 0, 0,
  IF(COLUMN() - ($E46 + 5) = 0, $F46,
    AX46 * (1 - IFERROR(INDEX('Inputs &amp; Assuptions'!$D$13:$D$72, COLUMN() - ($E46 + 5)), 0))
  )
)</f>
        <v>1114.60192300957</v>
      </c>
      <c r="AZ46" s="80" t="n">
        <f aca="false" t="array" ref="AZ46:AZ46">IF(COLUMN() - ($E46 + 5) &lt; 0, 0,
  IF(COLUMN() - ($E46 + 5) = 0, $F46,
    AY46 * (1 - IFERROR(INDEX('Inputs &amp; Assuptions'!$D$13:$D$72, COLUMN() - ($E46 + 5)), 0))
  )
)</f>
        <v>1112.59563954815</v>
      </c>
      <c r="BA46" s="80" t="n">
        <f aca="false" t="array" ref="BA46:BA46">IF(COLUMN() - ($E46 + 5) &lt; 0, 0,
  IF(COLUMN() - ($E46 + 5) = 0, $F46,
    AZ46 * (1 - IFERROR(INDEX('Inputs &amp; Assuptions'!$D$13:$D$72, COLUMN() - ($E46 + 5)), 0))
  )
)</f>
        <v>1110.92674608883</v>
      </c>
      <c r="BB46" s="80" t="n">
        <f aca="false" t="array" ref="BB46:BB46">IF(COLUMN() - ($E46 + 5) &lt; 0, 0,
  IF(COLUMN() - ($E46 + 5) = 0, $F46,
    BA46 * (1 - IFERROR(INDEX('Inputs &amp; Assuptions'!$D$13:$D$72, COLUMN() - ($E46 + 5)), 0))
  )
)</f>
        <v>1109.48254131892</v>
      </c>
      <c r="BC46" s="80" t="n">
        <f aca="false" t="array" ref="BC46:BC46">IF(COLUMN() - ($E46 + 5) &lt; 0, 0,
  IF(COLUMN() - ($E46 + 5) = 0, $F46,
    BB46 * (1 - IFERROR(INDEX('Inputs &amp; Assuptions'!$D$13:$D$72, COLUMN() - ($E46 + 5)), 0))
  )
)</f>
        <v>1108.3730587776</v>
      </c>
      <c r="BD46" s="80" t="n">
        <f aca="false" t="array" ref="BD46:BD46">IF(COLUMN() - ($E46 + 5) &lt; 0, 0,
  IF(COLUMN() - ($E46 + 5) = 0, $F46,
    BC46 * (1 - IFERROR(INDEX('Inputs &amp; Assuptions'!$D$13:$D$72, COLUMN() - ($E46 + 5)), 0))
  )
)</f>
        <v>1107.48636033058</v>
      </c>
      <c r="BE46" s="80" t="n">
        <f aca="false" t="array" ref="BE46:BE46">IF(COLUMN() - ($E46 + 5) &lt; 0, 0,
  IF(COLUMN() - ($E46 + 5) = 0, $F46,
    BD46 * (1 - IFERROR(INDEX('Inputs &amp; Assuptions'!$D$13:$D$72, COLUMN() - ($E46 + 5)), 0))
  )
)</f>
        <v>1106.93261715041</v>
      </c>
      <c r="BF46" s="80" t="n">
        <f aca="false" t="array" ref="BF46:BF46">IF(COLUMN() - ($E46 + 5) &lt; 0, 0,
  IF(COLUMN() - ($E46 + 5) = 0, $F46,
    BE46 * (1 - IFERROR(INDEX('Inputs &amp; Assuptions'!$D$13:$D$72, COLUMN() - ($E46 + 5)), 0))
  )
)</f>
        <v>1106.37915084184</v>
      </c>
      <c r="BG46" s="80" t="n">
        <f aca="false" t="array" ref="BG46:BG46">IF(COLUMN() - ($E46 + 5) &lt; 0, 0,
  IF(COLUMN() - ($E46 + 5) = 0, $F46,
    BF46 * (1 - IFERROR(INDEX('Inputs &amp; Assuptions'!$D$13:$D$72, COLUMN() - ($E46 + 5)), 0))
  )
)</f>
        <v>1105.82596126641</v>
      </c>
      <c r="BH46" s="80" t="n">
        <f aca="false" t="array" ref="BH46:BH46">IF(COLUMN() - ($E46 + 5) &lt; 0, 0,
  IF(COLUMN() - ($E46 + 5) = 0, $F46,
    BG46 * (1 - IFERROR(INDEX('Inputs &amp; Assuptions'!$D$13:$D$72, COLUMN() - ($E46 + 5)), 0))
  )
)</f>
        <v>1105.27304828578</v>
      </c>
      <c r="BI46" s="80" t="n">
        <f aca="false" t="array" ref="BI46:BI46">IF(COLUMN() - ($E46 + 5) &lt; 0, 0,
  IF(COLUMN() - ($E46 + 5) = 0, $F46,
    BH46 * (1 - IFERROR(INDEX('Inputs &amp; Assuptions'!$D$13:$D$72, COLUMN() - ($E46 + 5)), 0))
  )
)</f>
        <v>1104.72041176164</v>
      </c>
      <c r="BJ46" s="80" t="n">
        <f aca="false" t="array" ref="BJ46:BJ46">IF(COLUMN() - ($E46 + 5) &lt; 0, 0,
  IF(COLUMN() - ($E46 + 5) = 0, $F46,
    BI46 * (1 - IFERROR(INDEX('Inputs &amp; Assuptions'!$D$13:$D$72, COLUMN() - ($E46 + 5)), 0))
  )
)</f>
        <v>1104.16805155576</v>
      </c>
      <c r="BK46" s="80" t="n">
        <f aca="false" t="array" ref="BK46:BK46">IF(COLUMN() - ($E46 + 5) &lt; 0, 0,
  IF(COLUMN() - ($E46 + 5) = 0, $F46,
    BJ46 * (1 - IFERROR(INDEX('Inputs &amp; Assuptions'!$D$13:$D$72, COLUMN() - ($E46 + 5)), 0))
  )
)</f>
        <v>1103.61596752998</v>
      </c>
      <c r="BL46" s="80" t="n">
        <f aca="false" t="array" ref="BL46:BL46">IF(COLUMN() - ($E46 + 5) &lt; 0, 0,
  IF(COLUMN() - ($E46 + 5) = 0, $F46,
    BK46 * (1 - IFERROR(INDEX('Inputs &amp; Assuptions'!$D$13:$D$72, COLUMN() - ($E46 + 5)), 0))
  )
)</f>
        <v>1103.06415954622</v>
      </c>
      <c r="BM46" s="81" t="n">
        <f aca="false" t="array" ref="BM46:BM46">IF(COLUMN() - ($E46 + 5) &lt; 0, 0,
  IF(COLUMN() - ($E46 + 5) = 0, $F46,
    BL46 * (1 - IFERROR(INDEX('Inputs &amp; Assuptions'!$D$13:$D$72, COLUMN() - ($E46 + 5)), 0))
  )
)</f>
        <v>1102.51262746644</v>
      </c>
      <c r="BN46" s="76"/>
    </row>
    <row r="47" customFormat="false" ht="14.25" hidden="false" customHeight="false" outlineLevel="0" collapsed="false">
      <c r="A47" s="29" t="n">
        <f aca="false">A46+1</f>
        <v>42</v>
      </c>
      <c r="B47" s="77" t="n">
        <f aca="false">IF(MOD($A47-1, 12) = 0, $B46 * 1.05, $B46)</f>
        <v>1157.625</v>
      </c>
      <c r="C47" s="93" t="n">
        <f aca="false">$B47*(1-'Inputs &amp; Assuptions'!$D$12)</f>
        <v>1132.15725</v>
      </c>
      <c r="E47" s="29" t="n">
        <f aca="false">E46+1</f>
        <v>42</v>
      </c>
      <c r="F47" s="7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 t="n">
        <f aca="false">$C47</f>
        <v>1132.15725</v>
      </c>
      <c r="AV47" s="80" t="n">
        <f aca="false" t="array" ref="AV47:AV47">IF(COLUMN() - ($E47 + 5) &lt; 0, 0,
  IF(COLUMN() - ($E47 + 5) = 0, $F47,
    AU47 * (1 - IFERROR(INDEX('Inputs &amp; Assuptions'!$D$13:$D$72, COLUMN() - ($E47 + 5)), 0))
  )
)</f>
        <v>1126.49646375</v>
      </c>
      <c r="AW47" s="80" t="n">
        <f aca="false" t="array" ref="AW47:AW47">IF(COLUMN() - ($E47 + 5) &lt; 0, 0,
  IF(COLUMN() - ($E47 + 5) = 0, $F47,
    AV47 * (1 - IFERROR(INDEX('Inputs &amp; Assuptions'!$D$13:$D$72, COLUMN() - ($E47 + 5)), 0))
  )
)</f>
        <v>1122.21577718775</v>
      </c>
      <c r="AX47" s="80" t="n">
        <f aca="false" t="array" ref="AX47:AX47">IF(COLUMN() - ($E47 + 5) &lt; 0, 0,
  IF(COLUMN() - ($E47 + 5) = 0, $F47,
    AW47 * (1 - IFERROR(INDEX('Inputs &amp; Assuptions'!$D$13:$D$72, COLUMN() - ($E47 + 5)), 0))
  )
)</f>
        <v>1119.41023774478</v>
      </c>
      <c r="AY47" s="80" t="n">
        <f aca="false" t="array" ref="AY47:AY47">IF(COLUMN() - ($E47 + 5) &lt; 0, 0,
  IF(COLUMN() - ($E47 + 5) = 0, $F47,
    AX47 * (1 - IFERROR(INDEX('Inputs &amp; Assuptions'!$D$13:$D$72, COLUMN() - ($E47 + 5)), 0))
  )
)</f>
        <v>1116.83559419797</v>
      </c>
      <c r="AZ47" s="80" t="n">
        <f aca="false" t="array" ref="AZ47:AZ47">IF(COLUMN() - ($E47 + 5) &lt; 0, 0,
  IF(COLUMN() - ($E47 + 5) = 0, $F47,
    AY47 * (1 - IFERROR(INDEX('Inputs &amp; Assuptions'!$D$13:$D$72, COLUMN() - ($E47 + 5)), 0))
  )
)</f>
        <v>1114.60192300957</v>
      </c>
      <c r="BA47" s="80" t="n">
        <f aca="false" t="array" ref="BA47:BA47">IF(COLUMN() - ($E47 + 5) &lt; 0, 0,
  IF(COLUMN() - ($E47 + 5) = 0, $F47,
    AZ47 * (1 - IFERROR(INDEX('Inputs &amp; Assuptions'!$D$13:$D$72, COLUMN() - ($E47 + 5)), 0))
  )
)</f>
        <v>1112.59563954815</v>
      </c>
      <c r="BB47" s="80" t="n">
        <f aca="false" t="array" ref="BB47:BB47">IF(COLUMN() - ($E47 + 5) &lt; 0, 0,
  IF(COLUMN() - ($E47 + 5) = 0, $F47,
    BA47 * (1 - IFERROR(INDEX('Inputs &amp; Assuptions'!$D$13:$D$72, COLUMN() - ($E47 + 5)), 0))
  )
)</f>
        <v>1110.92674608883</v>
      </c>
      <c r="BC47" s="80" t="n">
        <f aca="false" t="array" ref="BC47:BC47">IF(COLUMN() - ($E47 + 5) &lt; 0, 0,
  IF(COLUMN() - ($E47 + 5) = 0, $F47,
    BB47 * (1 - IFERROR(INDEX('Inputs &amp; Assuptions'!$D$13:$D$72, COLUMN() - ($E47 + 5)), 0))
  )
)</f>
        <v>1109.48254131892</v>
      </c>
      <c r="BD47" s="80" t="n">
        <f aca="false" t="array" ref="BD47:BD47">IF(COLUMN() - ($E47 + 5) &lt; 0, 0,
  IF(COLUMN() - ($E47 + 5) = 0, $F47,
    BC47 * (1 - IFERROR(INDEX('Inputs &amp; Assuptions'!$D$13:$D$72, COLUMN() - ($E47 + 5)), 0))
  )
)</f>
        <v>1108.3730587776</v>
      </c>
      <c r="BE47" s="80" t="n">
        <f aca="false" t="array" ref="BE47:BE47">IF(COLUMN() - ($E47 + 5) &lt; 0, 0,
  IF(COLUMN() - ($E47 + 5) = 0, $F47,
    BD47 * (1 - IFERROR(INDEX('Inputs &amp; Assuptions'!$D$13:$D$72, COLUMN() - ($E47 + 5)), 0))
  )
)</f>
        <v>1107.48636033058</v>
      </c>
      <c r="BF47" s="80" t="n">
        <f aca="false" t="array" ref="BF47:BF47">IF(COLUMN() - ($E47 + 5) &lt; 0, 0,
  IF(COLUMN() - ($E47 + 5) = 0, $F47,
    BE47 * (1 - IFERROR(INDEX('Inputs &amp; Assuptions'!$D$13:$D$72, COLUMN() - ($E47 + 5)), 0))
  )
)</f>
        <v>1106.93261715041</v>
      </c>
      <c r="BG47" s="80" t="n">
        <f aca="false" t="array" ref="BG47:BG47">IF(COLUMN() - ($E47 + 5) &lt; 0, 0,
  IF(COLUMN() - ($E47 + 5) = 0, $F47,
    BF47 * (1 - IFERROR(INDEX('Inputs &amp; Assuptions'!$D$13:$D$72, COLUMN() - ($E47 + 5)), 0))
  )
)</f>
        <v>1106.37915084184</v>
      </c>
      <c r="BH47" s="80" t="n">
        <f aca="false" t="array" ref="BH47:BH47">IF(COLUMN() - ($E47 + 5) &lt; 0, 0,
  IF(COLUMN() - ($E47 + 5) = 0, $F47,
    BG47 * (1 - IFERROR(INDEX('Inputs &amp; Assuptions'!$D$13:$D$72, COLUMN() - ($E47 + 5)), 0))
  )
)</f>
        <v>1105.82596126641</v>
      </c>
      <c r="BI47" s="80" t="n">
        <f aca="false" t="array" ref="BI47:BI47">IF(COLUMN() - ($E47 + 5) &lt; 0, 0,
  IF(COLUMN() - ($E47 + 5) = 0, $F47,
    BH47 * (1 - IFERROR(INDEX('Inputs &amp; Assuptions'!$D$13:$D$72, COLUMN() - ($E47 + 5)), 0))
  )
)</f>
        <v>1105.27304828578</v>
      </c>
      <c r="BJ47" s="80" t="n">
        <f aca="false" t="array" ref="BJ47:BJ47">IF(COLUMN() - ($E47 + 5) &lt; 0, 0,
  IF(COLUMN() - ($E47 + 5) = 0, $F47,
    BI47 * (1 - IFERROR(INDEX('Inputs &amp; Assuptions'!$D$13:$D$72, COLUMN() - ($E47 + 5)), 0))
  )
)</f>
        <v>1104.72041176164</v>
      </c>
      <c r="BK47" s="80" t="n">
        <f aca="false" t="array" ref="BK47:BK47">IF(COLUMN() - ($E47 + 5) &lt; 0, 0,
  IF(COLUMN() - ($E47 + 5) = 0, $F47,
    BJ47 * (1 - IFERROR(INDEX('Inputs &amp; Assuptions'!$D$13:$D$72, COLUMN() - ($E47 + 5)), 0))
  )
)</f>
        <v>1104.16805155576</v>
      </c>
      <c r="BL47" s="80" t="n">
        <f aca="false" t="array" ref="BL47:BL47">IF(COLUMN() - ($E47 + 5) &lt; 0, 0,
  IF(COLUMN() - ($E47 + 5) = 0, $F47,
    BK47 * (1 - IFERROR(INDEX('Inputs &amp; Assuptions'!$D$13:$D$72, COLUMN() - ($E47 + 5)), 0))
  )
)</f>
        <v>1103.61596752998</v>
      </c>
      <c r="BM47" s="81" t="n">
        <f aca="false" t="array" ref="BM47:BM47">IF(COLUMN() - ($E47 + 5) &lt; 0, 0,
  IF(COLUMN() - ($E47 + 5) = 0, $F47,
    BL47 * (1 - IFERROR(INDEX('Inputs &amp; Assuptions'!$D$13:$D$72, COLUMN() - ($E47 + 5)), 0))
  )
)</f>
        <v>1103.06415954622</v>
      </c>
      <c r="BN47" s="76"/>
    </row>
    <row r="48" customFormat="false" ht="14.25" hidden="false" customHeight="false" outlineLevel="0" collapsed="false">
      <c r="A48" s="29" t="n">
        <f aca="false">A47+1</f>
        <v>43</v>
      </c>
      <c r="B48" s="77" t="n">
        <f aca="false">IF(MOD($A48-1, 12) = 0, $B47 * 1.05, $B47)</f>
        <v>1157.625</v>
      </c>
      <c r="C48" s="93" t="n">
        <f aca="false">$B48*(1-'Inputs &amp; Assuptions'!$D$12)</f>
        <v>1132.15725</v>
      </c>
      <c r="E48" s="29" t="n">
        <f aca="false">E47+1</f>
        <v>43</v>
      </c>
      <c r="F48" s="7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 t="n">
        <f aca="false">$C48</f>
        <v>1132.15725</v>
      </c>
      <c r="AW48" s="80" t="n">
        <f aca="false" t="array" ref="AW48:AW48">IF(COLUMN() - ($E48 + 5) &lt; 0, 0,
  IF(COLUMN() - ($E48 + 5) = 0, $F48,
    AV48 * (1 - IFERROR(INDEX('Inputs &amp; Assuptions'!$D$13:$D$72, COLUMN() - ($E48 + 5)), 0))
  )
)</f>
        <v>1126.49646375</v>
      </c>
      <c r="AX48" s="80" t="n">
        <f aca="false" t="array" ref="AX48:AX48">IF(COLUMN() - ($E48 + 5) &lt; 0, 0,
  IF(COLUMN() - ($E48 + 5) = 0, $F48,
    AW48 * (1 - IFERROR(INDEX('Inputs &amp; Assuptions'!$D$13:$D$72, COLUMN() - ($E48 + 5)), 0))
  )
)</f>
        <v>1122.21577718775</v>
      </c>
      <c r="AY48" s="80" t="n">
        <f aca="false" t="array" ref="AY48:AY48">IF(COLUMN() - ($E48 + 5) &lt; 0, 0,
  IF(COLUMN() - ($E48 + 5) = 0, $F48,
    AX48 * (1 - IFERROR(INDEX('Inputs &amp; Assuptions'!$D$13:$D$72, COLUMN() - ($E48 + 5)), 0))
  )
)</f>
        <v>1119.41023774478</v>
      </c>
      <c r="AZ48" s="80" t="n">
        <f aca="false" t="array" ref="AZ48:AZ48">IF(COLUMN() - ($E48 + 5) &lt; 0, 0,
  IF(COLUMN() - ($E48 + 5) = 0, $F48,
    AY48 * (1 - IFERROR(INDEX('Inputs &amp; Assuptions'!$D$13:$D$72, COLUMN() - ($E48 + 5)), 0))
  )
)</f>
        <v>1116.83559419797</v>
      </c>
      <c r="BA48" s="80" t="n">
        <f aca="false" t="array" ref="BA48:BA48">IF(COLUMN() - ($E48 + 5) &lt; 0, 0,
  IF(COLUMN() - ($E48 + 5) = 0, $F48,
    AZ48 * (1 - IFERROR(INDEX('Inputs &amp; Assuptions'!$D$13:$D$72, COLUMN() - ($E48 + 5)), 0))
  )
)</f>
        <v>1114.60192300957</v>
      </c>
      <c r="BB48" s="80" t="n">
        <f aca="false" t="array" ref="BB48:BB48">IF(COLUMN() - ($E48 + 5) &lt; 0, 0,
  IF(COLUMN() - ($E48 + 5) = 0, $F48,
    BA48 * (1 - IFERROR(INDEX('Inputs &amp; Assuptions'!$D$13:$D$72, COLUMN() - ($E48 + 5)), 0))
  )
)</f>
        <v>1112.59563954815</v>
      </c>
      <c r="BC48" s="80" t="n">
        <f aca="false" t="array" ref="BC48:BC48">IF(COLUMN() - ($E48 + 5) &lt; 0, 0,
  IF(COLUMN() - ($E48 + 5) = 0, $F48,
    BB48 * (1 - IFERROR(INDEX('Inputs &amp; Assuptions'!$D$13:$D$72, COLUMN() - ($E48 + 5)), 0))
  )
)</f>
        <v>1110.92674608883</v>
      </c>
      <c r="BD48" s="80" t="n">
        <f aca="false" t="array" ref="BD48:BD48">IF(COLUMN() - ($E48 + 5) &lt; 0, 0,
  IF(COLUMN() - ($E48 + 5) = 0, $F48,
    BC48 * (1 - IFERROR(INDEX('Inputs &amp; Assuptions'!$D$13:$D$72, COLUMN() - ($E48 + 5)), 0))
  )
)</f>
        <v>1109.48254131892</v>
      </c>
      <c r="BE48" s="80" t="n">
        <f aca="false" t="array" ref="BE48:BE48">IF(COLUMN() - ($E48 + 5) &lt; 0, 0,
  IF(COLUMN() - ($E48 + 5) = 0, $F48,
    BD48 * (1 - IFERROR(INDEX('Inputs &amp; Assuptions'!$D$13:$D$72, COLUMN() - ($E48 + 5)), 0))
  )
)</f>
        <v>1108.3730587776</v>
      </c>
      <c r="BF48" s="80" t="n">
        <f aca="false" t="array" ref="BF48:BF48">IF(COLUMN() - ($E48 + 5) &lt; 0, 0,
  IF(COLUMN() - ($E48 + 5) = 0, $F48,
    BE48 * (1 - IFERROR(INDEX('Inputs &amp; Assuptions'!$D$13:$D$72, COLUMN() - ($E48 + 5)), 0))
  )
)</f>
        <v>1107.48636033058</v>
      </c>
      <c r="BG48" s="80" t="n">
        <f aca="false" t="array" ref="BG48:BG48">IF(COLUMN() - ($E48 + 5) &lt; 0, 0,
  IF(COLUMN() - ($E48 + 5) = 0, $F48,
    BF48 * (1 - IFERROR(INDEX('Inputs &amp; Assuptions'!$D$13:$D$72, COLUMN() - ($E48 + 5)), 0))
  )
)</f>
        <v>1106.93261715041</v>
      </c>
      <c r="BH48" s="80" t="n">
        <f aca="false" t="array" ref="BH48:BH48">IF(COLUMN() - ($E48 + 5) &lt; 0, 0,
  IF(COLUMN() - ($E48 + 5) = 0, $F48,
    BG48 * (1 - IFERROR(INDEX('Inputs &amp; Assuptions'!$D$13:$D$72, COLUMN() - ($E48 + 5)), 0))
  )
)</f>
        <v>1106.37915084184</v>
      </c>
      <c r="BI48" s="80" t="n">
        <f aca="false" t="array" ref="BI48:BI48">IF(COLUMN() - ($E48 + 5) &lt; 0, 0,
  IF(COLUMN() - ($E48 + 5) = 0, $F48,
    BH48 * (1 - IFERROR(INDEX('Inputs &amp; Assuptions'!$D$13:$D$72, COLUMN() - ($E48 + 5)), 0))
  )
)</f>
        <v>1105.82596126641</v>
      </c>
      <c r="BJ48" s="80" t="n">
        <f aca="false" t="array" ref="BJ48:BJ48">IF(COLUMN() - ($E48 + 5) &lt; 0, 0,
  IF(COLUMN() - ($E48 + 5) = 0, $F48,
    BI48 * (1 - IFERROR(INDEX('Inputs &amp; Assuptions'!$D$13:$D$72, COLUMN() - ($E48 + 5)), 0))
  )
)</f>
        <v>1105.27304828578</v>
      </c>
      <c r="BK48" s="80" t="n">
        <f aca="false" t="array" ref="BK48:BK48">IF(COLUMN() - ($E48 + 5) &lt; 0, 0,
  IF(COLUMN() - ($E48 + 5) = 0, $F48,
    BJ48 * (1 - IFERROR(INDEX('Inputs &amp; Assuptions'!$D$13:$D$72, COLUMN() - ($E48 + 5)), 0))
  )
)</f>
        <v>1104.72041176164</v>
      </c>
      <c r="BL48" s="80" t="n">
        <f aca="false" t="array" ref="BL48:BL48">IF(COLUMN() - ($E48 + 5) &lt; 0, 0,
  IF(COLUMN() - ($E48 + 5) = 0, $F48,
    BK48 * (1 - IFERROR(INDEX('Inputs &amp; Assuptions'!$D$13:$D$72, COLUMN() - ($E48 + 5)), 0))
  )
)</f>
        <v>1104.16805155576</v>
      </c>
      <c r="BM48" s="81" t="n">
        <f aca="false" t="array" ref="BM48:BM48">IF(COLUMN() - ($E48 + 5) &lt; 0, 0,
  IF(COLUMN() - ($E48 + 5) = 0, $F48,
    BL48 * (1 - IFERROR(INDEX('Inputs &amp; Assuptions'!$D$13:$D$72, COLUMN() - ($E48 + 5)), 0))
  )
)</f>
        <v>1103.61596752998</v>
      </c>
      <c r="BN48" s="76"/>
    </row>
    <row r="49" customFormat="false" ht="14.25" hidden="false" customHeight="false" outlineLevel="0" collapsed="false">
      <c r="A49" s="29" t="n">
        <f aca="false">A48+1</f>
        <v>44</v>
      </c>
      <c r="B49" s="77" t="n">
        <f aca="false">IF(MOD($A49-1, 12) = 0, $B48 * 1.05, $B48)</f>
        <v>1157.625</v>
      </c>
      <c r="C49" s="93" t="n">
        <f aca="false">$B49*(1-'Inputs &amp; Assuptions'!$D$12)</f>
        <v>1132.15725</v>
      </c>
      <c r="E49" s="29" t="n">
        <f aca="false">E48+1</f>
        <v>44</v>
      </c>
      <c r="F49" s="7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 t="n">
        <f aca="false">$C49</f>
        <v>1132.15725</v>
      </c>
      <c r="AX49" s="80" t="n">
        <f aca="false" t="array" ref="AX49:AX49">IF(COLUMN() - ($E49 + 5) &lt; 0, 0,
  IF(COLUMN() - ($E49 + 5) = 0, $F49,
    AW49 * (1 - IFERROR(INDEX('Inputs &amp; Assuptions'!$D$13:$D$72, COLUMN() - ($E49 + 5)), 0))
  )
)</f>
        <v>1126.49646375</v>
      </c>
      <c r="AY49" s="80" t="n">
        <f aca="false" t="array" ref="AY49:AY49">IF(COLUMN() - ($E49 + 5) &lt; 0, 0,
  IF(COLUMN() - ($E49 + 5) = 0, $F49,
    AX49 * (1 - IFERROR(INDEX('Inputs &amp; Assuptions'!$D$13:$D$72, COLUMN() - ($E49 + 5)), 0))
  )
)</f>
        <v>1122.21577718775</v>
      </c>
      <c r="AZ49" s="80" t="n">
        <f aca="false" t="array" ref="AZ49:AZ49">IF(COLUMN() - ($E49 + 5) &lt; 0, 0,
  IF(COLUMN() - ($E49 + 5) = 0, $F49,
    AY49 * (1 - IFERROR(INDEX('Inputs &amp; Assuptions'!$D$13:$D$72, COLUMN() - ($E49 + 5)), 0))
  )
)</f>
        <v>1119.41023774478</v>
      </c>
      <c r="BA49" s="80" t="n">
        <f aca="false" t="array" ref="BA49:BA49">IF(COLUMN() - ($E49 + 5) &lt; 0, 0,
  IF(COLUMN() - ($E49 + 5) = 0, $F49,
    AZ49 * (1 - IFERROR(INDEX('Inputs &amp; Assuptions'!$D$13:$D$72, COLUMN() - ($E49 + 5)), 0))
  )
)</f>
        <v>1116.83559419797</v>
      </c>
      <c r="BB49" s="80" t="n">
        <f aca="false" t="array" ref="BB49:BB49">IF(COLUMN() - ($E49 + 5) &lt; 0, 0,
  IF(COLUMN() - ($E49 + 5) = 0, $F49,
    BA49 * (1 - IFERROR(INDEX('Inputs &amp; Assuptions'!$D$13:$D$72, COLUMN() - ($E49 + 5)), 0))
  )
)</f>
        <v>1114.60192300957</v>
      </c>
      <c r="BC49" s="80" t="n">
        <f aca="false" t="array" ref="BC49:BC49">IF(COLUMN() - ($E49 + 5) &lt; 0, 0,
  IF(COLUMN() - ($E49 + 5) = 0, $F49,
    BB49 * (1 - IFERROR(INDEX('Inputs &amp; Assuptions'!$D$13:$D$72, COLUMN() - ($E49 + 5)), 0))
  )
)</f>
        <v>1112.59563954815</v>
      </c>
      <c r="BD49" s="80" t="n">
        <f aca="false" t="array" ref="BD49:BD49">IF(COLUMN() - ($E49 + 5) &lt; 0, 0,
  IF(COLUMN() - ($E49 + 5) = 0, $F49,
    BC49 * (1 - IFERROR(INDEX('Inputs &amp; Assuptions'!$D$13:$D$72, COLUMN() - ($E49 + 5)), 0))
  )
)</f>
        <v>1110.92674608883</v>
      </c>
      <c r="BE49" s="80" t="n">
        <f aca="false" t="array" ref="BE49:BE49">IF(COLUMN() - ($E49 + 5) &lt; 0, 0,
  IF(COLUMN() - ($E49 + 5) = 0, $F49,
    BD49 * (1 - IFERROR(INDEX('Inputs &amp; Assuptions'!$D$13:$D$72, COLUMN() - ($E49 + 5)), 0))
  )
)</f>
        <v>1109.48254131892</v>
      </c>
      <c r="BF49" s="80" t="n">
        <f aca="false" t="array" ref="BF49:BF49">IF(COLUMN() - ($E49 + 5) &lt; 0, 0,
  IF(COLUMN() - ($E49 + 5) = 0, $F49,
    BE49 * (1 - IFERROR(INDEX('Inputs &amp; Assuptions'!$D$13:$D$72, COLUMN() - ($E49 + 5)), 0))
  )
)</f>
        <v>1108.3730587776</v>
      </c>
      <c r="BG49" s="80" t="n">
        <f aca="false" t="array" ref="BG49:BG49">IF(COLUMN() - ($E49 + 5) &lt; 0, 0,
  IF(COLUMN() - ($E49 + 5) = 0, $F49,
    BF49 * (1 - IFERROR(INDEX('Inputs &amp; Assuptions'!$D$13:$D$72, COLUMN() - ($E49 + 5)), 0))
  )
)</f>
        <v>1107.48636033058</v>
      </c>
      <c r="BH49" s="80" t="n">
        <f aca="false" t="array" ref="BH49:BH49">IF(COLUMN() - ($E49 + 5) &lt; 0, 0,
  IF(COLUMN() - ($E49 + 5) = 0, $F49,
    BG49 * (1 - IFERROR(INDEX('Inputs &amp; Assuptions'!$D$13:$D$72, COLUMN() - ($E49 + 5)), 0))
  )
)</f>
        <v>1106.93261715041</v>
      </c>
      <c r="BI49" s="80" t="n">
        <f aca="false" t="array" ref="BI49:BI49">IF(COLUMN() - ($E49 + 5) &lt; 0, 0,
  IF(COLUMN() - ($E49 + 5) = 0, $F49,
    BH49 * (1 - IFERROR(INDEX('Inputs &amp; Assuptions'!$D$13:$D$72, COLUMN() - ($E49 + 5)), 0))
  )
)</f>
        <v>1106.37915084184</v>
      </c>
      <c r="BJ49" s="80" t="n">
        <f aca="false" t="array" ref="BJ49:BJ49">IF(COLUMN() - ($E49 + 5) &lt; 0, 0,
  IF(COLUMN() - ($E49 + 5) = 0, $F49,
    BI49 * (1 - IFERROR(INDEX('Inputs &amp; Assuptions'!$D$13:$D$72, COLUMN() - ($E49 + 5)), 0))
  )
)</f>
        <v>1105.82596126641</v>
      </c>
      <c r="BK49" s="80" t="n">
        <f aca="false" t="array" ref="BK49:BK49">IF(COLUMN() - ($E49 + 5) &lt; 0, 0,
  IF(COLUMN() - ($E49 + 5) = 0, $F49,
    BJ49 * (1 - IFERROR(INDEX('Inputs &amp; Assuptions'!$D$13:$D$72, COLUMN() - ($E49 + 5)), 0))
  )
)</f>
        <v>1105.27304828578</v>
      </c>
      <c r="BL49" s="80" t="n">
        <f aca="false" t="array" ref="BL49:BL49">IF(COLUMN() - ($E49 + 5) &lt; 0, 0,
  IF(COLUMN() - ($E49 + 5) = 0, $F49,
    BK49 * (1 - IFERROR(INDEX('Inputs &amp; Assuptions'!$D$13:$D$72, COLUMN() - ($E49 + 5)), 0))
  )
)</f>
        <v>1104.72041176164</v>
      </c>
      <c r="BM49" s="81" t="n">
        <f aca="false" t="array" ref="BM49:BM49">IF(COLUMN() - ($E49 + 5) &lt; 0, 0,
  IF(COLUMN() - ($E49 + 5) = 0, $F49,
    BL49 * (1 - IFERROR(INDEX('Inputs &amp; Assuptions'!$D$13:$D$72, COLUMN() - ($E49 + 5)), 0))
  )
)</f>
        <v>1104.16805155576</v>
      </c>
      <c r="BN49" s="76"/>
    </row>
    <row r="50" customFormat="false" ht="14.25" hidden="false" customHeight="false" outlineLevel="0" collapsed="false">
      <c r="A50" s="29" t="n">
        <f aca="false">A49+1</f>
        <v>45</v>
      </c>
      <c r="B50" s="77" t="n">
        <f aca="false">IF(MOD($A50-1, 12) = 0, $B49 * 1.05, $B49)</f>
        <v>1157.625</v>
      </c>
      <c r="C50" s="93" t="n">
        <f aca="false">$B50*(1-'Inputs &amp; Assuptions'!$D$12)</f>
        <v>1132.15725</v>
      </c>
      <c r="E50" s="29" t="n">
        <f aca="false">E49+1</f>
        <v>45</v>
      </c>
      <c r="F50" s="79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 t="n">
        <f aca="false">$C50</f>
        <v>1132.15725</v>
      </c>
      <c r="AY50" s="80" t="n">
        <f aca="false" t="array" ref="AY50:AY50">IF(COLUMN() - ($E50 + 5) &lt; 0, 0,
  IF(COLUMN() - ($E50 + 5) = 0, $F50,
    AX50 * (1 - IFERROR(INDEX('Inputs &amp; Assuptions'!$D$13:$D$72, COLUMN() - ($E50 + 5)), 0))
  )
)</f>
        <v>1126.49646375</v>
      </c>
      <c r="AZ50" s="80" t="n">
        <f aca="false" t="array" ref="AZ50:AZ50">IF(COLUMN() - ($E50 + 5) &lt; 0, 0,
  IF(COLUMN() - ($E50 + 5) = 0, $F50,
    AY50 * (1 - IFERROR(INDEX('Inputs &amp; Assuptions'!$D$13:$D$72, COLUMN() - ($E50 + 5)), 0))
  )
)</f>
        <v>1122.21577718775</v>
      </c>
      <c r="BA50" s="80" t="n">
        <f aca="false" t="array" ref="BA50:BA50">IF(COLUMN() - ($E50 + 5) &lt; 0, 0,
  IF(COLUMN() - ($E50 + 5) = 0, $F50,
    AZ50 * (1 - IFERROR(INDEX('Inputs &amp; Assuptions'!$D$13:$D$72, COLUMN() - ($E50 + 5)), 0))
  )
)</f>
        <v>1119.41023774478</v>
      </c>
      <c r="BB50" s="80" t="n">
        <f aca="false" t="array" ref="BB50:BB50">IF(COLUMN() - ($E50 + 5) &lt; 0, 0,
  IF(COLUMN() - ($E50 + 5) = 0, $F50,
    BA50 * (1 - IFERROR(INDEX('Inputs &amp; Assuptions'!$D$13:$D$72, COLUMN() - ($E50 + 5)), 0))
  )
)</f>
        <v>1116.83559419797</v>
      </c>
      <c r="BC50" s="80" t="n">
        <f aca="false" t="array" ref="BC50:BC50">IF(COLUMN() - ($E50 + 5) &lt; 0, 0,
  IF(COLUMN() - ($E50 + 5) = 0, $F50,
    BB50 * (1 - IFERROR(INDEX('Inputs &amp; Assuptions'!$D$13:$D$72, COLUMN() - ($E50 + 5)), 0))
  )
)</f>
        <v>1114.60192300957</v>
      </c>
      <c r="BD50" s="80" t="n">
        <f aca="false" t="array" ref="BD50:BD50">IF(COLUMN() - ($E50 + 5) &lt; 0, 0,
  IF(COLUMN() - ($E50 + 5) = 0, $F50,
    BC50 * (1 - IFERROR(INDEX('Inputs &amp; Assuptions'!$D$13:$D$72, COLUMN() - ($E50 + 5)), 0))
  )
)</f>
        <v>1112.59563954815</v>
      </c>
      <c r="BE50" s="80" t="n">
        <f aca="false" t="array" ref="BE50:BE50">IF(COLUMN() - ($E50 + 5) &lt; 0, 0,
  IF(COLUMN() - ($E50 + 5) = 0, $F50,
    BD50 * (1 - IFERROR(INDEX('Inputs &amp; Assuptions'!$D$13:$D$72, COLUMN() - ($E50 + 5)), 0))
  )
)</f>
        <v>1110.92674608883</v>
      </c>
      <c r="BF50" s="80" t="n">
        <f aca="false" t="array" ref="BF50:BF50">IF(COLUMN() - ($E50 + 5) &lt; 0, 0,
  IF(COLUMN() - ($E50 + 5) = 0, $F50,
    BE50 * (1 - IFERROR(INDEX('Inputs &amp; Assuptions'!$D$13:$D$72, COLUMN() - ($E50 + 5)), 0))
  )
)</f>
        <v>1109.48254131892</v>
      </c>
      <c r="BG50" s="80" t="n">
        <f aca="false" t="array" ref="BG50:BG50">IF(COLUMN() - ($E50 + 5) &lt; 0, 0,
  IF(COLUMN() - ($E50 + 5) = 0, $F50,
    BF50 * (1 - IFERROR(INDEX('Inputs &amp; Assuptions'!$D$13:$D$72, COLUMN() - ($E50 + 5)), 0))
  )
)</f>
        <v>1108.3730587776</v>
      </c>
      <c r="BH50" s="80" t="n">
        <f aca="false" t="array" ref="BH50:BH50">IF(COLUMN() - ($E50 + 5) &lt; 0, 0,
  IF(COLUMN() - ($E50 + 5) = 0, $F50,
    BG50 * (1 - IFERROR(INDEX('Inputs &amp; Assuptions'!$D$13:$D$72, COLUMN() - ($E50 + 5)), 0))
  )
)</f>
        <v>1107.48636033058</v>
      </c>
      <c r="BI50" s="80" t="n">
        <f aca="false" t="array" ref="BI50:BI50">IF(COLUMN() - ($E50 + 5) &lt; 0, 0,
  IF(COLUMN() - ($E50 + 5) = 0, $F50,
    BH50 * (1 - IFERROR(INDEX('Inputs &amp; Assuptions'!$D$13:$D$72, COLUMN() - ($E50 + 5)), 0))
  )
)</f>
        <v>1106.93261715041</v>
      </c>
      <c r="BJ50" s="80" t="n">
        <f aca="false" t="array" ref="BJ50:BJ50">IF(COLUMN() - ($E50 + 5) &lt; 0, 0,
  IF(COLUMN() - ($E50 + 5) = 0, $F50,
    BI50 * (1 - IFERROR(INDEX('Inputs &amp; Assuptions'!$D$13:$D$72, COLUMN() - ($E50 + 5)), 0))
  )
)</f>
        <v>1106.37915084184</v>
      </c>
      <c r="BK50" s="80" t="n">
        <f aca="false" t="array" ref="BK50:BK50">IF(COLUMN() - ($E50 + 5) &lt; 0, 0,
  IF(COLUMN() - ($E50 + 5) = 0, $F50,
    BJ50 * (1 - IFERROR(INDEX('Inputs &amp; Assuptions'!$D$13:$D$72, COLUMN() - ($E50 + 5)), 0))
  )
)</f>
        <v>1105.82596126641</v>
      </c>
      <c r="BL50" s="80" t="n">
        <f aca="false" t="array" ref="BL50:BL50">IF(COLUMN() - ($E50 + 5) &lt; 0, 0,
  IF(COLUMN() - ($E50 + 5) = 0, $F50,
    BK50 * (1 - IFERROR(INDEX('Inputs &amp; Assuptions'!$D$13:$D$72, COLUMN() - ($E50 + 5)), 0))
  )
)</f>
        <v>1105.27304828578</v>
      </c>
      <c r="BM50" s="81" t="n">
        <f aca="false" t="array" ref="BM50:BM50">IF(COLUMN() - ($E50 + 5) &lt; 0, 0,
  IF(COLUMN() - ($E50 + 5) = 0, $F50,
    BL50 * (1 - IFERROR(INDEX('Inputs &amp; Assuptions'!$D$13:$D$72, COLUMN() - ($E50 + 5)), 0))
  )
)</f>
        <v>1104.72041176164</v>
      </c>
      <c r="BN50" s="76"/>
    </row>
    <row r="51" customFormat="false" ht="14.25" hidden="false" customHeight="false" outlineLevel="0" collapsed="false">
      <c r="A51" s="29" t="n">
        <f aca="false">A50+1</f>
        <v>46</v>
      </c>
      <c r="B51" s="77" t="n">
        <f aca="false">IF(MOD($A51-1, 12) = 0, $B50 * 1.05, $B50)</f>
        <v>1157.625</v>
      </c>
      <c r="C51" s="93" t="n">
        <f aca="false">$B51*(1-'Inputs &amp; Assuptions'!$D$12)</f>
        <v>1132.15725</v>
      </c>
      <c r="E51" s="29" t="n">
        <f aca="false">E50+1</f>
        <v>46</v>
      </c>
      <c r="F51" s="79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 t="n">
        <f aca="false">$C51</f>
        <v>1132.15725</v>
      </c>
      <c r="AZ51" s="80" t="n">
        <f aca="false" t="array" ref="AZ51:AZ51">IF(COLUMN() - ($E51 + 5) &lt; 0, 0,
  IF(COLUMN() - ($E51 + 5) = 0, $F51,
    AY51 * (1 - IFERROR(INDEX('Inputs &amp; Assuptions'!$D$13:$D$72, COLUMN() - ($E51 + 5)), 0))
  )
)</f>
        <v>1126.49646375</v>
      </c>
      <c r="BA51" s="80" t="n">
        <f aca="false" t="array" ref="BA51:BA51">IF(COLUMN() - ($E51 + 5) &lt; 0, 0,
  IF(COLUMN() - ($E51 + 5) = 0, $F51,
    AZ51 * (1 - IFERROR(INDEX('Inputs &amp; Assuptions'!$D$13:$D$72, COLUMN() - ($E51 + 5)), 0))
  )
)</f>
        <v>1122.21577718775</v>
      </c>
      <c r="BB51" s="80" t="n">
        <f aca="false" t="array" ref="BB51:BB51">IF(COLUMN() - ($E51 + 5) &lt; 0, 0,
  IF(COLUMN() - ($E51 + 5) = 0, $F51,
    BA51 * (1 - IFERROR(INDEX('Inputs &amp; Assuptions'!$D$13:$D$72, COLUMN() - ($E51 + 5)), 0))
  )
)</f>
        <v>1119.41023774478</v>
      </c>
      <c r="BC51" s="80" t="n">
        <f aca="false" t="array" ref="BC51:BC51">IF(COLUMN() - ($E51 + 5) &lt; 0, 0,
  IF(COLUMN() - ($E51 + 5) = 0, $F51,
    BB51 * (1 - IFERROR(INDEX('Inputs &amp; Assuptions'!$D$13:$D$72, COLUMN() - ($E51 + 5)), 0))
  )
)</f>
        <v>1116.83559419797</v>
      </c>
      <c r="BD51" s="80" t="n">
        <f aca="false" t="array" ref="BD51:BD51">IF(COLUMN() - ($E51 + 5) &lt; 0, 0,
  IF(COLUMN() - ($E51 + 5) = 0, $F51,
    BC51 * (1 - IFERROR(INDEX('Inputs &amp; Assuptions'!$D$13:$D$72, COLUMN() - ($E51 + 5)), 0))
  )
)</f>
        <v>1114.60192300957</v>
      </c>
      <c r="BE51" s="80" t="n">
        <f aca="false" t="array" ref="BE51:BE51">IF(COLUMN() - ($E51 + 5) &lt; 0, 0,
  IF(COLUMN() - ($E51 + 5) = 0, $F51,
    BD51 * (1 - IFERROR(INDEX('Inputs &amp; Assuptions'!$D$13:$D$72, COLUMN() - ($E51 + 5)), 0))
  )
)</f>
        <v>1112.59563954815</v>
      </c>
      <c r="BF51" s="80" t="n">
        <f aca="false" t="array" ref="BF51:BF51">IF(COLUMN() - ($E51 + 5) &lt; 0, 0,
  IF(COLUMN() - ($E51 + 5) = 0, $F51,
    BE51 * (1 - IFERROR(INDEX('Inputs &amp; Assuptions'!$D$13:$D$72, COLUMN() - ($E51 + 5)), 0))
  )
)</f>
        <v>1110.92674608883</v>
      </c>
      <c r="BG51" s="80" t="n">
        <f aca="false" t="array" ref="BG51:BG51">IF(COLUMN() - ($E51 + 5) &lt; 0, 0,
  IF(COLUMN() - ($E51 + 5) = 0, $F51,
    BF51 * (1 - IFERROR(INDEX('Inputs &amp; Assuptions'!$D$13:$D$72, COLUMN() - ($E51 + 5)), 0))
  )
)</f>
        <v>1109.48254131892</v>
      </c>
      <c r="BH51" s="80" t="n">
        <f aca="false" t="array" ref="BH51:BH51">IF(COLUMN() - ($E51 + 5) &lt; 0, 0,
  IF(COLUMN() - ($E51 + 5) = 0, $F51,
    BG51 * (1 - IFERROR(INDEX('Inputs &amp; Assuptions'!$D$13:$D$72, COLUMN() - ($E51 + 5)), 0))
  )
)</f>
        <v>1108.3730587776</v>
      </c>
      <c r="BI51" s="80" t="n">
        <f aca="false" t="array" ref="BI51:BI51">IF(COLUMN() - ($E51 + 5) &lt; 0, 0,
  IF(COLUMN() - ($E51 + 5) = 0, $F51,
    BH51 * (1 - IFERROR(INDEX('Inputs &amp; Assuptions'!$D$13:$D$72, COLUMN() - ($E51 + 5)), 0))
  )
)</f>
        <v>1107.48636033058</v>
      </c>
      <c r="BJ51" s="80" t="n">
        <f aca="false" t="array" ref="BJ51:BJ51">IF(COLUMN() - ($E51 + 5) &lt; 0, 0,
  IF(COLUMN() - ($E51 + 5) = 0, $F51,
    BI51 * (1 - IFERROR(INDEX('Inputs &amp; Assuptions'!$D$13:$D$72, COLUMN() - ($E51 + 5)), 0))
  )
)</f>
        <v>1106.93261715041</v>
      </c>
      <c r="BK51" s="80" t="n">
        <f aca="false" t="array" ref="BK51:BK51">IF(COLUMN() - ($E51 + 5) &lt; 0, 0,
  IF(COLUMN() - ($E51 + 5) = 0, $F51,
    BJ51 * (1 - IFERROR(INDEX('Inputs &amp; Assuptions'!$D$13:$D$72, COLUMN() - ($E51 + 5)), 0))
  )
)</f>
        <v>1106.37915084184</v>
      </c>
      <c r="BL51" s="80" t="n">
        <f aca="false" t="array" ref="BL51:BL51">IF(COLUMN() - ($E51 + 5) &lt; 0, 0,
  IF(COLUMN() - ($E51 + 5) = 0, $F51,
    BK51 * (1 - IFERROR(INDEX('Inputs &amp; Assuptions'!$D$13:$D$72, COLUMN() - ($E51 + 5)), 0))
  )
)</f>
        <v>1105.82596126641</v>
      </c>
      <c r="BM51" s="81" t="n">
        <f aca="false" t="array" ref="BM51:BM51">IF(COLUMN() - ($E51 + 5) &lt; 0, 0,
  IF(COLUMN() - ($E51 + 5) = 0, $F51,
    BL51 * (1 - IFERROR(INDEX('Inputs &amp; Assuptions'!$D$13:$D$72, COLUMN() - ($E51 + 5)), 0))
  )
)</f>
        <v>1105.27304828578</v>
      </c>
      <c r="BN51" s="76"/>
    </row>
    <row r="52" customFormat="false" ht="14.25" hidden="false" customHeight="false" outlineLevel="0" collapsed="false">
      <c r="A52" s="29" t="n">
        <f aca="false">A51+1</f>
        <v>47</v>
      </c>
      <c r="B52" s="77" t="n">
        <f aca="false">IF(MOD($A52-1, 12) = 0, $B51 * 1.05, $B51)</f>
        <v>1157.625</v>
      </c>
      <c r="C52" s="93" t="n">
        <f aca="false">$B52*(1-'Inputs &amp; Assuptions'!$D$12)</f>
        <v>1132.15725</v>
      </c>
      <c r="E52" s="29" t="n">
        <f aca="false">E51+1</f>
        <v>47</v>
      </c>
      <c r="F52" s="79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 t="n">
        <f aca="false">$C52</f>
        <v>1132.15725</v>
      </c>
      <c r="BA52" s="80" t="n">
        <f aca="false" t="array" ref="BA52:BA52">IF(COLUMN() - ($E52 + 5) &lt; 0, 0,
  IF(COLUMN() - ($E52 + 5) = 0, $F52,
    AZ52 * (1 - IFERROR(INDEX('Inputs &amp; Assuptions'!$D$13:$D$72, COLUMN() - ($E52 + 5)), 0))
  )
)</f>
        <v>1126.49646375</v>
      </c>
      <c r="BB52" s="80" t="n">
        <f aca="false" t="array" ref="BB52:BB52">IF(COLUMN() - ($E52 + 5) &lt; 0, 0,
  IF(COLUMN() - ($E52 + 5) = 0, $F52,
    BA52 * (1 - IFERROR(INDEX('Inputs &amp; Assuptions'!$D$13:$D$72, COLUMN() - ($E52 + 5)), 0))
  )
)</f>
        <v>1122.21577718775</v>
      </c>
      <c r="BC52" s="80" t="n">
        <f aca="false" t="array" ref="BC52:BC52">IF(COLUMN() - ($E52 + 5) &lt; 0, 0,
  IF(COLUMN() - ($E52 + 5) = 0, $F52,
    BB52 * (1 - IFERROR(INDEX('Inputs &amp; Assuptions'!$D$13:$D$72, COLUMN() - ($E52 + 5)), 0))
  )
)</f>
        <v>1119.41023774478</v>
      </c>
      <c r="BD52" s="80" t="n">
        <f aca="false" t="array" ref="BD52:BD52">IF(COLUMN() - ($E52 + 5) &lt; 0, 0,
  IF(COLUMN() - ($E52 + 5) = 0, $F52,
    BC52 * (1 - IFERROR(INDEX('Inputs &amp; Assuptions'!$D$13:$D$72, COLUMN() - ($E52 + 5)), 0))
  )
)</f>
        <v>1116.83559419797</v>
      </c>
      <c r="BE52" s="80" t="n">
        <f aca="false" t="array" ref="BE52:BE52">IF(COLUMN() - ($E52 + 5) &lt; 0, 0,
  IF(COLUMN() - ($E52 + 5) = 0, $F52,
    BD52 * (1 - IFERROR(INDEX('Inputs &amp; Assuptions'!$D$13:$D$72, COLUMN() - ($E52 + 5)), 0))
  )
)</f>
        <v>1114.60192300957</v>
      </c>
      <c r="BF52" s="80" t="n">
        <f aca="false" t="array" ref="BF52:BF52">IF(COLUMN() - ($E52 + 5) &lt; 0, 0,
  IF(COLUMN() - ($E52 + 5) = 0, $F52,
    BE52 * (1 - IFERROR(INDEX('Inputs &amp; Assuptions'!$D$13:$D$72, COLUMN() - ($E52 + 5)), 0))
  )
)</f>
        <v>1112.59563954815</v>
      </c>
      <c r="BG52" s="80" t="n">
        <f aca="false" t="array" ref="BG52:BG52">IF(COLUMN() - ($E52 + 5) &lt; 0, 0,
  IF(COLUMN() - ($E52 + 5) = 0, $F52,
    BF52 * (1 - IFERROR(INDEX('Inputs &amp; Assuptions'!$D$13:$D$72, COLUMN() - ($E52 + 5)), 0))
  )
)</f>
        <v>1110.92674608883</v>
      </c>
      <c r="BH52" s="80" t="n">
        <f aca="false" t="array" ref="BH52:BH52">IF(COLUMN() - ($E52 + 5) &lt; 0, 0,
  IF(COLUMN() - ($E52 + 5) = 0, $F52,
    BG52 * (1 - IFERROR(INDEX('Inputs &amp; Assuptions'!$D$13:$D$72, COLUMN() - ($E52 + 5)), 0))
  )
)</f>
        <v>1109.48254131892</v>
      </c>
      <c r="BI52" s="80" t="n">
        <f aca="false" t="array" ref="BI52:BI52">IF(COLUMN() - ($E52 + 5) &lt; 0, 0,
  IF(COLUMN() - ($E52 + 5) = 0, $F52,
    BH52 * (1 - IFERROR(INDEX('Inputs &amp; Assuptions'!$D$13:$D$72, COLUMN() - ($E52 + 5)), 0))
  )
)</f>
        <v>1108.3730587776</v>
      </c>
      <c r="BJ52" s="80" t="n">
        <f aca="false" t="array" ref="BJ52:BJ52">IF(COLUMN() - ($E52 + 5) &lt; 0, 0,
  IF(COLUMN() - ($E52 + 5) = 0, $F52,
    BI52 * (1 - IFERROR(INDEX('Inputs &amp; Assuptions'!$D$13:$D$72, COLUMN() - ($E52 + 5)), 0))
  )
)</f>
        <v>1107.48636033058</v>
      </c>
      <c r="BK52" s="80" t="n">
        <f aca="false" t="array" ref="BK52:BK52">IF(COLUMN() - ($E52 + 5) &lt; 0, 0,
  IF(COLUMN() - ($E52 + 5) = 0, $F52,
    BJ52 * (1 - IFERROR(INDEX('Inputs &amp; Assuptions'!$D$13:$D$72, COLUMN() - ($E52 + 5)), 0))
  )
)</f>
        <v>1106.93261715041</v>
      </c>
      <c r="BL52" s="80" t="n">
        <f aca="false" t="array" ref="BL52:BL52">IF(COLUMN() - ($E52 + 5) &lt; 0, 0,
  IF(COLUMN() - ($E52 + 5) = 0, $F52,
    BK52 * (1 - IFERROR(INDEX('Inputs &amp; Assuptions'!$D$13:$D$72, COLUMN() - ($E52 + 5)), 0))
  )
)</f>
        <v>1106.37915084184</v>
      </c>
      <c r="BM52" s="81" t="n">
        <f aca="false" t="array" ref="BM52:BM52">IF(COLUMN() - ($E52 + 5) &lt; 0, 0,
  IF(COLUMN() - ($E52 + 5) = 0, $F52,
    BL52 * (1 - IFERROR(INDEX('Inputs &amp; Assuptions'!$D$13:$D$72, COLUMN() - ($E52 + 5)), 0))
  )
)</f>
        <v>1105.82596126641</v>
      </c>
      <c r="BN52" s="76"/>
    </row>
    <row r="53" customFormat="false" ht="14.25" hidden="false" customHeight="false" outlineLevel="0" collapsed="false">
      <c r="A53" s="29" t="n">
        <f aca="false">A52+1</f>
        <v>48</v>
      </c>
      <c r="B53" s="77" t="n">
        <f aca="false">IF(MOD($A53-1, 12) = 0, $B52 * 1.05, $B52)</f>
        <v>1157.625</v>
      </c>
      <c r="C53" s="93" t="n">
        <f aca="false">$B53*(1-'Inputs &amp; Assuptions'!$D$12)</f>
        <v>1132.15725</v>
      </c>
      <c r="E53" s="29" t="n">
        <f aca="false">E52+1</f>
        <v>48</v>
      </c>
      <c r="F53" s="79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 t="n">
        <f aca="false">$C53</f>
        <v>1132.15725</v>
      </c>
      <c r="BB53" s="80" t="n">
        <f aca="false" t="array" ref="BB53:BB53">IF(COLUMN() - ($E53 + 5) &lt; 0, 0,
  IF(COLUMN() - ($E53 + 5) = 0, $F53,
    BA53 * (1 - IFERROR(INDEX('Inputs &amp; Assuptions'!$D$13:$D$72, COLUMN() - ($E53 + 5)), 0))
  )
)</f>
        <v>1126.49646375</v>
      </c>
      <c r="BC53" s="80" t="n">
        <f aca="false" t="array" ref="BC53:BC53">IF(COLUMN() - ($E53 + 5) &lt; 0, 0,
  IF(COLUMN() - ($E53 + 5) = 0, $F53,
    BB53 * (1 - IFERROR(INDEX('Inputs &amp; Assuptions'!$D$13:$D$72, COLUMN() - ($E53 + 5)), 0))
  )
)</f>
        <v>1122.21577718775</v>
      </c>
      <c r="BD53" s="80" t="n">
        <f aca="false" t="array" ref="BD53:BD53">IF(COLUMN() - ($E53 + 5) &lt; 0, 0,
  IF(COLUMN() - ($E53 + 5) = 0, $F53,
    BC53 * (1 - IFERROR(INDEX('Inputs &amp; Assuptions'!$D$13:$D$72, COLUMN() - ($E53 + 5)), 0))
  )
)</f>
        <v>1119.41023774478</v>
      </c>
      <c r="BE53" s="80" t="n">
        <f aca="false" t="array" ref="BE53:BE53">IF(COLUMN() - ($E53 + 5) &lt; 0, 0,
  IF(COLUMN() - ($E53 + 5) = 0, $F53,
    BD53 * (1 - IFERROR(INDEX('Inputs &amp; Assuptions'!$D$13:$D$72, COLUMN() - ($E53 + 5)), 0))
  )
)</f>
        <v>1116.83559419797</v>
      </c>
      <c r="BF53" s="80" t="n">
        <f aca="false" t="array" ref="BF53:BF53">IF(COLUMN() - ($E53 + 5) &lt; 0, 0,
  IF(COLUMN() - ($E53 + 5) = 0, $F53,
    BE53 * (1 - IFERROR(INDEX('Inputs &amp; Assuptions'!$D$13:$D$72, COLUMN() - ($E53 + 5)), 0))
  )
)</f>
        <v>1114.60192300957</v>
      </c>
      <c r="BG53" s="80" t="n">
        <f aca="false" t="array" ref="BG53:BG53">IF(COLUMN() - ($E53 + 5) &lt; 0, 0,
  IF(COLUMN() - ($E53 + 5) = 0, $F53,
    BF53 * (1 - IFERROR(INDEX('Inputs &amp; Assuptions'!$D$13:$D$72, COLUMN() - ($E53 + 5)), 0))
  )
)</f>
        <v>1112.59563954815</v>
      </c>
      <c r="BH53" s="80" t="n">
        <f aca="false" t="array" ref="BH53:BH53">IF(COLUMN() - ($E53 + 5) &lt; 0, 0,
  IF(COLUMN() - ($E53 + 5) = 0, $F53,
    BG53 * (1 - IFERROR(INDEX('Inputs &amp; Assuptions'!$D$13:$D$72, COLUMN() - ($E53 + 5)), 0))
  )
)</f>
        <v>1110.92674608883</v>
      </c>
      <c r="BI53" s="80" t="n">
        <f aca="false" t="array" ref="BI53:BI53">IF(COLUMN() - ($E53 + 5) &lt; 0, 0,
  IF(COLUMN() - ($E53 + 5) = 0, $F53,
    BH53 * (1 - IFERROR(INDEX('Inputs &amp; Assuptions'!$D$13:$D$72, COLUMN() - ($E53 + 5)), 0))
  )
)</f>
        <v>1109.48254131892</v>
      </c>
      <c r="BJ53" s="80" t="n">
        <f aca="false" t="array" ref="BJ53:BJ53">IF(COLUMN() - ($E53 + 5) &lt; 0, 0,
  IF(COLUMN() - ($E53 + 5) = 0, $F53,
    BI53 * (1 - IFERROR(INDEX('Inputs &amp; Assuptions'!$D$13:$D$72, COLUMN() - ($E53 + 5)), 0))
  )
)</f>
        <v>1108.3730587776</v>
      </c>
      <c r="BK53" s="80" t="n">
        <f aca="false" t="array" ref="BK53:BK53">IF(COLUMN() - ($E53 + 5) &lt; 0, 0,
  IF(COLUMN() - ($E53 + 5) = 0, $F53,
    BJ53 * (1 - IFERROR(INDEX('Inputs &amp; Assuptions'!$D$13:$D$72, COLUMN() - ($E53 + 5)), 0))
  )
)</f>
        <v>1107.48636033058</v>
      </c>
      <c r="BL53" s="80" t="n">
        <f aca="false" t="array" ref="BL53:BL53">IF(COLUMN() - ($E53 + 5) &lt; 0, 0,
  IF(COLUMN() - ($E53 + 5) = 0, $F53,
    BK53 * (1 - IFERROR(INDEX('Inputs &amp; Assuptions'!$D$13:$D$72, COLUMN() - ($E53 + 5)), 0))
  )
)</f>
        <v>1106.93261715041</v>
      </c>
      <c r="BM53" s="81" t="n">
        <f aca="false" t="array" ref="BM53:BM53">IF(COLUMN() - ($E53 + 5) &lt; 0, 0,
  IF(COLUMN() - ($E53 + 5) = 0, $F53,
    BL53 * (1 - IFERROR(INDEX('Inputs &amp; Assuptions'!$D$13:$D$72, COLUMN() - ($E53 + 5)), 0))
  )
)</f>
        <v>1106.37915084184</v>
      </c>
      <c r="BN53" s="76"/>
    </row>
    <row r="54" customFormat="false" ht="14.25" hidden="false" customHeight="false" outlineLevel="0" collapsed="false">
      <c r="A54" s="29" t="n">
        <f aca="false">A53+1</f>
        <v>49</v>
      </c>
      <c r="B54" s="77" t="n">
        <f aca="false">IF(MOD($A54-1, 12) = 0, $B53 * 1.05, $B53)</f>
        <v>1215.50625</v>
      </c>
      <c r="C54" s="93" t="n">
        <f aca="false">$B54*(1-'Inputs &amp; Assuptions'!$D$12)</f>
        <v>1188.7651125</v>
      </c>
      <c r="E54" s="29" t="n">
        <f aca="false">E53+1</f>
        <v>49</v>
      </c>
      <c r="F54" s="79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 t="n">
        <f aca="false">$C54</f>
        <v>1188.7651125</v>
      </c>
      <c r="BC54" s="80" t="n">
        <f aca="false" t="array" ref="BC54:BC54">IF(COLUMN() - ($E54 + 5) &lt; 0, 0,
  IF(COLUMN() - ($E54 + 5) = 0, $F54,
    BB54 * (1 - IFERROR(INDEX('Inputs &amp; Assuptions'!$D$13:$D$72, COLUMN() - ($E54 + 5)), 0))
  )
)</f>
        <v>1182.8212869375</v>
      </c>
      <c r="BD54" s="80" t="n">
        <f aca="false" t="array" ref="BD54:BD54">IF(COLUMN() - ($E54 + 5) &lt; 0, 0,
  IF(COLUMN() - ($E54 + 5) = 0, $F54,
    BC54 * (1 - IFERROR(INDEX('Inputs &amp; Assuptions'!$D$13:$D$72, COLUMN() - ($E54 + 5)), 0))
  )
)</f>
        <v>1178.32656604714</v>
      </c>
      <c r="BE54" s="80" t="n">
        <f aca="false" t="array" ref="BE54:BE54">IF(COLUMN() - ($E54 + 5) &lt; 0, 0,
  IF(COLUMN() - ($E54 + 5) = 0, $F54,
    BD54 * (1 - IFERROR(INDEX('Inputs &amp; Assuptions'!$D$13:$D$72, COLUMN() - ($E54 + 5)), 0))
  )
)</f>
        <v>1175.38074963202</v>
      </c>
      <c r="BF54" s="80" t="n">
        <f aca="false" t="array" ref="BF54:BF54">IF(COLUMN() - ($E54 + 5) &lt; 0, 0,
  IF(COLUMN() - ($E54 + 5) = 0, $F54,
    BE54 * (1 - IFERROR(INDEX('Inputs &amp; Assuptions'!$D$13:$D$72, COLUMN() - ($E54 + 5)), 0))
  )
)</f>
        <v>1172.67737390787</v>
      </c>
      <c r="BG54" s="80" t="n">
        <f aca="false" t="array" ref="BG54:BG54">IF(COLUMN() - ($E54 + 5) &lt; 0, 0,
  IF(COLUMN() - ($E54 + 5) = 0, $F54,
    BF54 * (1 - IFERROR(INDEX('Inputs &amp; Assuptions'!$D$13:$D$72, COLUMN() - ($E54 + 5)), 0))
  )
)</f>
        <v>1170.33201916005</v>
      </c>
      <c r="BH54" s="80" t="n">
        <f aca="false" t="array" ref="BH54:BH54">IF(COLUMN() - ($E54 + 5) &lt; 0, 0,
  IF(COLUMN() - ($E54 + 5) = 0, $F54,
    BG54 * (1 - IFERROR(INDEX('Inputs &amp; Assuptions'!$D$13:$D$72, COLUMN() - ($E54 + 5)), 0))
  )
)</f>
        <v>1168.22542152556</v>
      </c>
      <c r="BI54" s="80" t="n">
        <f aca="false" t="array" ref="BI54:BI54">IF(COLUMN() - ($E54 + 5) &lt; 0, 0,
  IF(COLUMN() - ($E54 + 5) = 0, $F54,
    BH54 * (1 - IFERROR(INDEX('Inputs &amp; Assuptions'!$D$13:$D$72, COLUMN() - ($E54 + 5)), 0))
  )
)</f>
        <v>1166.47308339327</v>
      </c>
      <c r="BJ54" s="80" t="n">
        <f aca="false" t="array" ref="BJ54:BJ54">IF(COLUMN() - ($E54 + 5) &lt; 0, 0,
  IF(COLUMN() - ($E54 + 5) = 0, $F54,
    BI54 * (1 - IFERROR(INDEX('Inputs &amp; Assuptions'!$D$13:$D$72, COLUMN() - ($E54 + 5)), 0))
  )
)</f>
        <v>1164.95666838486</v>
      </c>
      <c r="BK54" s="80" t="n">
        <f aca="false" t="array" ref="BK54:BK54">IF(COLUMN() - ($E54 + 5) &lt; 0, 0,
  IF(COLUMN() - ($E54 + 5) = 0, $F54,
    BJ54 * (1 - IFERROR(INDEX('Inputs &amp; Assuptions'!$D$13:$D$72, COLUMN() - ($E54 + 5)), 0))
  )
)</f>
        <v>1163.79171171648</v>
      </c>
      <c r="BL54" s="80" t="n">
        <f aca="false" t="array" ref="BL54:BL54">IF(COLUMN() - ($E54 + 5) &lt; 0, 0,
  IF(COLUMN() - ($E54 + 5) = 0, $F54,
    BK54 * (1 - IFERROR(INDEX('Inputs &amp; Assuptions'!$D$13:$D$72, COLUMN() - ($E54 + 5)), 0))
  )
)</f>
        <v>1162.86067834711</v>
      </c>
      <c r="BM54" s="81" t="n">
        <f aca="false" t="array" ref="BM54:BM54">IF(COLUMN() - ($E54 + 5) &lt; 0, 0,
  IF(COLUMN() - ($E54 + 5) = 0, $F54,
    BL54 * (1 - IFERROR(INDEX('Inputs &amp; Assuptions'!$D$13:$D$72, COLUMN() - ($E54 + 5)), 0))
  )
)</f>
        <v>1162.27924800793</v>
      </c>
      <c r="BN54" s="76"/>
    </row>
    <row r="55" customFormat="false" ht="14.25" hidden="false" customHeight="false" outlineLevel="0" collapsed="false">
      <c r="A55" s="29" t="n">
        <f aca="false">A54+1</f>
        <v>50</v>
      </c>
      <c r="B55" s="77" t="n">
        <f aca="false">IF(MOD($A55-1, 12) = 0, $B54 * 1.05, $B54)</f>
        <v>1215.50625</v>
      </c>
      <c r="C55" s="93" t="n">
        <f aca="false">$B55*(1-'Inputs &amp; Assuptions'!$D$12)</f>
        <v>1188.7651125</v>
      </c>
      <c r="E55" s="29" t="n">
        <f aca="false">E54+1</f>
        <v>50</v>
      </c>
      <c r="F55" s="79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 t="n">
        <f aca="false">$C55</f>
        <v>1188.7651125</v>
      </c>
      <c r="BD55" s="80" t="n">
        <f aca="false" t="array" ref="BD55:BD55">IF(COLUMN() - ($E55 + 5) &lt; 0, 0,
  IF(COLUMN() - ($E55 + 5) = 0, $F55,
    BC55 * (1 - IFERROR(INDEX('Inputs &amp; Assuptions'!$D$13:$D$72, COLUMN() - ($E55 + 5)), 0))
  )
)</f>
        <v>1182.8212869375</v>
      </c>
      <c r="BE55" s="80" t="n">
        <f aca="false" t="array" ref="BE55:BE55">IF(COLUMN() - ($E55 + 5) &lt; 0, 0,
  IF(COLUMN() - ($E55 + 5) = 0, $F55,
    BD55 * (1 - IFERROR(INDEX('Inputs &amp; Assuptions'!$D$13:$D$72, COLUMN() - ($E55 + 5)), 0))
  )
)</f>
        <v>1178.32656604714</v>
      </c>
      <c r="BF55" s="80" t="n">
        <f aca="false" t="array" ref="BF55:BF55">IF(COLUMN() - ($E55 + 5) &lt; 0, 0,
  IF(COLUMN() - ($E55 + 5) = 0, $F55,
    BE55 * (1 - IFERROR(INDEX('Inputs &amp; Assuptions'!$D$13:$D$72, COLUMN() - ($E55 + 5)), 0))
  )
)</f>
        <v>1175.38074963202</v>
      </c>
      <c r="BG55" s="80" t="n">
        <f aca="false" t="array" ref="BG55:BG55">IF(COLUMN() - ($E55 + 5) &lt; 0, 0,
  IF(COLUMN() - ($E55 + 5) = 0, $F55,
    BF55 * (1 - IFERROR(INDEX('Inputs &amp; Assuptions'!$D$13:$D$72, COLUMN() - ($E55 + 5)), 0))
  )
)</f>
        <v>1172.67737390787</v>
      </c>
      <c r="BH55" s="80" t="n">
        <f aca="false" t="array" ref="BH55:BH55">IF(COLUMN() - ($E55 + 5) &lt; 0, 0,
  IF(COLUMN() - ($E55 + 5) = 0, $F55,
    BG55 * (1 - IFERROR(INDEX('Inputs &amp; Assuptions'!$D$13:$D$72, COLUMN() - ($E55 + 5)), 0))
  )
)</f>
        <v>1170.33201916005</v>
      </c>
      <c r="BI55" s="80" t="n">
        <f aca="false" t="array" ref="BI55:BI55">IF(COLUMN() - ($E55 + 5) &lt; 0, 0,
  IF(COLUMN() - ($E55 + 5) = 0, $F55,
    BH55 * (1 - IFERROR(INDEX('Inputs &amp; Assuptions'!$D$13:$D$72, COLUMN() - ($E55 + 5)), 0))
  )
)</f>
        <v>1168.22542152556</v>
      </c>
      <c r="BJ55" s="80" t="n">
        <f aca="false" t="array" ref="BJ55:BJ55">IF(COLUMN() - ($E55 + 5) &lt; 0, 0,
  IF(COLUMN() - ($E55 + 5) = 0, $F55,
    BI55 * (1 - IFERROR(INDEX('Inputs &amp; Assuptions'!$D$13:$D$72, COLUMN() - ($E55 + 5)), 0))
  )
)</f>
        <v>1166.47308339327</v>
      </c>
      <c r="BK55" s="80" t="n">
        <f aca="false" t="array" ref="BK55:BK55">IF(COLUMN() - ($E55 + 5) &lt; 0, 0,
  IF(COLUMN() - ($E55 + 5) = 0, $F55,
    BJ55 * (1 - IFERROR(INDEX('Inputs &amp; Assuptions'!$D$13:$D$72, COLUMN() - ($E55 + 5)), 0))
  )
)</f>
        <v>1164.95666838486</v>
      </c>
      <c r="BL55" s="80" t="n">
        <f aca="false" t="array" ref="BL55:BL55">IF(COLUMN() - ($E55 + 5) &lt; 0, 0,
  IF(COLUMN() - ($E55 + 5) = 0, $F55,
    BK55 * (1 - IFERROR(INDEX('Inputs &amp; Assuptions'!$D$13:$D$72, COLUMN() - ($E55 + 5)), 0))
  )
)</f>
        <v>1163.79171171648</v>
      </c>
      <c r="BM55" s="81" t="n">
        <f aca="false" t="array" ref="BM55:BM55">IF(COLUMN() - ($E55 + 5) &lt; 0, 0,
  IF(COLUMN() - ($E55 + 5) = 0, $F55,
    BL55 * (1 - IFERROR(INDEX('Inputs &amp; Assuptions'!$D$13:$D$72, COLUMN() - ($E55 + 5)), 0))
  )
)</f>
        <v>1162.86067834711</v>
      </c>
      <c r="BN55" s="76"/>
    </row>
    <row r="56" customFormat="false" ht="14.25" hidden="false" customHeight="false" outlineLevel="0" collapsed="false">
      <c r="A56" s="29" t="n">
        <f aca="false">A55+1</f>
        <v>51</v>
      </c>
      <c r="B56" s="77" t="n">
        <f aca="false">IF(MOD($A56-1, 12) = 0, $B55 * 1.05, $B55)</f>
        <v>1215.50625</v>
      </c>
      <c r="C56" s="93" t="n">
        <f aca="false">$B56*(1-'Inputs &amp; Assuptions'!$D$12)</f>
        <v>1188.7651125</v>
      </c>
      <c r="E56" s="29" t="n">
        <f aca="false">E55+1</f>
        <v>51</v>
      </c>
      <c r="F56" s="79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 t="n">
        <f aca="false">$C56</f>
        <v>1188.7651125</v>
      </c>
      <c r="BE56" s="80" t="n">
        <f aca="false" t="array" ref="BE56:BE56">IF(COLUMN() - ($E56 + 5) &lt; 0, 0,
  IF(COLUMN() - ($E56 + 5) = 0, $F56,
    BD56 * (1 - IFERROR(INDEX('Inputs &amp; Assuptions'!$D$13:$D$72, COLUMN() - ($E56 + 5)), 0))
  )
)</f>
        <v>1182.8212869375</v>
      </c>
      <c r="BF56" s="80" t="n">
        <f aca="false" t="array" ref="BF56:BF56">IF(COLUMN() - ($E56 + 5) &lt; 0, 0,
  IF(COLUMN() - ($E56 + 5) = 0, $F56,
    BE56 * (1 - IFERROR(INDEX('Inputs &amp; Assuptions'!$D$13:$D$72, COLUMN() - ($E56 + 5)), 0))
  )
)</f>
        <v>1178.32656604714</v>
      </c>
      <c r="BG56" s="80" t="n">
        <f aca="false" t="array" ref="BG56:BG56">IF(COLUMN() - ($E56 + 5) &lt; 0, 0,
  IF(COLUMN() - ($E56 + 5) = 0, $F56,
    BF56 * (1 - IFERROR(INDEX('Inputs &amp; Assuptions'!$D$13:$D$72, COLUMN() - ($E56 + 5)), 0))
  )
)</f>
        <v>1175.38074963202</v>
      </c>
      <c r="BH56" s="80" t="n">
        <f aca="false" t="array" ref="BH56:BH56">IF(COLUMN() - ($E56 + 5) &lt; 0, 0,
  IF(COLUMN() - ($E56 + 5) = 0, $F56,
    BG56 * (1 - IFERROR(INDEX('Inputs &amp; Assuptions'!$D$13:$D$72, COLUMN() - ($E56 + 5)), 0))
  )
)</f>
        <v>1172.67737390787</v>
      </c>
      <c r="BI56" s="80" t="n">
        <f aca="false" t="array" ref="BI56:BI56">IF(COLUMN() - ($E56 + 5) &lt; 0, 0,
  IF(COLUMN() - ($E56 + 5) = 0, $F56,
    BH56 * (1 - IFERROR(INDEX('Inputs &amp; Assuptions'!$D$13:$D$72, COLUMN() - ($E56 + 5)), 0))
  )
)</f>
        <v>1170.33201916005</v>
      </c>
      <c r="BJ56" s="80" t="n">
        <f aca="false" t="array" ref="BJ56:BJ56">IF(COLUMN() - ($E56 + 5) &lt; 0, 0,
  IF(COLUMN() - ($E56 + 5) = 0, $F56,
    BI56 * (1 - IFERROR(INDEX('Inputs &amp; Assuptions'!$D$13:$D$72, COLUMN() - ($E56 + 5)), 0))
  )
)</f>
        <v>1168.22542152556</v>
      </c>
      <c r="BK56" s="80" t="n">
        <f aca="false" t="array" ref="BK56:BK56">IF(COLUMN() - ($E56 + 5) &lt; 0, 0,
  IF(COLUMN() - ($E56 + 5) = 0, $F56,
    BJ56 * (1 - IFERROR(INDEX('Inputs &amp; Assuptions'!$D$13:$D$72, COLUMN() - ($E56 + 5)), 0))
  )
)</f>
        <v>1166.47308339327</v>
      </c>
      <c r="BL56" s="80" t="n">
        <f aca="false" t="array" ref="BL56:BL56">IF(COLUMN() - ($E56 + 5) &lt; 0, 0,
  IF(COLUMN() - ($E56 + 5) = 0, $F56,
    BK56 * (1 - IFERROR(INDEX('Inputs &amp; Assuptions'!$D$13:$D$72, COLUMN() - ($E56 + 5)), 0))
  )
)</f>
        <v>1164.95666838486</v>
      </c>
      <c r="BM56" s="81" t="n">
        <f aca="false" t="array" ref="BM56:BM56">IF(COLUMN() - ($E56 + 5) &lt; 0, 0,
  IF(COLUMN() - ($E56 + 5) = 0, $F56,
    BL56 * (1 - IFERROR(INDEX('Inputs &amp; Assuptions'!$D$13:$D$72, COLUMN() - ($E56 + 5)), 0))
  )
)</f>
        <v>1163.79171171648</v>
      </c>
      <c r="BN56" s="76"/>
    </row>
    <row r="57" customFormat="false" ht="14.25" hidden="false" customHeight="false" outlineLevel="0" collapsed="false">
      <c r="A57" s="29" t="n">
        <f aca="false">A56+1</f>
        <v>52</v>
      </c>
      <c r="B57" s="77" t="n">
        <f aca="false">IF(MOD($A57-1, 12) = 0, $B56 * 1.05, $B56)</f>
        <v>1215.50625</v>
      </c>
      <c r="C57" s="93" t="n">
        <f aca="false">$B57*(1-'Inputs &amp; Assuptions'!$D$12)</f>
        <v>1188.7651125</v>
      </c>
      <c r="E57" s="29" t="n">
        <f aca="false">E56+1</f>
        <v>52</v>
      </c>
      <c r="F57" s="7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 t="n">
        <f aca="false">$C57</f>
        <v>1188.7651125</v>
      </c>
      <c r="BF57" s="80" t="n">
        <f aca="false" t="array" ref="BF57:BF57">IF(COLUMN() - ($E57 + 5) &lt; 0, 0,
  IF(COLUMN() - ($E57 + 5) = 0, $F57,
    BE57 * (1 - IFERROR(INDEX('Inputs &amp; Assuptions'!$D$13:$D$72, COLUMN() - ($E57 + 5)), 0))
  )
)</f>
        <v>1182.8212869375</v>
      </c>
      <c r="BG57" s="80" t="n">
        <f aca="false" t="array" ref="BG57:BG57">IF(COLUMN() - ($E57 + 5) &lt; 0, 0,
  IF(COLUMN() - ($E57 + 5) = 0, $F57,
    BF57 * (1 - IFERROR(INDEX('Inputs &amp; Assuptions'!$D$13:$D$72, COLUMN() - ($E57 + 5)), 0))
  )
)</f>
        <v>1178.32656604714</v>
      </c>
      <c r="BH57" s="80" t="n">
        <f aca="false" t="array" ref="BH57:BH57">IF(COLUMN() - ($E57 + 5) &lt; 0, 0,
  IF(COLUMN() - ($E57 + 5) = 0, $F57,
    BG57 * (1 - IFERROR(INDEX('Inputs &amp; Assuptions'!$D$13:$D$72, COLUMN() - ($E57 + 5)), 0))
  )
)</f>
        <v>1175.38074963202</v>
      </c>
      <c r="BI57" s="80" t="n">
        <f aca="false" t="array" ref="BI57:BI57">IF(COLUMN() - ($E57 + 5) &lt; 0, 0,
  IF(COLUMN() - ($E57 + 5) = 0, $F57,
    BH57 * (1 - IFERROR(INDEX('Inputs &amp; Assuptions'!$D$13:$D$72, COLUMN() - ($E57 + 5)), 0))
  )
)</f>
        <v>1172.67737390787</v>
      </c>
      <c r="BJ57" s="80" t="n">
        <f aca="false" t="array" ref="BJ57:BJ57">IF(COLUMN() - ($E57 + 5) &lt; 0, 0,
  IF(COLUMN() - ($E57 + 5) = 0, $F57,
    BI57 * (1 - IFERROR(INDEX('Inputs &amp; Assuptions'!$D$13:$D$72, COLUMN() - ($E57 + 5)), 0))
  )
)</f>
        <v>1170.33201916005</v>
      </c>
      <c r="BK57" s="80" t="n">
        <f aca="false" t="array" ref="BK57:BK57">IF(COLUMN() - ($E57 + 5) &lt; 0, 0,
  IF(COLUMN() - ($E57 + 5) = 0, $F57,
    BJ57 * (1 - IFERROR(INDEX('Inputs &amp; Assuptions'!$D$13:$D$72, COLUMN() - ($E57 + 5)), 0))
  )
)</f>
        <v>1168.22542152556</v>
      </c>
      <c r="BL57" s="80" t="n">
        <f aca="false" t="array" ref="BL57:BL57">IF(COLUMN() - ($E57 + 5) &lt; 0, 0,
  IF(COLUMN() - ($E57 + 5) = 0, $F57,
    BK57 * (1 - IFERROR(INDEX('Inputs &amp; Assuptions'!$D$13:$D$72, COLUMN() - ($E57 + 5)), 0))
  )
)</f>
        <v>1166.47308339327</v>
      </c>
      <c r="BM57" s="81" t="n">
        <f aca="false" t="array" ref="BM57:BM57">IF(COLUMN() - ($E57 + 5) &lt; 0, 0,
  IF(COLUMN() - ($E57 + 5) = 0, $F57,
    BL57 * (1 - IFERROR(INDEX('Inputs &amp; Assuptions'!$D$13:$D$72, COLUMN() - ($E57 + 5)), 0))
  )
)</f>
        <v>1164.95666838486</v>
      </c>
      <c r="BN57" s="76"/>
    </row>
    <row r="58" customFormat="false" ht="14.25" hidden="false" customHeight="false" outlineLevel="0" collapsed="false">
      <c r="A58" s="29" t="n">
        <f aca="false">A57+1</f>
        <v>53</v>
      </c>
      <c r="B58" s="77" t="n">
        <f aca="false">IF(MOD($A58-1, 12) = 0, $B57 * 1.05, $B57)</f>
        <v>1215.50625</v>
      </c>
      <c r="C58" s="93" t="n">
        <f aca="false">$B58*(1-'Inputs &amp; Assuptions'!$D$12)</f>
        <v>1188.7651125</v>
      </c>
      <c r="E58" s="29" t="n">
        <f aca="false">E57+1</f>
        <v>53</v>
      </c>
      <c r="F58" s="79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 t="n">
        <f aca="false">$C58</f>
        <v>1188.7651125</v>
      </c>
      <c r="BG58" s="80" t="n">
        <f aca="false" t="array" ref="BG58:BG58">IF(COLUMN() - ($E58 + 5) &lt; 0, 0,
  IF(COLUMN() - ($E58 + 5) = 0, $F58,
    BF58 * (1 - IFERROR(INDEX('Inputs &amp; Assuptions'!$D$13:$D$72, COLUMN() - ($E58 + 5)), 0))
  )
)</f>
        <v>1182.8212869375</v>
      </c>
      <c r="BH58" s="80" t="n">
        <f aca="false" t="array" ref="BH58:BH58">IF(COLUMN() - ($E58 + 5) &lt; 0, 0,
  IF(COLUMN() - ($E58 + 5) = 0, $F58,
    BG58 * (1 - IFERROR(INDEX('Inputs &amp; Assuptions'!$D$13:$D$72, COLUMN() - ($E58 + 5)), 0))
  )
)</f>
        <v>1178.32656604714</v>
      </c>
      <c r="BI58" s="80" t="n">
        <f aca="false" t="array" ref="BI58:BI58">IF(COLUMN() - ($E58 + 5) &lt; 0, 0,
  IF(COLUMN() - ($E58 + 5) = 0, $F58,
    BH58 * (1 - IFERROR(INDEX('Inputs &amp; Assuptions'!$D$13:$D$72, COLUMN() - ($E58 + 5)), 0))
  )
)</f>
        <v>1175.38074963202</v>
      </c>
      <c r="BJ58" s="80" t="n">
        <f aca="false" t="array" ref="BJ58:BJ58">IF(COLUMN() - ($E58 + 5) &lt; 0, 0,
  IF(COLUMN() - ($E58 + 5) = 0, $F58,
    BI58 * (1 - IFERROR(INDEX('Inputs &amp; Assuptions'!$D$13:$D$72, COLUMN() - ($E58 + 5)), 0))
  )
)</f>
        <v>1172.67737390787</v>
      </c>
      <c r="BK58" s="80" t="n">
        <f aca="false" t="array" ref="BK58:BK58">IF(COLUMN() - ($E58 + 5) &lt; 0, 0,
  IF(COLUMN() - ($E58 + 5) = 0, $F58,
    BJ58 * (1 - IFERROR(INDEX('Inputs &amp; Assuptions'!$D$13:$D$72, COLUMN() - ($E58 + 5)), 0))
  )
)</f>
        <v>1170.33201916005</v>
      </c>
      <c r="BL58" s="80" t="n">
        <f aca="false" t="array" ref="BL58:BL58">IF(COLUMN() - ($E58 + 5) &lt; 0, 0,
  IF(COLUMN() - ($E58 + 5) = 0, $F58,
    BK58 * (1 - IFERROR(INDEX('Inputs &amp; Assuptions'!$D$13:$D$72, COLUMN() - ($E58 + 5)), 0))
  )
)</f>
        <v>1168.22542152556</v>
      </c>
      <c r="BM58" s="81" t="n">
        <f aca="false" t="array" ref="BM58:BM58">IF(COLUMN() - ($E58 + 5) &lt; 0, 0,
  IF(COLUMN() - ($E58 + 5) = 0, $F58,
    BL58 * (1 - IFERROR(INDEX('Inputs &amp; Assuptions'!$D$13:$D$72, COLUMN() - ($E58 + 5)), 0))
  )
)</f>
        <v>1166.47308339327</v>
      </c>
      <c r="BN58" s="76"/>
    </row>
    <row r="59" customFormat="false" ht="14.25" hidden="false" customHeight="false" outlineLevel="0" collapsed="false">
      <c r="A59" s="29" t="n">
        <f aca="false">A58+1</f>
        <v>54</v>
      </c>
      <c r="B59" s="77" t="n">
        <f aca="false">IF(MOD($A59-1, 12) = 0, $B58 * 1.05, $B58)</f>
        <v>1215.50625</v>
      </c>
      <c r="C59" s="93" t="n">
        <f aca="false">$B59*(1-'Inputs &amp; Assuptions'!$D$12)</f>
        <v>1188.7651125</v>
      </c>
      <c r="E59" s="29" t="n">
        <f aca="false">E58+1</f>
        <v>54</v>
      </c>
      <c r="F59" s="79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 t="n">
        <f aca="false">$C59</f>
        <v>1188.7651125</v>
      </c>
      <c r="BH59" s="80" t="n">
        <f aca="false" t="array" ref="BH59:BH59">IF(COLUMN() - ($E59 + 5) &lt; 0, 0,
  IF(COLUMN() - ($E59 + 5) = 0, $F59,
    BG59 * (1 - IFERROR(INDEX('Inputs &amp; Assuptions'!$D$13:$D$72, COLUMN() - ($E59 + 5)), 0))
  )
)</f>
        <v>1182.8212869375</v>
      </c>
      <c r="BI59" s="80" t="n">
        <f aca="false" t="array" ref="BI59:BI59">IF(COLUMN() - ($E59 + 5) &lt; 0, 0,
  IF(COLUMN() - ($E59 + 5) = 0, $F59,
    BH59 * (1 - IFERROR(INDEX('Inputs &amp; Assuptions'!$D$13:$D$72, COLUMN() - ($E59 + 5)), 0))
  )
)</f>
        <v>1178.32656604714</v>
      </c>
      <c r="BJ59" s="80" t="n">
        <f aca="false" t="array" ref="BJ59:BJ59">IF(COLUMN() - ($E59 + 5) &lt; 0, 0,
  IF(COLUMN() - ($E59 + 5) = 0, $F59,
    BI59 * (1 - IFERROR(INDEX('Inputs &amp; Assuptions'!$D$13:$D$72, COLUMN() - ($E59 + 5)), 0))
  )
)</f>
        <v>1175.38074963202</v>
      </c>
      <c r="BK59" s="80" t="n">
        <f aca="false" t="array" ref="BK59:BK59">IF(COLUMN() - ($E59 + 5) &lt; 0, 0,
  IF(COLUMN() - ($E59 + 5) = 0, $F59,
    BJ59 * (1 - IFERROR(INDEX('Inputs &amp; Assuptions'!$D$13:$D$72, COLUMN() - ($E59 + 5)), 0))
  )
)</f>
        <v>1172.67737390787</v>
      </c>
      <c r="BL59" s="80" t="n">
        <f aca="false" t="array" ref="BL59:BL59">IF(COLUMN() - ($E59 + 5) &lt; 0, 0,
  IF(COLUMN() - ($E59 + 5) = 0, $F59,
    BK59 * (1 - IFERROR(INDEX('Inputs &amp; Assuptions'!$D$13:$D$72, COLUMN() - ($E59 + 5)), 0))
  )
)</f>
        <v>1170.33201916005</v>
      </c>
      <c r="BM59" s="81" t="n">
        <f aca="false" t="array" ref="BM59:BM59">IF(COLUMN() - ($E59 + 5) &lt; 0, 0,
  IF(COLUMN() - ($E59 + 5) = 0, $F59,
    BL59 * (1 - IFERROR(INDEX('Inputs &amp; Assuptions'!$D$13:$D$72, COLUMN() - ($E59 + 5)), 0))
  )
)</f>
        <v>1168.22542152556</v>
      </c>
      <c r="BN59" s="76"/>
    </row>
    <row r="60" customFormat="false" ht="14.25" hidden="false" customHeight="false" outlineLevel="0" collapsed="false">
      <c r="A60" s="29" t="n">
        <f aca="false">A59+1</f>
        <v>55</v>
      </c>
      <c r="B60" s="77" t="n">
        <f aca="false">IF(MOD($A60-1, 12) = 0, $B59 * 1.05, $B59)</f>
        <v>1215.50625</v>
      </c>
      <c r="C60" s="93" t="n">
        <f aca="false">$B60*(1-'Inputs &amp; Assuptions'!$D$12)</f>
        <v>1188.7651125</v>
      </c>
      <c r="E60" s="29" t="n">
        <f aca="false">E59+1</f>
        <v>55</v>
      </c>
      <c r="F60" s="79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 t="n">
        <f aca="false">$C60</f>
        <v>1188.7651125</v>
      </c>
      <c r="BI60" s="80" t="n">
        <f aca="false" t="array" ref="BI60:BI60">IF(COLUMN() - ($E60 + 5) &lt; 0, 0,
  IF(COLUMN() - ($E60 + 5) = 0, $F60,
    BH60 * (1 - IFERROR(INDEX('Inputs &amp; Assuptions'!$D$13:$D$72, COLUMN() - ($E60 + 5)), 0))
  )
)</f>
        <v>1182.8212869375</v>
      </c>
      <c r="BJ60" s="80" t="n">
        <f aca="false" t="array" ref="BJ60:BJ60">IF(COLUMN() - ($E60 + 5) &lt; 0, 0,
  IF(COLUMN() - ($E60 + 5) = 0, $F60,
    BI60 * (1 - IFERROR(INDEX('Inputs &amp; Assuptions'!$D$13:$D$72, COLUMN() - ($E60 + 5)), 0))
  )
)</f>
        <v>1178.32656604714</v>
      </c>
      <c r="BK60" s="80" t="n">
        <f aca="false" t="array" ref="BK60:BK60">IF(COLUMN() - ($E60 + 5) &lt; 0, 0,
  IF(COLUMN() - ($E60 + 5) = 0, $F60,
    BJ60 * (1 - IFERROR(INDEX('Inputs &amp; Assuptions'!$D$13:$D$72, COLUMN() - ($E60 + 5)), 0))
  )
)</f>
        <v>1175.38074963202</v>
      </c>
      <c r="BL60" s="80" t="n">
        <f aca="false" t="array" ref="BL60:BL60">IF(COLUMN() - ($E60 + 5) &lt; 0, 0,
  IF(COLUMN() - ($E60 + 5) = 0, $F60,
    BK60 * (1 - IFERROR(INDEX('Inputs &amp; Assuptions'!$D$13:$D$72, COLUMN() - ($E60 + 5)), 0))
  )
)</f>
        <v>1172.67737390787</v>
      </c>
      <c r="BM60" s="81" t="n">
        <f aca="false" t="array" ref="BM60:BM60">IF(COLUMN() - ($E60 + 5) &lt; 0, 0,
  IF(COLUMN() - ($E60 + 5) = 0, $F60,
    BL60 * (1 - IFERROR(INDEX('Inputs &amp; Assuptions'!$D$13:$D$72, COLUMN() - ($E60 + 5)), 0))
  )
)</f>
        <v>1170.33201916005</v>
      </c>
      <c r="BN60" s="76"/>
    </row>
    <row r="61" customFormat="false" ht="14.25" hidden="false" customHeight="false" outlineLevel="0" collapsed="false">
      <c r="A61" s="29" t="n">
        <f aca="false">A60+1</f>
        <v>56</v>
      </c>
      <c r="B61" s="77" t="n">
        <f aca="false">IF(MOD($A61-1, 12) = 0, $B60 * 1.05, $B60)</f>
        <v>1215.50625</v>
      </c>
      <c r="C61" s="93" t="n">
        <f aca="false">$B61*(1-'Inputs &amp; Assuptions'!$D$12)</f>
        <v>1188.7651125</v>
      </c>
      <c r="E61" s="29" t="n">
        <f aca="false">E60+1</f>
        <v>56</v>
      </c>
      <c r="F61" s="79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 t="n">
        <f aca="false">$C61</f>
        <v>1188.7651125</v>
      </c>
      <c r="BJ61" s="80" t="n">
        <f aca="false" t="array" ref="BJ61:BJ61">IF(COLUMN() - ($E61 + 5) &lt; 0, 0,
  IF(COLUMN() - ($E61 + 5) = 0, $F61,
    BI61 * (1 - IFERROR(INDEX('Inputs &amp; Assuptions'!$D$13:$D$72, COLUMN() - ($E61 + 5)), 0))
  )
)</f>
        <v>1182.8212869375</v>
      </c>
      <c r="BK61" s="80" t="n">
        <f aca="false" t="array" ref="BK61:BK61">IF(COLUMN() - ($E61 + 5) &lt; 0, 0,
  IF(COLUMN() - ($E61 + 5) = 0, $F61,
    BJ61 * (1 - IFERROR(INDEX('Inputs &amp; Assuptions'!$D$13:$D$72, COLUMN() - ($E61 + 5)), 0))
  )
)</f>
        <v>1178.32656604714</v>
      </c>
      <c r="BL61" s="80" t="n">
        <f aca="false" t="array" ref="BL61:BL61">IF(COLUMN() - ($E61 + 5) &lt; 0, 0,
  IF(COLUMN() - ($E61 + 5) = 0, $F61,
    BK61 * (1 - IFERROR(INDEX('Inputs &amp; Assuptions'!$D$13:$D$72, COLUMN() - ($E61 + 5)), 0))
  )
)</f>
        <v>1175.38074963202</v>
      </c>
      <c r="BM61" s="81" t="n">
        <f aca="false" t="array" ref="BM61:BM61">IF(COLUMN() - ($E61 + 5) &lt; 0, 0,
  IF(COLUMN() - ($E61 + 5) = 0, $F61,
    BL61 * (1 - IFERROR(INDEX('Inputs &amp; Assuptions'!$D$13:$D$72, COLUMN() - ($E61 + 5)), 0))
  )
)</f>
        <v>1172.67737390787</v>
      </c>
      <c r="BN61" s="76"/>
    </row>
    <row r="62" customFormat="false" ht="14.25" hidden="false" customHeight="false" outlineLevel="0" collapsed="false">
      <c r="A62" s="29" t="n">
        <f aca="false">A61+1</f>
        <v>57</v>
      </c>
      <c r="B62" s="77" t="n">
        <f aca="false">IF(MOD($A62-1, 12) = 0, $B61 * 1.05, $B61)</f>
        <v>1215.50625</v>
      </c>
      <c r="C62" s="93" t="n">
        <f aca="false">$B62*(1-'Inputs &amp; Assuptions'!$D$12)</f>
        <v>1188.7651125</v>
      </c>
      <c r="E62" s="29" t="n">
        <f aca="false">E61+1</f>
        <v>57</v>
      </c>
      <c r="F62" s="79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 t="n">
        <f aca="false">$C62</f>
        <v>1188.7651125</v>
      </c>
      <c r="BK62" s="80" t="n">
        <f aca="false" t="array" ref="BK62:BK62">IF(COLUMN() - ($E62 + 5) &lt; 0, 0,
  IF(COLUMN() - ($E62 + 5) = 0, $F62,
    BJ62 * (1 - IFERROR(INDEX('Inputs &amp; Assuptions'!$D$13:$D$72, COLUMN() - ($E62 + 5)), 0))
  )
)</f>
        <v>1182.8212869375</v>
      </c>
      <c r="BL62" s="80" t="n">
        <f aca="false" t="array" ref="BL62:BL62">IF(COLUMN() - ($E62 + 5) &lt; 0, 0,
  IF(COLUMN() - ($E62 + 5) = 0, $F62,
    BK62 * (1 - IFERROR(INDEX('Inputs &amp; Assuptions'!$D$13:$D$72, COLUMN() - ($E62 + 5)), 0))
  )
)</f>
        <v>1178.32656604714</v>
      </c>
      <c r="BM62" s="81" t="n">
        <f aca="false" t="array" ref="BM62:BM62">IF(COLUMN() - ($E62 + 5) &lt; 0, 0,
  IF(COLUMN() - ($E62 + 5) = 0, $F62,
    BL62 * (1 - IFERROR(INDEX('Inputs &amp; Assuptions'!$D$13:$D$72, COLUMN() - ($E62 + 5)), 0))
  )
)</f>
        <v>1175.38074963202</v>
      </c>
      <c r="BN62" s="76"/>
    </row>
    <row r="63" customFormat="false" ht="14.25" hidden="false" customHeight="false" outlineLevel="0" collapsed="false">
      <c r="A63" s="29" t="n">
        <f aca="false">A62+1</f>
        <v>58</v>
      </c>
      <c r="B63" s="77" t="n">
        <f aca="false">IF(MOD($A63-1, 12) = 0, $B62 * 1.05, $B62)</f>
        <v>1215.50625</v>
      </c>
      <c r="C63" s="93" t="n">
        <f aca="false">$B63*(1-'Inputs &amp; Assuptions'!$D$12)</f>
        <v>1188.7651125</v>
      </c>
      <c r="E63" s="29" t="n">
        <f aca="false">E62+1</f>
        <v>58</v>
      </c>
      <c r="F63" s="79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 t="n">
        <f aca="false">$C63</f>
        <v>1188.7651125</v>
      </c>
      <c r="BL63" s="80" t="n">
        <f aca="false" t="array" ref="BL63:BL63">IF(COLUMN() - ($E63 + 5) &lt; 0, 0,
  IF(COLUMN() - ($E63 + 5) = 0, $F63,
    BK63 * (1 - IFERROR(INDEX('Inputs &amp; Assuptions'!$D$13:$D$72, COLUMN() - ($E63 + 5)), 0))
  )
)</f>
        <v>1182.8212869375</v>
      </c>
      <c r="BM63" s="81" t="n">
        <f aca="false" t="array" ref="BM63:BM63">IF(COLUMN() - ($E63 + 5) &lt; 0, 0,
  IF(COLUMN() - ($E63 + 5) = 0, $F63,
    BL63 * (1 - IFERROR(INDEX('Inputs &amp; Assuptions'!$D$13:$D$72, COLUMN() - ($E63 + 5)), 0))
  )
)</f>
        <v>1178.32656604714</v>
      </c>
      <c r="BN63" s="76"/>
    </row>
    <row r="64" customFormat="false" ht="14.25" hidden="false" customHeight="false" outlineLevel="0" collapsed="false">
      <c r="A64" s="29" t="n">
        <f aca="false">A63+1</f>
        <v>59</v>
      </c>
      <c r="B64" s="77" t="n">
        <f aca="false">IF(MOD($A64-1, 12) = 0, $B63 * 1.05, $B63)</f>
        <v>1215.50625</v>
      </c>
      <c r="C64" s="93" t="n">
        <f aca="false">$B64*(1-'Inputs &amp; Assuptions'!$D$12)</f>
        <v>1188.7651125</v>
      </c>
      <c r="E64" s="29" t="n">
        <f aca="false">E63+1</f>
        <v>59</v>
      </c>
      <c r="F64" s="79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 t="n">
        <f aca="false">$C64</f>
        <v>1188.7651125</v>
      </c>
      <c r="BM64" s="81" t="n">
        <f aca="false" t="array" ref="BM64:BM64">IF(COLUMN() - ($E64 + 5) &lt; 0, 0,
  IF(COLUMN() - ($E64 + 5) = 0, $F64,
    BL64 * (1 - IFERROR(INDEX('Inputs &amp; Assuptions'!$D$13:$D$72, COLUMN() - ($E64 + 5)), 0))
  )
)</f>
        <v>1182.8212869375</v>
      </c>
      <c r="BN64" s="76"/>
    </row>
    <row r="65" customFormat="false" ht="14.25" hidden="false" customHeight="false" outlineLevel="0" collapsed="false">
      <c r="A65" s="91" t="n">
        <f aca="false">A64+1</f>
        <v>60</v>
      </c>
      <c r="B65" s="82" t="n">
        <f aca="false">IF(MOD($A65-1, 12) = 0, $B64 * 1.05, $B64)</f>
        <v>1215.50625</v>
      </c>
      <c r="C65" s="94" t="n">
        <f aca="false">$B65*(1-'Inputs &amp; Assuptions'!$D$12)</f>
        <v>1188.7651125</v>
      </c>
      <c r="E65" s="91" t="n">
        <f aca="false">E64+1</f>
        <v>60</v>
      </c>
      <c r="F65" s="84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6" t="n">
        <f aca="false">$C65</f>
        <v>1188.7651125</v>
      </c>
    </row>
    <row r="66" s="16" customFormat="true" ht="14.25" hidden="false" customHeight="false" outlineLevel="0" collapsed="false"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7"/>
    </row>
    <row r="67" customFormat="false" ht="14.25" hidden="false" customHeight="false" outlineLevel="0" collapsed="false">
      <c r="A67" s="95" t="s">
        <v>90</v>
      </c>
      <c r="B67" s="95"/>
      <c r="C67" s="95"/>
      <c r="D67" s="95"/>
      <c r="E67" s="95"/>
      <c r="F67" s="85" t="n">
        <f aca="false">+SUM(F6:F65)</f>
        <v>978</v>
      </c>
      <c r="G67" s="85" t="n">
        <f aca="false">+SUM(G6:G65)</f>
        <v>1951.11</v>
      </c>
      <c r="H67" s="85" t="n">
        <f aca="false">+SUM(H6:H65)</f>
        <v>2920.522182</v>
      </c>
      <c r="I67" s="85" t="n">
        <f aca="false">+SUM(I6:I65)</f>
        <v>3887.510833545</v>
      </c>
      <c r="J67" s="85" t="n">
        <f aca="false">+SUM(J6:J65)</f>
        <v>4852.27541119145</v>
      </c>
      <c r="K67" s="85" t="n">
        <f aca="false">+SUM(K6:K65)</f>
        <v>5815.1104596826</v>
      </c>
      <c r="L67" s="85" t="n">
        <f aca="false">+SUM(L6:L65)</f>
        <v>6776.21240508647</v>
      </c>
      <c r="M67" s="85" t="n">
        <f aca="false">+SUM(M6:M65)</f>
        <v>7735.87269757223</v>
      </c>
      <c r="N67" s="85" t="n">
        <f aca="false">+SUM(N6:N65)</f>
        <v>8694.28543167777</v>
      </c>
      <c r="O67" s="85" t="n">
        <f aca="false">+SUM(O6:O65)</f>
        <v>9651.73975304919</v>
      </c>
      <c r="P67" s="85" t="n">
        <f aca="false">+SUM(P6:P65)</f>
        <v>10608.4281109635</v>
      </c>
      <c r="Q67" s="85" t="n">
        <f aca="false">+SUM(Q6:Q65)</f>
        <v>11564.6381246989</v>
      </c>
      <c r="R67" s="85" t="n">
        <f aca="false">+SUM(R6:R65)</f>
        <v>12569.2700334274</v>
      </c>
      <c r="S67" s="85" t="n">
        <f aca="false">+SUM(S6:S65)</f>
        <v>13573.1795762015</v>
      </c>
      <c r="T67" s="85" t="n">
        <f aca="false">+SUM(T6:T65)</f>
        <v>14576.4266010543</v>
      </c>
      <c r="U67" s="85" t="n">
        <f aca="false">+SUM(U6:U65)</f>
        <v>15579.0750611764</v>
      </c>
      <c r="V67" s="85" t="n">
        <f aca="false">+SUM(V6:V65)</f>
        <v>16581.1351680899</v>
      </c>
      <c r="W67" s="85" t="n">
        <f aca="false">+SUM(W6:W65)</f>
        <v>17582.6218876065</v>
      </c>
      <c r="X67" s="85" t="n">
        <f aca="false">+SUM(X6:X65)</f>
        <v>18583.5452794852</v>
      </c>
      <c r="Y67" s="85" t="n">
        <f aca="false">+SUM(Y6:Y65)</f>
        <v>19583.9201545708</v>
      </c>
      <c r="Z67" s="85" t="n">
        <f aca="false">+SUM(Z6:Z65)</f>
        <v>20583.756455807</v>
      </c>
      <c r="AA67" s="85" t="n">
        <f aca="false">+SUM(AA6:AA65)</f>
        <v>21583.0688785744</v>
      </c>
      <c r="AB67" s="85" t="n">
        <f aca="false">+SUM(AB6:AB65)</f>
        <v>22581.8672833155</v>
      </c>
      <c r="AC67" s="85" t="n">
        <f aca="false">+SUM(AC6:AC65)</f>
        <v>23580.1662888542</v>
      </c>
      <c r="AD67" s="85" t="n">
        <f aca="false">+SUM(AD6:AD65)</f>
        <v>24629.3111448902</v>
      </c>
      <c r="AE67" s="85" t="n">
        <f aca="false">+SUM(AE6:AE65)</f>
        <v>25677.7003759981</v>
      </c>
      <c r="AF67" s="85" t="n">
        <f aca="false">+SUM(AF6:AF65)</f>
        <v>26725.396821183</v>
      </c>
      <c r="AG67" s="85" t="n">
        <f aca="false">+SUM(AG6:AG65)</f>
        <v>27772.4676298662</v>
      </c>
      <c r="AH67" s="85" t="n">
        <f aca="false">+SUM(AH6:AH65)</f>
        <v>28818.9235227175</v>
      </c>
      <c r="AI67" s="85" t="n">
        <f aca="false">+SUM(AI6:AI65)</f>
        <v>29864.7802124119</v>
      </c>
      <c r="AJ67" s="85" t="n">
        <f aca="false">+SUM(AJ6:AJ65)</f>
        <v>30910.0482602693</v>
      </c>
      <c r="AK67" s="85" t="n">
        <f aca="false">+SUM(AK6:AK65)</f>
        <v>31954.7432162507</v>
      </c>
      <c r="AL67" s="85" t="n">
        <f aca="false">+SUM(AL6:AL65)</f>
        <v>32998.8755190219</v>
      </c>
      <c r="AM67" s="85" t="n">
        <f aca="false">+SUM(AM6:AM65)</f>
        <v>34042.4605973073</v>
      </c>
      <c r="AN67" s="85" t="n">
        <f aca="false">+SUM(AN6:AN65)</f>
        <v>35085.5088031481</v>
      </c>
      <c r="AO67" s="85" t="n">
        <f aca="false">+SUM(AO6:AO65)</f>
        <v>36128.035484886</v>
      </c>
      <c r="AP67" s="85" t="n">
        <f aca="false">+SUM(AP6:AP65)</f>
        <v>37223.9531532829</v>
      </c>
      <c r="AQ67" s="85" t="n">
        <f aca="false">+SUM(AQ6:AQ65)</f>
        <v>38319.0802577207</v>
      </c>
      <c r="AR67" s="85" t="n">
        <f aca="false">+SUM(AR6:AR65)</f>
        <v>39413.4827777334</v>
      </c>
      <c r="AS67" s="85" t="n">
        <f aca="false">+SUM(AS6:AS65)</f>
        <v>40507.231218793</v>
      </c>
      <c r="AT67" s="85" t="n">
        <f aca="false">+SUM(AT6:AT65)</f>
        <v>41600.3368361831</v>
      </c>
      <c r="AU67" s="85" t="n">
        <f aca="false">+SUM(AU6:AU65)</f>
        <v>42692.8161267935</v>
      </c>
      <c r="AV67" s="85" t="n">
        <f aca="false">+SUM(AV6:AV65)</f>
        <v>43784.680178592</v>
      </c>
      <c r="AW67" s="85" t="n">
        <f aca="false">+SUM(AW6:AW65)</f>
        <v>44875.9453176198</v>
      </c>
      <c r="AX67" s="85" t="n">
        <f aca="false">+SUM(AX6:AX65)</f>
        <v>45966.6225030592</v>
      </c>
      <c r="AY67" s="85" t="n">
        <f aca="false">+SUM(AY6:AY65)</f>
        <v>47056.7279336549</v>
      </c>
      <c r="AZ67" s="85" t="n">
        <f aca="false">+SUM(AZ6:AZ65)</f>
        <v>48146.2724776345</v>
      </c>
      <c r="BA67" s="85" t="n">
        <f aca="false">+SUM(BA6:BA65)</f>
        <v>49235.272249342</v>
      </c>
      <c r="BB67" s="85" t="n">
        <f aca="false">+SUM(BB6:BB65)</f>
        <v>50380.3353836638</v>
      </c>
      <c r="BC67" s="85" t="n">
        <f aca="false">+SUM(BC6:BC65)</f>
        <v>51524.5712510371</v>
      </c>
      <c r="BD67" s="85" t="n">
        <f aca="false">+SUM(BD6:BD65)</f>
        <v>52668.0491285602</v>
      </c>
      <c r="BE67" s="85" t="n">
        <f aca="false">+SUM(BE6:BE65)</f>
        <v>53810.8430455668</v>
      </c>
      <c r="BF67" s="85" t="n">
        <f aca="false">+SUM(BF6:BF65)</f>
        <v>54952.9648186935</v>
      </c>
      <c r="BG67" s="85" t="n">
        <f aca="false">+SUM(BG6:BG65)</f>
        <v>56094.4317682641</v>
      </c>
      <c r="BH67" s="85" t="n">
        <f aca="false">+SUM(BH6:BH65)</f>
        <v>57235.2555352349</v>
      </c>
      <c r="BI67" s="85" t="n">
        <f aca="false">+SUM(BI6:BI65)</f>
        <v>58375.4532605403</v>
      </c>
      <c r="BJ67" s="85" t="n">
        <f aca="false">+SUM(BJ6:BJ65)</f>
        <v>59515.0364499131</v>
      </c>
      <c r="BK67" s="85" t="n">
        <f aca="false">+SUM(BK6:BK65)</f>
        <v>60654.0221106278</v>
      </c>
      <c r="BL67" s="85" t="n">
        <f aca="false">+SUM(BL6:BL65)</f>
        <v>61792.4216529162</v>
      </c>
      <c r="BM67" s="85" t="n">
        <f aca="false">+SUM(BM6:BM65)</f>
        <v>62930.2519954334</v>
      </c>
    </row>
  </sheetData>
  <mergeCells count="1">
    <mergeCell ref="I1:J1"/>
  </mergeCells>
  <conditionalFormatting sqref="F2:F3">
    <cfRule type="cellIs" priority="2" operator="lessThan" aboveAverage="0" equalAverage="0" bottom="0" percent="0" rank="0" text="" dxfId="26">
      <formula>0</formula>
    </cfRule>
  </conditionalFormatting>
  <conditionalFormatting sqref="F5:BM5">
    <cfRule type="cellIs" priority="3" operator="lessThan" aboveAverage="0" equalAverage="0" bottom="0" percent="0" rank="0" text="" dxfId="27">
      <formula>0</formula>
    </cfRule>
  </conditionalFormatting>
  <conditionalFormatting sqref="B5:C5">
    <cfRule type="cellIs" priority="4" operator="lessThan" aboveAverage="0" equalAverage="0" bottom="0" percent="0" rank="0" text="" dxfId="28">
      <formula>0</formula>
    </cfRule>
  </conditionalFormatting>
  <conditionalFormatting sqref="E5:E65">
    <cfRule type="cellIs" priority="5" operator="lessThan" aboveAverage="0" equalAverage="0" bottom="0" percent="0" rank="0" text="" dxfId="29">
      <formula>0</formula>
    </cfRule>
  </conditionalFormatting>
  <conditionalFormatting sqref="A5:A65">
    <cfRule type="cellIs" priority="6" operator="lessThan" aboveAverage="0" equalAverage="0" bottom="0" percent="0" rank="0" text="" dxfId="3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2025-11-19T01:05:23Z</dcterms:created>
  <dc:creator>Aleesha Reddy</dc:creator>
  <dc:description/>
  <dc:language>en-ZA</dc:language>
  <cp:lastModifiedBy/>
  <dcterms:modified xsi:type="dcterms:W3CDTF">2026-04-17T23:25:27Z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