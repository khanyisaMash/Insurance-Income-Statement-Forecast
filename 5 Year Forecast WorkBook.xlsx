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bertyholdings-my.sharepoint.com/personal/khanyisa_mashale_liberty_co_za/Documents/"/>
    </mc:Choice>
  </mc:AlternateContent>
  <xr:revisionPtr revIDLastSave="0" documentId="8_{D87FFCEB-D82F-4032-8DB0-131AA4AE8C79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Inputs &amp; Assuptions" sheetId="1" r:id="rId1"/>
    <sheet name="Summary" sheetId="2" r:id="rId2"/>
    <sheet name="Visuals" sheetId="3" r:id="rId3"/>
    <sheet name="Channel 1_calculations" sheetId="4" r:id="rId4"/>
    <sheet name="Channel 2_calculations" sheetId="5" r:id="rId5"/>
    <sheet name="Channel 3_calculations" sheetId="6" r:id="rId6"/>
    <sheet name="Channel 1 Sales" sheetId="7" r:id="rId7"/>
    <sheet name="Channel 2 Sales" sheetId="8" r:id="rId8"/>
    <sheet name="Channel 3 Sales" sheetId="9" r:id="rId9"/>
  </sheets>
  <definedNames>
    <definedName name="CALC_REMAINED">'Inputs &amp; Assuptions'!$B$13:$B$72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3" i="3" l="1"/>
  <c r="R4" i="3"/>
  <c r="U4" i="3" s="1"/>
  <c r="S4" i="3"/>
  <c r="T4" i="3"/>
  <c r="R5" i="3"/>
  <c r="S5" i="3"/>
  <c r="T5" i="3"/>
  <c r="R6" i="3"/>
  <c r="S6" i="3"/>
  <c r="T6" i="3"/>
  <c r="R7" i="3"/>
  <c r="S7" i="3"/>
  <c r="T7" i="3"/>
  <c r="T3" i="3"/>
  <c r="S3" i="3"/>
  <c r="R3" i="3"/>
  <c r="D7" i="6"/>
  <c r="D6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7" i="5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" i="5"/>
  <c r="H1" i="5"/>
  <c r="H2" i="5"/>
  <c r="D6" i="4"/>
  <c r="Q4" i="3"/>
  <c r="Q5" i="3" s="1"/>
  <c r="Q6" i="3" s="1"/>
  <c r="Q7" i="3" s="1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7" i="9"/>
  <c r="B6" i="9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7" i="8"/>
  <c r="B6" i="8"/>
  <c r="G3" i="9"/>
  <c r="G2" i="9"/>
  <c r="G3" i="8"/>
  <c r="G2" i="8"/>
  <c r="G3" i="7"/>
  <c r="G2" i="7"/>
  <c r="F2" i="6"/>
  <c r="C3" i="6"/>
  <c r="C2" i="6"/>
  <c r="C1" i="6"/>
  <c r="F2" i="5"/>
  <c r="C3" i="5"/>
  <c r="C2" i="5"/>
  <c r="C1" i="5"/>
  <c r="F2" i="4"/>
  <c r="C3" i="4"/>
  <c r="C2" i="4"/>
  <c r="C1" i="4"/>
  <c r="B6" i="7"/>
  <c r="C18" i="9"/>
  <c r="R18" i="9" s="1"/>
  <c r="E7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G5" i="9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E7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G5" i="8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E7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G5" i="7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BI5" i="7" s="1"/>
  <c r="BJ5" i="7" s="1"/>
  <c r="BK5" i="7" s="1"/>
  <c r="BL5" i="7" s="1"/>
  <c r="BM5" i="7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7" i="4"/>
  <c r="A8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45" i="2"/>
  <c r="A46" i="2" s="1"/>
  <c r="A47" i="2" s="1"/>
  <c r="A48" i="2" s="1"/>
  <c r="A37" i="2"/>
  <c r="A38" i="2" s="1"/>
  <c r="A39" i="2" s="1"/>
  <c r="A40" i="2" s="1"/>
  <c r="A29" i="2"/>
  <c r="A30" i="2" s="1"/>
  <c r="A31" i="2" s="1"/>
  <c r="A32" i="2" s="1"/>
  <c r="A17" i="2"/>
  <c r="A18" i="2" s="1"/>
  <c r="A19" i="2" s="1"/>
  <c r="A20" i="2" s="1"/>
  <c r="U6" i="3" l="1"/>
  <c r="U7" i="3"/>
  <c r="U5" i="3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D7" i="4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C6" i="7"/>
  <c r="E8" i="7"/>
  <c r="C8" i="7"/>
  <c r="C9" i="7"/>
  <c r="C10" i="7"/>
  <c r="C11" i="7"/>
  <c r="C12" i="7"/>
  <c r="C13" i="7"/>
  <c r="C14" i="7"/>
  <c r="C15" i="7"/>
  <c r="C16" i="7"/>
  <c r="C17" i="7"/>
  <c r="C18" i="7"/>
  <c r="C30" i="7"/>
  <c r="C42" i="7"/>
  <c r="C54" i="7"/>
  <c r="C6" i="8"/>
  <c r="C7" i="8"/>
  <c r="E8" i="8"/>
  <c r="C8" i="8"/>
  <c r="C9" i="8"/>
  <c r="J10" i="8"/>
  <c r="C10" i="8"/>
  <c r="C11" i="8"/>
  <c r="C12" i="8"/>
  <c r="C13" i="8"/>
  <c r="C14" i="8"/>
  <c r="C15" i="8"/>
  <c r="C16" i="8"/>
  <c r="C17" i="8"/>
  <c r="C18" i="8"/>
  <c r="C30" i="8"/>
  <c r="C42" i="8"/>
  <c r="C54" i="8"/>
  <c r="C6" i="9"/>
  <c r="C7" i="9"/>
  <c r="E8" i="9"/>
  <c r="C8" i="9"/>
  <c r="C9" i="9"/>
  <c r="C10" i="9"/>
  <c r="C11" i="9"/>
  <c r="C12" i="9"/>
  <c r="C13" i="9"/>
  <c r="C14" i="9"/>
  <c r="C15" i="9"/>
  <c r="C16" i="9"/>
  <c r="C17" i="9"/>
  <c r="B18" i="6"/>
  <c r="C30" i="9"/>
  <c r="C42" i="9"/>
  <c r="C54" i="9"/>
  <c r="B54" i="6" l="1"/>
  <c r="BB54" i="9"/>
  <c r="B42" i="6"/>
  <c r="AP42" i="9"/>
  <c r="B30" i="6"/>
  <c r="AD30" i="9"/>
  <c r="B17" i="6"/>
  <c r="Q17" i="9"/>
  <c r="B16" i="6"/>
  <c r="P16" i="9"/>
  <c r="B15" i="6"/>
  <c r="O15" i="9"/>
  <c r="B14" i="6"/>
  <c r="N14" i="9"/>
  <c r="B13" i="6"/>
  <c r="M13" i="9"/>
  <c r="B12" i="6"/>
  <c r="L12" i="9"/>
  <c r="B11" i="6"/>
  <c r="K11" i="9"/>
  <c r="B10" i="6"/>
  <c r="J10" i="9"/>
  <c r="B9" i="6"/>
  <c r="I9" i="9"/>
  <c r="B8" i="6"/>
  <c r="H8" i="9"/>
  <c r="B7" i="6"/>
  <c r="G7" i="9"/>
  <c r="H7" i="9" s="1" a="1"/>
  <c r="H7" i="9" s="1"/>
  <c r="I7" i="9" s="1" a="1"/>
  <c r="I7" i="9" s="1"/>
  <c r="J7" i="9" s="1" a="1"/>
  <c r="J7" i="9" s="1"/>
  <c r="K7" i="9" s="1" a="1"/>
  <c r="K7" i="9" s="1"/>
  <c r="L7" i="9" s="1" a="1"/>
  <c r="L7" i="9" s="1"/>
  <c r="M7" i="9" s="1" a="1"/>
  <c r="M7" i="9" s="1"/>
  <c r="N7" i="9" s="1" a="1"/>
  <c r="N7" i="9" s="1"/>
  <c r="O7" i="9" s="1" a="1"/>
  <c r="O7" i="9" s="1"/>
  <c r="P7" i="9" s="1" a="1"/>
  <c r="P7" i="9" s="1"/>
  <c r="Q7" i="9" s="1" a="1"/>
  <c r="Q7" i="9" s="1"/>
  <c r="R7" i="9" s="1" a="1"/>
  <c r="R7" i="9" s="1"/>
  <c r="S7" i="9" s="1" a="1"/>
  <c r="S7" i="9" s="1"/>
  <c r="T7" i="9" s="1" a="1"/>
  <c r="T7" i="9" s="1"/>
  <c r="U7" i="9" s="1" a="1"/>
  <c r="U7" i="9" s="1"/>
  <c r="V7" i="9" s="1" a="1"/>
  <c r="V7" i="9" s="1"/>
  <c r="W7" i="9" s="1" a="1"/>
  <c r="W7" i="9" s="1"/>
  <c r="X7" i="9" s="1" a="1"/>
  <c r="X7" i="9" s="1"/>
  <c r="Y7" i="9" s="1" a="1"/>
  <c r="Y7" i="9" s="1"/>
  <c r="Z7" i="9" s="1" a="1"/>
  <c r="Z7" i="9" s="1"/>
  <c r="AA7" i="9" s="1" a="1"/>
  <c r="AA7" i="9" s="1"/>
  <c r="AB7" i="9" s="1" a="1"/>
  <c r="AB7" i="9" s="1"/>
  <c r="AC7" i="9" s="1" a="1"/>
  <c r="AC7" i="9" s="1"/>
  <c r="AD7" i="9" s="1" a="1"/>
  <c r="AD7" i="9" s="1"/>
  <c r="AE7" i="9" s="1" a="1"/>
  <c r="AE7" i="9" s="1"/>
  <c r="AF7" i="9" s="1" a="1"/>
  <c r="AF7" i="9" s="1"/>
  <c r="AG7" i="9" s="1" a="1"/>
  <c r="AG7" i="9" s="1"/>
  <c r="AH7" i="9" s="1" a="1"/>
  <c r="AH7" i="9" s="1"/>
  <c r="AI7" i="9" s="1" a="1"/>
  <c r="AI7" i="9" s="1"/>
  <c r="AJ7" i="9" s="1" a="1"/>
  <c r="AJ7" i="9" s="1"/>
  <c r="AK7" i="9" s="1" a="1"/>
  <c r="AK7" i="9" s="1"/>
  <c r="AL7" i="9" s="1" a="1"/>
  <c r="AL7" i="9" s="1"/>
  <c r="AM7" i="9" s="1" a="1"/>
  <c r="AM7" i="9" s="1"/>
  <c r="AN7" i="9" s="1" a="1"/>
  <c r="AN7" i="9" s="1"/>
  <c r="AO7" i="9" s="1" a="1"/>
  <c r="AO7" i="9" s="1"/>
  <c r="AP7" i="9" s="1" a="1"/>
  <c r="AP7" i="9" s="1"/>
  <c r="AQ7" i="9" s="1" a="1"/>
  <c r="AQ7" i="9" s="1"/>
  <c r="AR7" i="9" s="1" a="1"/>
  <c r="AR7" i="9" s="1"/>
  <c r="AS7" i="9" s="1" a="1"/>
  <c r="AS7" i="9" s="1"/>
  <c r="AT7" i="9" s="1" a="1"/>
  <c r="AT7" i="9" s="1"/>
  <c r="AU7" i="9" s="1" a="1"/>
  <c r="AU7" i="9" s="1"/>
  <c r="AV7" i="9" s="1" a="1"/>
  <c r="AV7" i="9" s="1"/>
  <c r="AW7" i="9" s="1" a="1"/>
  <c r="AW7" i="9" s="1"/>
  <c r="AX7" i="9" s="1" a="1"/>
  <c r="AX7" i="9" s="1"/>
  <c r="AY7" i="9" s="1" a="1"/>
  <c r="AY7" i="9" s="1"/>
  <c r="AZ7" i="9" s="1" a="1"/>
  <c r="AZ7" i="9" s="1"/>
  <c r="BA7" i="9" s="1" a="1"/>
  <c r="BA7" i="9" s="1"/>
  <c r="BB7" i="9" s="1" a="1"/>
  <c r="BB7" i="9" s="1"/>
  <c r="BC7" i="9" s="1" a="1"/>
  <c r="BC7" i="9" s="1"/>
  <c r="BD7" i="9" s="1" a="1"/>
  <c r="BD7" i="9" s="1"/>
  <c r="BE7" i="9" s="1" a="1"/>
  <c r="BE7" i="9" s="1"/>
  <c r="BF7" i="9" s="1" a="1"/>
  <c r="BF7" i="9" s="1"/>
  <c r="BG7" i="9" s="1" a="1"/>
  <c r="BG7" i="9" s="1"/>
  <c r="BH7" i="9" s="1" a="1"/>
  <c r="BH7" i="9" s="1"/>
  <c r="BI7" i="9" s="1" a="1"/>
  <c r="BI7" i="9" s="1"/>
  <c r="BJ7" i="9" s="1" a="1"/>
  <c r="BJ7" i="9" s="1"/>
  <c r="BK7" i="9" s="1" a="1"/>
  <c r="BK7" i="9" s="1"/>
  <c r="BL7" i="9" s="1" a="1"/>
  <c r="BL7" i="9" s="1"/>
  <c r="BM7" i="9" s="1" a="1"/>
  <c r="BM7" i="9" s="1"/>
  <c r="B6" i="6"/>
  <c r="F6" i="9"/>
  <c r="B54" i="5"/>
  <c r="BB54" i="8"/>
  <c r="B42" i="5"/>
  <c r="AP42" i="8"/>
  <c r="B30" i="5"/>
  <c r="AD30" i="8"/>
  <c r="B18" i="5"/>
  <c r="R18" i="8"/>
  <c r="B17" i="5"/>
  <c r="Q17" i="8"/>
  <c r="B16" i="5"/>
  <c r="P16" i="8"/>
  <c r="B15" i="5"/>
  <c r="O15" i="8"/>
  <c r="B14" i="5"/>
  <c r="N14" i="8"/>
  <c r="B13" i="5"/>
  <c r="M13" i="8"/>
  <c r="B12" i="5"/>
  <c r="L12" i="8"/>
  <c r="B11" i="5"/>
  <c r="K11" i="8"/>
  <c r="B10" i="5"/>
  <c r="I10" i="8"/>
  <c r="B9" i="5"/>
  <c r="J9" i="8"/>
  <c r="I9" i="8"/>
  <c r="B8" i="5"/>
  <c r="H8" i="8"/>
  <c r="B7" i="5"/>
  <c r="G7" i="8"/>
  <c r="H7" i="8" s="1" a="1"/>
  <c r="H7" i="8" s="1"/>
  <c r="I7" i="8" s="1" a="1"/>
  <c r="I7" i="8" s="1"/>
  <c r="J7" i="8" s="1" a="1"/>
  <c r="J7" i="8" s="1"/>
  <c r="K7" i="8" s="1" a="1"/>
  <c r="K7" i="8" s="1"/>
  <c r="L7" i="8" s="1" a="1"/>
  <c r="L7" i="8" s="1"/>
  <c r="M7" i="8" s="1" a="1"/>
  <c r="M7" i="8" s="1"/>
  <c r="N7" i="8" s="1" a="1"/>
  <c r="N7" i="8" s="1"/>
  <c r="O7" i="8" s="1" a="1"/>
  <c r="O7" i="8" s="1"/>
  <c r="P7" i="8" s="1" a="1"/>
  <c r="P7" i="8" s="1"/>
  <c r="Q7" i="8" s="1" a="1"/>
  <c r="Q7" i="8" s="1"/>
  <c r="R7" i="8" s="1" a="1"/>
  <c r="R7" i="8" s="1"/>
  <c r="S7" i="8" s="1" a="1"/>
  <c r="S7" i="8" s="1"/>
  <c r="T7" i="8" s="1" a="1"/>
  <c r="T7" i="8" s="1"/>
  <c r="U7" i="8" s="1" a="1"/>
  <c r="U7" i="8" s="1"/>
  <c r="V7" i="8" s="1" a="1"/>
  <c r="V7" i="8" s="1"/>
  <c r="W7" i="8" s="1" a="1"/>
  <c r="W7" i="8" s="1"/>
  <c r="X7" i="8" s="1" a="1"/>
  <c r="X7" i="8" s="1"/>
  <c r="Y7" i="8" s="1" a="1"/>
  <c r="Y7" i="8" s="1"/>
  <c r="Z7" i="8" s="1" a="1"/>
  <c r="Z7" i="8" s="1"/>
  <c r="AA7" i="8" s="1" a="1"/>
  <c r="AA7" i="8" s="1"/>
  <c r="AB7" i="8" s="1" a="1"/>
  <c r="AB7" i="8" s="1"/>
  <c r="AC7" i="8" s="1" a="1"/>
  <c r="AC7" i="8" s="1"/>
  <c r="AD7" i="8" s="1" a="1"/>
  <c r="AD7" i="8" s="1"/>
  <c r="AE7" i="8" s="1" a="1"/>
  <c r="AE7" i="8" s="1"/>
  <c r="AF7" i="8" s="1" a="1"/>
  <c r="AF7" i="8" s="1"/>
  <c r="AG7" i="8" s="1" a="1"/>
  <c r="AG7" i="8" s="1"/>
  <c r="AH7" i="8" s="1" a="1"/>
  <c r="AH7" i="8" s="1"/>
  <c r="AI7" i="8" s="1" a="1"/>
  <c r="AI7" i="8" s="1"/>
  <c r="AJ7" i="8" s="1" a="1"/>
  <c r="AJ7" i="8" s="1"/>
  <c r="AK7" i="8" s="1" a="1"/>
  <c r="AK7" i="8" s="1"/>
  <c r="AL7" i="8" s="1" a="1"/>
  <c r="AL7" i="8" s="1"/>
  <c r="AM7" i="8" s="1" a="1"/>
  <c r="AM7" i="8" s="1"/>
  <c r="AN7" i="8" s="1" a="1"/>
  <c r="AN7" i="8" s="1"/>
  <c r="AO7" i="8" s="1" a="1"/>
  <c r="AO7" i="8" s="1"/>
  <c r="AP7" i="8" s="1" a="1"/>
  <c r="AP7" i="8" s="1"/>
  <c r="AQ7" i="8" s="1" a="1"/>
  <c r="AQ7" i="8" s="1"/>
  <c r="AR7" i="8" s="1" a="1"/>
  <c r="AR7" i="8" s="1"/>
  <c r="AS7" i="8" s="1" a="1"/>
  <c r="AS7" i="8" s="1"/>
  <c r="AT7" i="8" s="1" a="1"/>
  <c r="AT7" i="8" s="1"/>
  <c r="AU7" i="8" s="1" a="1"/>
  <c r="AU7" i="8" s="1"/>
  <c r="AV7" i="8" s="1" a="1"/>
  <c r="AV7" i="8" s="1"/>
  <c r="AW7" i="8" s="1" a="1"/>
  <c r="AW7" i="8" s="1"/>
  <c r="AX7" i="8" s="1" a="1"/>
  <c r="AX7" i="8" s="1"/>
  <c r="AY7" i="8" s="1" a="1"/>
  <c r="AY7" i="8" s="1"/>
  <c r="AZ7" i="8" s="1" a="1"/>
  <c r="AZ7" i="8" s="1"/>
  <c r="BA7" i="8" s="1" a="1"/>
  <c r="BA7" i="8" s="1"/>
  <c r="BB7" i="8" s="1" a="1"/>
  <c r="BB7" i="8" s="1"/>
  <c r="BC7" i="8" s="1" a="1"/>
  <c r="BC7" i="8" s="1"/>
  <c r="BD7" i="8" s="1" a="1"/>
  <c r="BD7" i="8" s="1"/>
  <c r="BE7" i="8" s="1" a="1"/>
  <c r="BE7" i="8" s="1"/>
  <c r="BF7" i="8" s="1" a="1"/>
  <c r="BF7" i="8" s="1"/>
  <c r="BG7" i="8" s="1" a="1"/>
  <c r="BG7" i="8" s="1"/>
  <c r="BH7" i="8" s="1" a="1"/>
  <c r="BH7" i="8" s="1"/>
  <c r="BI7" i="8" s="1" a="1"/>
  <c r="BI7" i="8" s="1"/>
  <c r="BJ7" i="8" s="1" a="1"/>
  <c r="BJ7" i="8" s="1"/>
  <c r="BK7" i="8" s="1" a="1"/>
  <c r="BK7" i="8" s="1"/>
  <c r="BL7" i="8" s="1" a="1"/>
  <c r="BL7" i="8" s="1"/>
  <c r="BM7" i="8" s="1" a="1"/>
  <c r="BM7" i="8" s="1"/>
  <c r="B6" i="5"/>
  <c r="F6" i="8"/>
  <c r="B54" i="4"/>
  <c r="F54" i="4" s="1"/>
  <c r="BB54" i="7"/>
  <c r="B42" i="4"/>
  <c r="F42" i="4" s="1"/>
  <c r="AP42" i="7"/>
  <c r="B30" i="4"/>
  <c r="F30" i="4" s="1"/>
  <c r="AD30" i="7"/>
  <c r="B18" i="4"/>
  <c r="F18" i="4" s="1"/>
  <c r="R18" i="7"/>
  <c r="B17" i="4"/>
  <c r="F17" i="4" s="1"/>
  <c r="Q17" i="7"/>
  <c r="B16" i="4"/>
  <c r="F16" i="4" s="1"/>
  <c r="P16" i="7"/>
  <c r="B15" i="4"/>
  <c r="F15" i="4" s="1"/>
  <c r="O15" i="7"/>
  <c r="B14" i="4"/>
  <c r="F14" i="4" s="1"/>
  <c r="N14" i="7"/>
  <c r="B13" i="4"/>
  <c r="F13" i="4" s="1"/>
  <c r="M13" i="7"/>
  <c r="B12" i="4"/>
  <c r="F12" i="4" s="1"/>
  <c r="L12" i="7"/>
  <c r="B11" i="4"/>
  <c r="F11" i="4" s="1"/>
  <c r="K11" i="7"/>
  <c r="B10" i="4"/>
  <c r="F10" i="4" s="1"/>
  <c r="J10" i="7"/>
  <c r="B9" i="4"/>
  <c r="F9" i="4" s="1"/>
  <c r="I9" i="7"/>
  <c r="B8" i="4"/>
  <c r="F8" i="4" s="1"/>
  <c r="H8" i="7"/>
  <c r="B6" i="4"/>
  <c r="F6" i="4" s="1"/>
  <c r="F6" i="7"/>
  <c r="G6" i="7" s="1" a="1"/>
  <c r="G6" i="7" s="1"/>
  <c r="C55" i="9"/>
  <c r="C56" i="9"/>
  <c r="C57" i="9"/>
  <c r="C58" i="9"/>
  <c r="C59" i="9"/>
  <c r="C60" i="9"/>
  <c r="C61" i="9"/>
  <c r="C62" i="9"/>
  <c r="C63" i="9"/>
  <c r="C64" i="9"/>
  <c r="C65" i="9"/>
  <c r="C43" i="9"/>
  <c r="C44" i="9"/>
  <c r="C45" i="9"/>
  <c r="C46" i="9"/>
  <c r="C47" i="9"/>
  <c r="C48" i="9"/>
  <c r="C49" i="9"/>
  <c r="C50" i="9"/>
  <c r="C51" i="9"/>
  <c r="C52" i="9"/>
  <c r="C53" i="9"/>
  <c r="C31" i="9"/>
  <c r="C32" i="9"/>
  <c r="C33" i="9"/>
  <c r="C34" i="9"/>
  <c r="C35" i="9"/>
  <c r="C36" i="9"/>
  <c r="C37" i="9"/>
  <c r="C38" i="9"/>
  <c r="C39" i="9"/>
  <c r="C40" i="9"/>
  <c r="C41" i="9"/>
  <c r="C19" i="9"/>
  <c r="C20" i="9"/>
  <c r="C21" i="9"/>
  <c r="C22" i="9"/>
  <c r="C23" i="9"/>
  <c r="C24" i="9"/>
  <c r="C25" i="9"/>
  <c r="C26" i="9"/>
  <c r="C27" i="9"/>
  <c r="C28" i="9"/>
  <c r="C29" i="9"/>
  <c r="E9" i="9"/>
  <c r="I8" i="9" a="1"/>
  <c r="I8" i="9" s="1"/>
  <c r="J8" i="9" s="1" a="1"/>
  <c r="J8" i="9" s="1"/>
  <c r="K8" i="9" s="1" a="1"/>
  <c r="K8" i="9" s="1"/>
  <c r="L8" i="9" s="1" a="1"/>
  <c r="L8" i="9" s="1"/>
  <c r="M8" i="9" s="1" a="1"/>
  <c r="M8" i="9" s="1"/>
  <c r="N8" i="9" s="1" a="1"/>
  <c r="N8" i="9" s="1"/>
  <c r="O8" i="9" s="1" a="1"/>
  <c r="O8" i="9" s="1"/>
  <c r="P8" i="9" s="1" a="1"/>
  <c r="P8" i="9" s="1"/>
  <c r="Q8" i="9" s="1" a="1"/>
  <c r="Q8" i="9" s="1"/>
  <c r="R8" i="9" s="1" a="1"/>
  <c r="R8" i="9" s="1"/>
  <c r="S8" i="9" s="1" a="1"/>
  <c r="S8" i="9" s="1"/>
  <c r="T8" i="9" s="1" a="1"/>
  <c r="T8" i="9" s="1"/>
  <c r="U8" i="9" s="1" a="1"/>
  <c r="U8" i="9" s="1"/>
  <c r="V8" i="9" s="1" a="1"/>
  <c r="V8" i="9" s="1"/>
  <c r="W8" i="9" s="1" a="1"/>
  <c r="W8" i="9" s="1"/>
  <c r="X8" i="9" s="1" a="1"/>
  <c r="X8" i="9" s="1"/>
  <c r="Y8" i="9" s="1" a="1"/>
  <c r="Y8" i="9" s="1"/>
  <c r="Z8" i="9" s="1" a="1"/>
  <c r="Z8" i="9" s="1"/>
  <c r="AA8" i="9" s="1" a="1"/>
  <c r="AA8" i="9" s="1"/>
  <c r="AB8" i="9" s="1" a="1"/>
  <c r="AB8" i="9" s="1"/>
  <c r="AC8" i="9" s="1" a="1"/>
  <c r="AC8" i="9" s="1"/>
  <c r="AD8" i="9" s="1" a="1"/>
  <c r="AD8" i="9" s="1"/>
  <c r="AE8" i="9" s="1" a="1"/>
  <c r="AE8" i="9" s="1"/>
  <c r="AF8" i="9" s="1" a="1"/>
  <c r="AF8" i="9" s="1"/>
  <c r="AG8" i="9" s="1" a="1"/>
  <c r="AG8" i="9" s="1"/>
  <c r="AH8" i="9" s="1" a="1"/>
  <c r="AH8" i="9" s="1"/>
  <c r="AI8" i="9" s="1" a="1"/>
  <c r="AI8" i="9" s="1"/>
  <c r="AJ8" i="9" s="1" a="1"/>
  <c r="AJ8" i="9" s="1"/>
  <c r="AK8" i="9" s="1" a="1"/>
  <c r="AK8" i="9" s="1"/>
  <c r="AL8" i="9" s="1" a="1"/>
  <c r="AL8" i="9" s="1"/>
  <c r="AM8" i="9" s="1" a="1"/>
  <c r="AM8" i="9" s="1"/>
  <c r="AN8" i="9" s="1" a="1"/>
  <c r="AN8" i="9" s="1"/>
  <c r="AO8" i="9" s="1" a="1"/>
  <c r="AO8" i="9" s="1"/>
  <c r="AP8" i="9" s="1" a="1"/>
  <c r="AP8" i="9" s="1"/>
  <c r="AQ8" i="9" s="1" a="1"/>
  <c r="AQ8" i="9" s="1"/>
  <c r="AR8" i="9" s="1" a="1"/>
  <c r="AR8" i="9" s="1"/>
  <c r="AS8" i="9" s="1" a="1"/>
  <c r="AS8" i="9" s="1"/>
  <c r="AT8" i="9" s="1" a="1"/>
  <c r="AT8" i="9" s="1"/>
  <c r="AU8" i="9" s="1" a="1"/>
  <c r="AU8" i="9" s="1"/>
  <c r="AV8" i="9" s="1" a="1"/>
  <c r="AV8" i="9" s="1"/>
  <c r="AW8" i="9" s="1" a="1"/>
  <c r="AW8" i="9" s="1"/>
  <c r="AX8" i="9" s="1" a="1"/>
  <c r="AX8" i="9" s="1"/>
  <c r="AY8" i="9" s="1" a="1"/>
  <c r="AY8" i="9" s="1"/>
  <c r="AZ8" i="9" s="1" a="1"/>
  <c r="AZ8" i="9" s="1"/>
  <c r="BA8" i="9" s="1" a="1"/>
  <c r="BA8" i="9" s="1"/>
  <c r="BB8" i="9" s="1" a="1"/>
  <c r="BB8" i="9" s="1"/>
  <c r="BC8" i="9" s="1" a="1"/>
  <c r="BC8" i="9" s="1"/>
  <c r="BD8" i="9" s="1" a="1"/>
  <c r="BD8" i="9" s="1"/>
  <c r="BE8" i="9" s="1" a="1"/>
  <c r="BE8" i="9" s="1"/>
  <c r="BF8" i="9" s="1" a="1"/>
  <c r="BF8" i="9" s="1"/>
  <c r="BG8" i="9" s="1" a="1"/>
  <c r="BG8" i="9" s="1"/>
  <c r="BH8" i="9" s="1" a="1"/>
  <c r="BH8" i="9" s="1"/>
  <c r="BI8" i="9" s="1" a="1"/>
  <c r="BI8" i="9" s="1"/>
  <c r="BJ8" i="9" s="1" a="1"/>
  <c r="BJ8" i="9" s="1"/>
  <c r="BK8" i="9" s="1" a="1"/>
  <c r="BK8" i="9" s="1"/>
  <c r="BL8" i="9" s="1" a="1"/>
  <c r="BL8" i="9" s="1"/>
  <c r="BM8" i="9" s="1" a="1"/>
  <c r="BM8" i="9" s="1"/>
  <c r="F67" i="9"/>
  <c r="G6" i="9" a="1"/>
  <c r="G6" i="9" s="1"/>
  <c r="C55" i="8"/>
  <c r="C56" i="8"/>
  <c r="C57" i="8"/>
  <c r="C58" i="8"/>
  <c r="C59" i="8"/>
  <c r="C60" i="8"/>
  <c r="C61" i="8"/>
  <c r="C62" i="8"/>
  <c r="C63" i="8"/>
  <c r="C64" i="8"/>
  <c r="C65" i="8"/>
  <c r="C43" i="8"/>
  <c r="C44" i="8"/>
  <c r="C45" i="8"/>
  <c r="C46" i="8"/>
  <c r="C47" i="8"/>
  <c r="C48" i="8"/>
  <c r="C49" i="8"/>
  <c r="C50" i="8"/>
  <c r="C51" i="8"/>
  <c r="C52" i="8"/>
  <c r="C53" i="8"/>
  <c r="C31" i="8"/>
  <c r="C32" i="8"/>
  <c r="C33" i="8"/>
  <c r="C34" i="8"/>
  <c r="C35" i="8"/>
  <c r="C36" i="8"/>
  <c r="C37" i="8"/>
  <c r="C38" i="8"/>
  <c r="C39" i="8"/>
  <c r="C40" i="8"/>
  <c r="C41" i="8"/>
  <c r="C19" i="8"/>
  <c r="C20" i="8"/>
  <c r="C21" i="8"/>
  <c r="C22" i="8"/>
  <c r="C23" i="8"/>
  <c r="C24" i="8"/>
  <c r="C25" i="8"/>
  <c r="C26" i="8"/>
  <c r="C27" i="8"/>
  <c r="C28" i="8"/>
  <c r="C29" i="8"/>
  <c r="E9" i="8"/>
  <c r="I8" i="8" a="1"/>
  <c r="I8" i="8" s="1"/>
  <c r="J8" i="8" s="1" a="1"/>
  <c r="J8" i="8" s="1"/>
  <c r="K8" i="8" s="1" a="1"/>
  <c r="K8" i="8" s="1"/>
  <c r="L8" i="8" s="1" a="1"/>
  <c r="L8" i="8" s="1"/>
  <c r="M8" i="8" s="1" a="1"/>
  <c r="M8" i="8" s="1"/>
  <c r="N8" i="8" s="1" a="1"/>
  <c r="N8" i="8" s="1"/>
  <c r="O8" i="8" s="1" a="1"/>
  <c r="O8" i="8" s="1"/>
  <c r="P8" i="8" s="1" a="1"/>
  <c r="P8" i="8" s="1"/>
  <c r="Q8" i="8" s="1" a="1"/>
  <c r="Q8" i="8" s="1"/>
  <c r="R8" i="8" s="1" a="1"/>
  <c r="R8" i="8" s="1"/>
  <c r="S8" i="8" s="1" a="1"/>
  <c r="S8" i="8" s="1"/>
  <c r="T8" i="8" s="1" a="1"/>
  <c r="T8" i="8" s="1"/>
  <c r="U8" i="8" s="1" a="1"/>
  <c r="U8" i="8" s="1"/>
  <c r="V8" i="8" s="1" a="1"/>
  <c r="V8" i="8" s="1"/>
  <c r="W8" i="8" s="1" a="1"/>
  <c r="W8" i="8" s="1"/>
  <c r="X8" i="8" s="1" a="1"/>
  <c r="X8" i="8" s="1"/>
  <c r="Y8" i="8" s="1" a="1"/>
  <c r="Y8" i="8" s="1"/>
  <c r="Z8" i="8" s="1" a="1"/>
  <c r="Z8" i="8" s="1"/>
  <c r="AA8" i="8" s="1" a="1"/>
  <c r="AA8" i="8" s="1"/>
  <c r="AB8" i="8" s="1" a="1"/>
  <c r="AB8" i="8" s="1"/>
  <c r="AC8" i="8" s="1" a="1"/>
  <c r="AC8" i="8" s="1"/>
  <c r="AD8" i="8" s="1" a="1"/>
  <c r="AD8" i="8" s="1"/>
  <c r="AE8" i="8" s="1" a="1"/>
  <c r="AE8" i="8" s="1"/>
  <c r="AF8" i="8" s="1" a="1"/>
  <c r="AF8" i="8" s="1"/>
  <c r="AG8" i="8" s="1" a="1"/>
  <c r="AG8" i="8" s="1"/>
  <c r="AH8" i="8" s="1" a="1"/>
  <c r="AH8" i="8" s="1"/>
  <c r="AI8" i="8" s="1" a="1"/>
  <c r="AI8" i="8" s="1"/>
  <c r="AJ8" i="8" s="1" a="1"/>
  <c r="AJ8" i="8" s="1"/>
  <c r="AK8" i="8" s="1" a="1"/>
  <c r="AK8" i="8" s="1"/>
  <c r="AL8" i="8" s="1" a="1"/>
  <c r="AL8" i="8" s="1"/>
  <c r="AM8" i="8" s="1" a="1"/>
  <c r="AM8" i="8" s="1"/>
  <c r="AN8" i="8" s="1" a="1"/>
  <c r="AN8" i="8" s="1"/>
  <c r="AO8" i="8" s="1" a="1"/>
  <c r="AO8" i="8" s="1"/>
  <c r="AP8" i="8" s="1" a="1"/>
  <c r="AP8" i="8" s="1"/>
  <c r="AQ8" i="8" s="1" a="1"/>
  <c r="AQ8" i="8" s="1"/>
  <c r="AR8" i="8" s="1" a="1"/>
  <c r="AR8" i="8" s="1"/>
  <c r="AS8" i="8" s="1" a="1"/>
  <c r="AS8" i="8" s="1"/>
  <c r="AT8" i="8" s="1" a="1"/>
  <c r="AT8" i="8" s="1"/>
  <c r="AU8" i="8" s="1" a="1"/>
  <c r="AU8" i="8" s="1"/>
  <c r="AV8" i="8" s="1" a="1"/>
  <c r="AV8" i="8" s="1"/>
  <c r="AW8" i="8" s="1" a="1"/>
  <c r="AW8" i="8" s="1"/>
  <c r="AX8" i="8" s="1" a="1"/>
  <c r="AX8" i="8" s="1"/>
  <c r="AY8" i="8" s="1" a="1"/>
  <c r="AY8" i="8" s="1"/>
  <c r="AZ8" i="8" s="1" a="1"/>
  <c r="AZ8" i="8" s="1"/>
  <c r="BA8" i="8" s="1" a="1"/>
  <c r="BA8" i="8" s="1"/>
  <c r="BB8" i="8" s="1" a="1"/>
  <c r="BB8" i="8" s="1"/>
  <c r="BC8" i="8" s="1" a="1"/>
  <c r="BC8" i="8" s="1"/>
  <c r="BD8" i="8" s="1" a="1"/>
  <c r="BD8" i="8" s="1"/>
  <c r="BE8" i="8" s="1" a="1"/>
  <c r="BE8" i="8" s="1"/>
  <c r="BF8" i="8" s="1" a="1"/>
  <c r="BF8" i="8" s="1"/>
  <c r="BG8" i="8" s="1" a="1"/>
  <c r="BG8" i="8" s="1"/>
  <c r="BH8" i="8" s="1" a="1"/>
  <c r="BH8" i="8" s="1"/>
  <c r="BI8" i="8" s="1" a="1"/>
  <c r="BI8" i="8" s="1"/>
  <c r="BJ8" i="8" s="1" a="1"/>
  <c r="BJ8" i="8" s="1"/>
  <c r="BK8" i="8" s="1" a="1"/>
  <c r="BK8" i="8" s="1"/>
  <c r="BL8" i="8" s="1" a="1"/>
  <c r="BL8" i="8" s="1"/>
  <c r="BM8" i="8" s="1" a="1"/>
  <c r="BM8" i="8" s="1"/>
  <c r="F67" i="8"/>
  <c r="G6" i="8" a="1"/>
  <c r="G6" i="8" s="1"/>
  <c r="C55" i="7"/>
  <c r="C56" i="7"/>
  <c r="C57" i="7"/>
  <c r="C58" i="7"/>
  <c r="C59" i="7"/>
  <c r="C60" i="7"/>
  <c r="C61" i="7"/>
  <c r="C62" i="7"/>
  <c r="C63" i="7"/>
  <c r="C64" i="7"/>
  <c r="C65" i="7"/>
  <c r="C43" i="7"/>
  <c r="C44" i="7"/>
  <c r="C45" i="7"/>
  <c r="C46" i="7"/>
  <c r="C47" i="7"/>
  <c r="C48" i="7"/>
  <c r="C49" i="7"/>
  <c r="C50" i="7"/>
  <c r="C51" i="7"/>
  <c r="C52" i="7"/>
  <c r="C53" i="7"/>
  <c r="C31" i="7"/>
  <c r="C32" i="7"/>
  <c r="C33" i="7"/>
  <c r="C34" i="7"/>
  <c r="C35" i="7"/>
  <c r="C36" i="7"/>
  <c r="C37" i="7"/>
  <c r="C38" i="7"/>
  <c r="C39" i="7"/>
  <c r="C40" i="7"/>
  <c r="C41" i="7"/>
  <c r="C19" i="7"/>
  <c r="C20" i="7"/>
  <c r="C21" i="7"/>
  <c r="C22" i="7"/>
  <c r="C23" i="7"/>
  <c r="C24" i="7"/>
  <c r="C25" i="7"/>
  <c r="C26" i="7"/>
  <c r="C27" i="7"/>
  <c r="C28" i="7"/>
  <c r="C29" i="7"/>
  <c r="E9" i="7"/>
  <c r="I8" i="7" a="1"/>
  <c r="I8" i="7" s="1"/>
  <c r="J8" i="7" s="1" a="1"/>
  <c r="J8" i="7" s="1"/>
  <c r="K8" i="7" s="1" a="1"/>
  <c r="K8" i="7" s="1"/>
  <c r="L8" i="7" s="1" a="1"/>
  <c r="L8" i="7" s="1"/>
  <c r="M8" i="7" s="1" a="1"/>
  <c r="M8" i="7" s="1"/>
  <c r="N8" i="7" s="1" a="1"/>
  <c r="N8" i="7" s="1"/>
  <c r="O8" i="7" s="1" a="1"/>
  <c r="O8" i="7" s="1"/>
  <c r="P8" i="7" s="1" a="1"/>
  <c r="P8" i="7" s="1"/>
  <c r="Q8" i="7" s="1" a="1"/>
  <c r="Q8" i="7" s="1"/>
  <c r="R8" i="7" s="1" a="1"/>
  <c r="R8" i="7" s="1"/>
  <c r="S8" i="7" s="1" a="1"/>
  <c r="S8" i="7" s="1"/>
  <c r="T8" i="7" s="1" a="1"/>
  <c r="T8" i="7" s="1"/>
  <c r="U8" i="7" s="1" a="1"/>
  <c r="U8" i="7" s="1"/>
  <c r="V8" i="7" s="1" a="1"/>
  <c r="V8" i="7" s="1"/>
  <c r="W8" i="7" s="1" a="1"/>
  <c r="W8" i="7" s="1"/>
  <c r="X8" i="7" s="1" a="1"/>
  <c r="X8" i="7" s="1"/>
  <c r="Y8" i="7" s="1" a="1"/>
  <c r="Y8" i="7" s="1"/>
  <c r="Z8" i="7" s="1" a="1"/>
  <c r="Z8" i="7" s="1"/>
  <c r="AA8" i="7" s="1" a="1"/>
  <c r="AA8" i="7" s="1"/>
  <c r="AB8" i="7" s="1" a="1"/>
  <c r="AB8" i="7" s="1"/>
  <c r="AC8" i="7" s="1" a="1"/>
  <c r="AC8" i="7" s="1"/>
  <c r="AD8" i="7" s="1" a="1"/>
  <c r="AD8" i="7" s="1"/>
  <c r="AE8" i="7" s="1" a="1"/>
  <c r="AE8" i="7" s="1"/>
  <c r="AF8" i="7" s="1" a="1"/>
  <c r="AF8" i="7" s="1"/>
  <c r="AG8" i="7" s="1" a="1"/>
  <c r="AG8" i="7" s="1"/>
  <c r="AH8" i="7" s="1" a="1"/>
  <c r="AH8" i="7" s="1"/>
  <c r="AI8" i="7" s="1" a="1"/>
  <c r="AI8" i="7" s="1"/>
  <c r="AJ8" i="7" s="1" a="1"/>
  <c r="AJ8" i="7" s="1"/>
  <c r="AK8" i="7" s="1" a="1"/>
  <c r="AK8" i="7" s="1"/>
  <c r="AL8" i="7" s="1" a="1"/>
  <c r="AL8" i="7" s="1"/>
  <c r="AM8" i="7" s="1" a="1"/>
  <c r="AM8" i="7" s="1"/>
  <c r="AN8" i="7" s="1" a="1"/>
  <c r="AN8" i="7" s="1"/>
  <c r="AO8" i="7" s="1" a="1"/>
  <c r="AO8" i="7" s="1"/>
  <c r="AP8" i="7" s="1" a="1"/>
  <c r="AP8" i="7" s="1"/>
  <c r="AQ8" i="7" s="1" a="1"/>
  <c r="AQ8" i="7" s="1"/>
  <c r="AR8" i="7" s="1" a="1"/>
  <c r="AR8" i="7" s="1"/>
  <c r="AS8" i="7" s="1" a="1"/>
  <c r="AS8" i="7" s="1"/>
  <c r="AT8" i="7" s="1" a="1"/>
  <c r="AT8" i="7" s="1"/>
  <c r="AU8" i="7" s="1" a="1"/>
  <c r="AU8" i="7" s="1"/>
  <c r="AV8" i="7" s="1" a="1"/>
  <c r="AV8" i="7" s="1"/>
  <c r="AW8" i="7" s="1" a="1"/>
  <c r="AW8" i="7" s="1"/>
  <c r="AX8" i="7" s="1" a="1"/>
  <c r="AX8" i="7" s="1"/>
  <c r="AY8" i="7" s="1" a="1"/>
  <c r="AY8" i="7" s="1"/>
  <c r="AZ8" i="7" s="1" a="1"/>
  <c r="AZ8" i="7" s="1"/>
  <c r="BA8" i="7" s="1" a="1"/>
  <c r="BA8" i="7" s="1"/>
  <c r="BB8" i="7" s="1" a="1"/>
  <c r="BB8" i="7" s="1"/>
  <c r="BC8" i="7" s="1" a="1"/>
  <c r="BC8" i="7" s="1"/>
  <c r="BD8" i="7" s="1" a="1"/>
  <c r="BD8" i="7" s="1"/>
  <c r="BE8" i="7" s="1" a="1"/>
  <c r="BE8" i="7" s="1"/>
  <c r="BF8" i="7" s="1" a="1"/>
  <c r="BF8" i="7" s="1"/>
  <c r="BG8" i="7" s="1" a="1"/>
  <c r="BG8" i="7" s="1"/>
  <c r="BH8" i="7" s="1" a="1"/>
  <c r="BH8" i="7" s="1"/>
  <c r="BI8" i="7" s="1" a="1"/>
  <c r="BI8" i="7" s="1"/>
  <c r="BJ8" i="7" s="1" a="1"/>
  <c r="BJ8" i="7" s="1"/>
  <c r="BK8" i="7" s="1" a="1"/>
  <c r="BK8" i="7" s="1"/>
  <c r="BL8" i="7" s="1" a="1"/>
  <c r="BL8" i="7" s="1"/>
  <c r="BM8" i="7" s="1" a="1"/>
  <c r="BM8" i="7" s="1"/>
  <c r="F67" i="7"/>
  <c r="B29" i="4" l="1"/>
  <c r="F29" i="4" s="1"/>
  <c r="AC29" i="7"/>
  <c r="B28" i="4"/>
  <c r="F28" i="4" s="1"/>
  <c r="AB28" i="7"/>
  <c r="B27" i="4"/>
  <c r="F27" i="4" s="1"/>
  <c r="AA27" i="7"/>
  <c r="B26" i="4"/>
  <c r="F26" i="4" s="1"/>
  <c r="Z26" i="7"/>
  <c r="B25" i="4"/>
  <c r="F25" i="4" s="1"/>
  <c r="Y25" i="7"/>
  <c r="B24" i="4"/>
  <c r="F24" i="4" s="1"/>
  <c r="X24" i="7"/>
  <c r="B23" i="4"/>
  <c r="F23" i="4" s="1"/>
  <c r="W23" i="7"/>
  <c r="B22" i="4"/>
  <c r="F22" i="4" s="1"/>
  <c r="V22" i="7"/>
  <c r="B21" i="4"/>
  <c r="F21" i="4" s="1"/>
  <c r="U21" i="7"/>
  <c r="B20" i="4"/>
  <c r="F20" i="4" s="1"/>
  <c r="T20" i="7"/>
  <c r="B19" i="4"/>
  <c r="F19" i="4" s="1"/>
  <c r="C29" i="2" s="1"/>
  <c r="S19" i="7"/>
  <c r="B41" i="4"/>
  <c r="F41" i="4" s="1"/>
  <c r="AO41" i="7"/>
  <c r="B40" i="4"/>
  <c r="F40" i="4" s="1"/>
  <c r="AN40" i="7"/>
  <c r="B39" i="4"/>
  <c r="F39" i="4" s="1"/>
  <c r="AM39" i="7"/>
  <c r="B38" i="4"/>
  <c r="F38" i="4" s="1"/>
  <c r="AL38" i="7"/>
  <c r="B37" i="4"/>
  <c r="F37" i="4" s="1"/>
  <c r="AK37" i="7"/>
  <c r="B36" i="4"/>
  <c r="F36" i="4" s="1"/>
  <c r="AJ36" i="7"/>
  <c r="B35" i="4"/>
  <c r="F35" i="4" s="1"/>
  <c r="AI35" i="7"/>
  <c r="B34" i="4"/>
  <c r="F34" i="4" s="1"/>
  <c r="AH34" i="7"/>
  <c r="B33" i="4"/>
  <c r="F33" i="4" s="1"/>
  <c r="AG33" i="7"/>
  <c r="B32" i="4"/>
  <c r="F32" i="4" s="1"/>
  <c r="AF32" i="7"/>
  <c r="B31" i="4"/>
  <c r="F31" i="4" s="1"/>
  <c r="C30" i="2" s="1"/>
  <c r="AE31" i="7"/>
  <c r="B53" i="4"/>
  <c r="F53" i="4" s="1"/>
  <c r="BA53" i="7"/>
  <c r="B52" i="4"/>
  <c r="F52" i="4" s="1"/>
  <c r="AZ52" i="7"/>
  <c r="B51" i="4"/>
  <c r="F51" i="4" s="1"/>
  <c r="AY51" i="7"/>
  <c r="B50" i="4"/>
  <c r="F50" i="4" s="1"/>
  <c r="AX50" i="7"/>
  <c r="B49" i="4"/>
  <c r="F49" i="4" s="1"/>
  <c r="AW49" i="7"/>
  <c r="B48" i="4"/>
  <c r="F48" i="4" s="1"/>
  <c r="AV48" i="7"/>
  <c r="B47" i="4"/>
  <c r="F47" i="4" s="1"/>
  <c r="AU47" i="7"/>
  <c r="B46" i="4"/>
  <c r="F46" i="4" s="1"/>
  <c r="AT46" i="7"/>
  <c r="B45" i="4"/>
  <c r="F45" i="4" s="1"/>
  <c r="AS45" i="7"/>
  <c r="B44" i="4"/>
  <c r="F44" i="4" s="1"/>
  <c r="AR44" i="7"/>
  <c r="B43" i="4"/>
  <c r="F43" i="4" s="1"/>
  <c r="C31" i="2" s="1"/>
  <c r="AQ43" i="7"/>
  <c r="B65" i="4"/>
  <c r="F65" i="4" s="1"/>
  <c r="BM65" i="7"/>
  <c r="B64" i="4"/>
  <c r="F64" i="4" s="1"/>
  <c r="BL64" i="7"/>
  <c r="B63" i="4"/>
  <c r="F63" i="4" s="1"/>
  <c r="BK63" i="7"/>
  <c r="B62" i="4"/>
  <c r="F62" i="4" s="1"/>
  <c r="BJ62" i="7"/>
  <c r="B61" i="4"/>
  <c r="F61" i="4" s="1"/>
  <c r="BI61" i="7"/>
  <c r="B60" i="4"/>
  <c r="F60" i="4" s="1"/>
  <c r="BH60" i="7"/>
  <c r="B59" i="4"/>
  <c r="F59" i="4" s="1"/>
  <c r="BG59" i="7"/>
  <c r="B58" i="4"/>
  <c r="F58" i="4" s="1"/>
  <c r="BF58" i="7"/>
  <c r="B57" i="4"/>
  <c r="F57" i="4" s="1"/>
  <c r="BE57" i="7"/>
  <c r="B56" i="4"/>
  <c r="F56" i="4" s="1"/>
  <c r="BD56" i="7"/>
  <c r="B55" i="4"/>
  <c r="F55" i="4" s="1"/>
  <c r="C32" i="2" s="1"/>
  <c r="BC55" i="7"/>
  <c r="B29" i="5"/>
  <c r="AC29" i="8"/>
  <c r="B28" i="5"/>
  <c r="AB28" i="8"/>
  <c r="B27" i="5"/>
  <c r="AA27" i="8"/>
  <c r="B26" i="5"/>
  <c r="Z26" i="8"/>
  <c r="B25" i="5"/>
  <c r="Y25" i="8"/>
  <c r="B24" i="5"/>
  <c r="X24" i="8"/>
  <c r="B23" i="5"/>
  <c r="W23" i="8"/>
  <c r="B22" i="5"/>
  <c r="V22" i="8"/>
  <c r="B21" i="5"/>
  <c r="U21" i="8"/>
  <c r="B20" i="5"/>
  <c r="T20" i="8"/>
  <c r="B19" i="5"/>
  <c r="S19" i="8"/>
  <c r="B41" i="5"/>
  <c r="AO41" i="8"/>
  <c r="B40" i="5"/>
  <c r="AN40" i="8"/>
  <c r="B39" i="5"/>
  <c r="AM39" i="8"/>
  <c r="B38" i="5"/>
  <c r="AL38" i="8"/>
  <c r="B37" i="5"/>
  <c r="AK37" i="8"/>
  <c r="B36" i="5"/>
  <c r="AJ36" i="8"/>
  <c r="B35" i="5"/>
  <c r="AI35" i="8"/>
  <c r="B34" i="5"/>
  <c r="AH34" i="8"/>
  <c r="B33" i="5"/>
  <c r="AG33" i="8"/>
  <c r="B32" i="5"/>
  <c r="AF32" i="8"/>
  <c r="B31" i="5"/>
  <c r="AE31" i="8"/>
  <c r="B53" i="5"/>
  <c r="BA53" i="8"/>
  <c r="B52" i="5"/>
  <c r="AZ52" i="8"/>
  <c r="B51" i="5"/>
  <c r="AY51" i="8"/>
  <c r="B50" i="5"/>
  <c r="AX50" i="8"/>
  <c r="B49" i="5"/>
  <c r="AW49" i="8"/>
  <c r="B48" i="5"/>
  <c r="AV48" i="8"/>
  <c r="B47" i="5"/>
  <c r="AU47" i="8"/>
  <c r="B46" i="5"/>
  <c r="AT46" i="8"/>
  <c r="B45" i="5"/>
  <c r="AS45" i="8"/>
  <c r="B44" i="5"/>
  <c r="AR44" i="8"/>
  <c r="B43" i="5"/>
  <c r="AQ43" i="8"/>
  <c r="B65" i="5"/>
  <c r="BM65" i="8"/>
  <c r="B64" i="5"/>
  <c r="BL64" i="8"/>
  <c r="B63" i="5"/>
  <c r="BK63" i="8"/>
  <c r="B62" i="5"/>
  <c r="BJ62" i="8"/>
  <c r="B61" i="5"/>
  <c r="BI61" i="8"/>
  <c r="B60" i="5"/>
  <c r="BH60" i="8"/>
  <c r="B59" i="5"/>
  <c r="BG59" i="8"/>
  <c r="B58" i="5"/>
  <c r="BF58" i="8"/>
  <c r="B57" i="5"/>
  <c r="BE57" i="8"/>
  <c r="B56" i="5"/>
  <c r="BD56" i="8"/>
  <c r="B55" i="5"/>
  <c r="BC55" i="8"/>
  <c r="B29" i="6"/>
  <c r="AC29" i="9"/>
  <c r="B28" i="6"/>
  <c r="AB28" i="9"/>
  <c r="B27" i="6"/>
  <c r="AA27" i="9"/>
  <c r="B26" i="6"/>
  <c r="Z26" i="9"/>
  <c r="B25" i="6"/>
  <c r="Y25" i="9"/>
  <c r="B24" i="6"/>
  <c r="X24" i="9"/>
  <c r="B23" i="6"/>
  <c r="W23" i="9"/>
  <c r="B22" i="6"/>
  <c r="V22" i="9"/>
  <c r="B21" i="6"/>
  <c r="U21" i="9"/>
  <c r="B20" i="6"/>
  <c r="T20" i="9"/>
  <c r="B19" i="6"/>
  <c r="S19" i="9"/>
  <c r="B41" i="6"/>
  <c r="AO41" i="9"/>
  <c r="B40" i="6"/>
  <c r="AN40" i="9"/>
  <c r="B39" i="6"/>
  <c r="AM39" i="9"/>
  <c r="B38" i="6"/>
  <c r="AL38" i="9"/>
  <c r="B37" i="6"/>
  <c r="AK37" i="9"/>
  <c r="B36" i="6"/>
  <c r="AJ36" i="9"/>
  <c r="B35" i="6"/>
  <c r="AI35" i="9"/>
  <c r="B34" i="6"/>
  <c r="AH34" i="9"/>
  <c r="B33" i="6"/>
  <c r="AG33" i="9"/>
  <c r="B32" i="6"/>
  <c r="AF32" i="9"/>
  <c r="B31" i="6"/>
  <c r="AE31" i="9"/>
  <c r="B53" i="6"/>
  <c r="BA53" i="9"/>
  <c r="B52" i="6"/>
  <c r="AZ52" i="9"/>
  <c r="B51" i="6"/>
  <c r="AY51" i="9"/>
  <c r="B50" i="6"/>
  <c r="AX50" i="9"/>
  <c r="B49" i="6"/>
  <c r="AW49" i="9"/>
  <c r="B48" i="6"/>
  <c r="AV48" i="9"/>
  <c r="B47" i="6"/>
  <c r="AU47" i="9"/>
  <c r="B46" i="6"/>
  <c r="AT46" i="9"/>
  <c r="B45" i="6"/>
  <c r="AS45" i="9"/>
  <c r="B44" i="6"/>
  <c r="AR44" i="9"/>
  <c r="B43" i="6"/>
  <c r="AQ43" i="9"/>
  <c r="B65" i="6"/>
  <c r="BM65" i="9"/>
  <c r="B64" i="6"/>
  <c r="BL64" i="9"/>
  <c r="B63" i="6"/>
  <c r="BK63" i="9"/>
  <c r="B62" i="6"/>
  <c r="BJ62" i="9"/>
  <c r="B61" i="6"/>
  <c r="BI61" i="9"/>
  <c r="B60" i="6"/>
  <c r="BH60" i="9"/>
  <c r="B59" i="6"/>
  <c r="BG59" i="9"/>
  <c r="B58" i="6"/>
  <c r="BF58" i="9"/>
  <c r="B57" i="6"/>
  <c r="BE57" i="9"/>
  <c r="B56" i="6"/>
  <c r="BD56" i="9"/>
  <c r="B55" i="6"/>
  <c r="BC55" i="9"/>
  <c r="C7" i="7"/>
  <c r="H6" i="7" a="1"/>
  <c r="H6" i="7" s="1"/>
  <c r="E10" i="7"/>
  <c r="J9" i="7" a="1"/>
  <c r="J9" i="7" s="1"/>
  <c r="K9" i="7" s="1" a="1"/>
  <c r="K9" i="7" s="1"/>
  <c r="L9" i="7" s="1" a="1"/>
  <c r="L9" i="7" s="1"/>
  <c r="M9" i="7" s="1" a="1"/>
  <c r="M9" i="7" s="1"/>
  <c r="N9" i="7" s="1" a="1"/>
  <c r="N9" i="7" s="1"/>
  <c r="O9" i="7" s="1" a="1"/>
  <c r="O9" i="7" s="1"/>
  <c r="P9" i="7" s="1" a="1"/>
  <c r="P9" i="7" s="1"/>
  <c r="Q9" i="7" s="1" a="1"/>
  <c r="Q9" i="7" s="1"/>
  <c r="R9" i="7" s="1" a="1"/>
  <c r="R9" i="7" s="1"/>
  <c r="S9" i="7" s="1" a="1"/>
  <c r="S9" i="7" s="1"/>
  <c r="T9" i="7" s="1" a="1"/>
  <c r="T9" i="7" s="1"/>
  <c r="U9" i="7" s="1" a="1"/>
  <c r="U9" i="7" s="1"/>
  <c r="V9" i="7" s="1" a="1"/>
  <c r="V9" i="7" s="1"/>
  <c r="W9" i="7" s="1" a="1"/>
  <c r="W9" i="7" s="1"/>
  <c r="X9" i="7" s="1" a="1"/>
  <c r="X9" i="7" s="1"/>
  <c r="Y9" i="7" s="1" a="1"/>
  <c r="Y9" i="7" s="1"/>
  <c r="Z9" i="7" s="1" a="1"/>
  <c r="Z9" i="7" s="1"/>
  <c r="AA9" i="7" s="1" a="1"/>
  <c r="AA9" i="7" s="1"/>
  <c r="AB9" i="7" s="1" a="1"/>
  <c r="AB9" i="7" s="1"/>
  <c r="AC9" i="7" s="1" a="1"/>
  <c r="AC9" i="7" s="1"/>
  <c r="AD9" i="7" s="1" a="1"/>
  <c r="AD9" i="7" s="1"/>
  <c r="AE9" i="7" s="1" a="1"/>
  <c r="AE9" i="7" s="1"/>
  <c r="AF9" i="7" s="1" a="1"/>
  <c r="AF9" i="7" s="1"/>
  <c r="AG9" i="7" s="1" a="1"/>
  <c r="AG9" i="7" s="1"/>
  <c r="AH9" i="7" s="1" a="1"/>
  <c r="AH9" i="7" s="1"/>
  <c r="AI9" i="7" s="1" a="1"/>
  <c r="AI9" i="7" s="1"/>
  <c r="AJ9" i="7" s="1" a="1"/>
  <c r="AJ9" i="7" s="1"/>
  <c r="AK9" i="7" s="1" a="1"/>
  <c r="AK9" i="7" s="1"/>
  <c r="AL9" i="7" s="1" a="1"/>
  <c r="AL9" i="7" s="1"/>
  <c r="AM9" i="7" s="1" a="1"/>
  <c r="AM9" i="7" s="1"/>
  <c r="AN9" i="7" s="1" a="1"/>
  <c r="AN9" i="7" s="1"/>
  <c r="AO9" i="7" s="1" a="1"/>
  <c r="AO9" i="7" s="1"/>
  <c r="AP9" i="7" s="1" a="1"/>
  <c r="AP9" i="7" s="1"/>
  <c r="AQ9" i="7" s="1" a="1"/>
  <c r="AQ9" i="7" s="1"/>
  <c r="AR9" i="7" s="1" a="1"/>
  <c r="AR9" i="7" s="1"/>
  <c r="AS9" i="7" s="1" a="1"/>
  <c r="AS9" i="7" s="1"/>
  <c r="AT9" i="7" s="1" a="1"/>
  <c r="AT9" i="7" s="1"/>
  <c r="AU9" i="7" s="1" a="1"/>
  <c r="AU9" i="7" s="1"/>
  <c r="AV9" i="7" s="1" a="1"/>
  <c r="AV9" i="7" s="1"/>
  <c r="AW9" i="7" s="1" a="1"/>
  <c r="AW9" i="7" s="1"/>
  <c r="AX9" i="7" s="1" a="1"/>
  <c r="AX9" i="7" s="1"/>
  <c r="AY9" i="7" s="1" a="1"/>
  <c r="AY9" i="7" s="1"/>
  <c r="AZ9" i="7" s="1" a="1"/>
  <c r="AZ9" i="7" s="1"/>
  <c r="BA9" i="7" s="1" a="1"/>
  <c r="BA9" i="7" s="1"/>
  <c r="BB9" i="7" s="1" a="1"/>
  <c r="BB9" i="7" s="1"/>
  <c r="BC9" i="7" s="1" a="1"/>
  <c r="BC9" i="7" s="1"/>
  <c r="BD9" i="7" s="1" a="1"/>
  <c r="BD9" i="7" s="1"/>
  <c r="BE9" i="7" s="1" a="1"/>
  <c r="BE9" i="7" s="1"/>
  <c r="BF9" i="7" s="1" a="1"/>
  <c r="BF9" i="7" s="1"/>
  <c r="BG9" i="7" s="1" a="1"/>
  <c r="BG9" i="7" s="1"/>
  <c r="BH9" i="7" s="1" a="1"/>
  <c r="BH9" i="7" s="1"/>
  <c r="BI9" i="7" s="1" a="1"/>
  <c r="BI9" i="7" s="1"/>
  <c r="BJ9" i="7" s="1" a="1"/>
  <c r="BJ9" i="7" s="1"/>
  <c r="BK9" i="7" s="1" a="1"/>
  <c r="BK9" i="7" s="1"/>
  <c r="BL9" i="7" s="1" a="1"/>
  <c r="BL9" i="7" s="1"/>
  <c r="BM9" i="7" s="1" a="1"/>
  <c r="BM9" i="7" s="1"/>
  <c r="G67" i="8"/>
  <c r="H6" i="8" a="1"/>
  <c r="H6" i="8" s="1"/>
  <c r="E10" i="8"/>
  <c r="K9" i="8" a="1"/>
  <c r="K9" i="8" s="1"/>
  <c r="L9" i="8" s="1" a="1"/>
  <c r="L9" i="8" s="1"/>
  <c r="M9" i="8" s="1" a="1"/>
  <c r="M9" i="8" s="1"/>
  <c r="N9" i="8" s="1" a="1"/>
  <c r="N9" i="8" s="1"/>
  <c r="O9" i="8" s="1" a="1"/>
  <c r="O9" i="8" s="1"/>
  <c r="P9" i="8" s="1" a="1"/>
  <c r="P9" i="8" s="1"/>
  <c r="Q9" i="8" s="1" a="1"/>
  <c r="Q9" i="8" s="1"/>
  <c r="R9" i="8" s="1" a="1"/>
  <c r="R9" i="8" s="1"/>
  <c r="S9" i="8" s="1" a="1"/>
  <c r="S9" i="8" s="1"/>
  <c r="T9" i="8" s="1" a="1"/>
  <c r="T9" i="8" s="1"/>
  <c r="U9" i="8" s="1" a="1"/>
  <c r="U9" i="8" s="1"/>
  <c r="V9" i="8" s="1" a="1"/>
  <c r="V9" i="8" s="1"/>
  <c r="W9" i="8" s="1" a="1"/>
  <c r="W9" i="8" s="1"/>
  <c r="X9" i="8" s="1" a="1"/>
  <c r="X9" i="8" s="1"/>
  <c r="Y9" i="8" s="1" a="1"/>
  <c r="Y9" i="8" s="1"/>
  <c r="Z9" i="8" s="1" a="1"/>
  <c r="Z9" i="8" s="1"/>
  <c r="AA9" i="8" s="1" a="1"/>
  <c r="AA9" i="8" s="1"/>
  <c r="AB9" i="8" s="1" a="1"/>
  <c r="AB9" i="8" s="1"/>
  <c r="AC9" i="8" s="1" a="1"/>
  <c r="AC9" i="8" s="1"/>
  <c r="AD9" i="8" s="1" a="1"/>
  <c r="AD9" i="8" s="1"/>
  <c r="AE9" i="8" s="1" a="1"/>
  <c r="AE9" i="8" s="1"/>
  <c r="AF9" i="8" s="1" a="1"/>
  <c r="AF9" i="8" s="1"/>
  <c r="AG9" i="8" s="1" a="1"/>
  <c r="AG9" i="8" s="1"/>
  <c r="AH9" i="8" s="1" a="1"/>
  <c r="AH9" i="8" s="1"/>
  <c r="AI9" i="8" s="1" a="1"/>
  <c r="AI9" i="8" s="1"/>
  <c r="AJ9" i="8" s="1" a="1"/>
  <c r="AJ9" i="8" s="1"/>
  <c r="AK9" i="8" s="1" a="1"/>
  <c r="AK9" i="8" s="1"/>
  <c r="AL9" i="8" s="1" a="1"/>
  <c r="AL9" i="8" s="1"/>
  <c r="AM9" i="8" s="1" a="1"/>
  <c r="AM9" i="8" s="1"/>
  <c r="AN9" i="8" s="1" a="1"/>
  <c r="AN9" i="8" s="1"/>
  <c r="AO9" i="8" s="1" a="1"/>
  <c r="AO9" i="8" s="1"/>
  <c r="AP9" i="8" s="1" a="1"/>
  <c r="AP9" i="8" s="1"/>
  <c r="AQ9" i="8" s="1" a="1"/>
  <c r="AQ9" i="8" s="1"/>
  <c r="AR9" i="8" s="1" a="1"/>
  <c r="AR9" i="8" s="1"/>
  <c r="AS9" i="8" s="1" a="1"/>
  <c r="AS9" i="8" s="1"/>
  <c r="AT9" i="8" s="1" a="1"/>
  <c r="AT9" i="8" s="1"/>
  <c r="AU9" i="8" s="1" a="1"/>
  <c r="AU9" i="8" s="1"/>
  <c r="AV9" i="8" s="1" a="1"/>
  <c r="AV9" i="8" s="1"/>
  <c r="AW9" i="8" s="1" a="1"/>
  <c r="AW9" i="8" s="1"/>
  <c r="AX9" i="8" s="1" a="1"/>
  <c r="AX9" i="8" s="1"/>
  <c r="AY9" i="8" s="1" a="1"/>
  <c r="AY9" i="8" s="1"/>
  <c r="AZ9" i="8" s="1" a="1"/>
  <c r="AZ9" i="8" s="1"/>
  <c r="BA9" i="8" s="1" a="1"/>
  <c r="BA9" i="8" s="1"/>
  <c r="BB9" i="8" s="1" a="1"/>
  <c r="BB9" i="8" s="1"/>
  <c r="BC9" i="8" s="1" a="1"/>
  <c r="BC9" i="8" s="1"/>
  <c r="BD9" i="8" s="1" a="1"/>
  <c r="BD9" i="8" s="1"/>
  <c r="BE9" i="8" s="1" a="1"/>
  <c r="BE9" i="8" s="1"/>
  <c r="BF9" i="8" s="1" a="1"/>
  <c r="BF9" i="8" s="1"/>
  <c r="BG9" i="8" s="1" a="1"/>
  <c r="BG9" i="8" s="1"/>
  <c r="BH9" i="8" s="1" a="1"/>
  <c r="BH9" i="8" s="1"/>
  <c r="BI9" i="8" s="1" a="1"/>
  <c r="BI9" i="8" s="1"/>
  <c r="BJ9" i="8" s="1" a="1"/>
  <c r="BJ9" i="8" s="1"/>
  <c r="BK9" i="8" s="1" a="1"/>
  <c r="BK9" i="8" s="1"/>
  <c r="BL9" i="8" s="1" a="1"/>
  <c r="BL9" i="8" s="1"/>
  <c r="BM9" i="8" s="1" a="1"/>
  <c r="BM9" i="8" s="1"/>
  <c r="G67" i="9"/>
  <c r="H6" i="9" a="1"/>
  <c r="H6" i="9" s="1"/>
  <c r="E10" i="9"/>
  <c r="J9" i="9" a="1"/>
  <c r="J9" i="9" s="1"/>
  <c r="K9" i="9" s="1" a="1"/>
  <c r="K9" i="9" s="1"/>
  <c r="L9" i="9" s="1" a="1"/>
  <c r="L9" i="9" s="1"/>
  <c r="M9" i="9" s="1" a="1"/>
  <c r="M9" i="9" s="1"/>
  <c r="N9" i="9" s="1" a="1"/>
  <c r="N9" i="9" s="1"/>
  <c r="O9" i="9" s="1" a="1"/>
  <c r="O9" i="9" s="1"/>
  <c r="P9" i="9" s="1" a="1"/>
  <c r="P9" i="9" s="1"/>
  <c r="Q9" i="9" s="1" a="1"/>
  <c r="Q9" i="9" s="1"/>
  <c r="R9" i="9" s="1" a="1"/>
  <c r="R9" i="9" s="1"/>
  <c r="S9" i="9" s="1" a="1"/>
  <c r="S9" i="9" s="1"/>
  <c r="T9" i="9" s="1" a="1"/>
  <c r="T9" i="9" s="1"/>
  <c r="U9" i="9" s="1" a="1"/>
  <c r="U9" i="9" s="1"/>
  <c r="V9" i="9" s="1" a="1"/>
  <c r="V9" i="9" s="1"/>
  <c r="W9" i="9" s="1" a="1"/>
  <c r="W9" i="9" s="1"/>
  <c r="X9" i="9" s="1" a="1"/>
  <c r="X9" i="9" s="1"/>
  <c r="Y9" i="9" s="1" a="1"/>
  <c r="Y9" i="9" s="1"/>
  <c r="Z9" i="9" s="1" a="1"/>
  <c r="Z9" i="9" s="1"/>
  <c r="AA9" i="9" s="1" a="1"/>
  <c r="AA9" i="9" s="1"/>
  <c r="AB9" i="9" s="1" a="1"/>
  <c r="AB9" i="9" s="1"/>
  <c r="AC9" i="9" s="1" a="1"/>
  <c r="AC9" i="9" s="1"/>
  <c r="AD9" i="9" s="1" a="1"/>
  <c r="AD9" i="9" s="1"/>
  <c r="AE9" i="9" s="1" a="1"/>
  <c r="AE9" i="9" s="1"/>
  <c r="AF9" i="9" s="1" a="1"/>
  <c r="AF9" i="9" s="1"/>
  <c r="AG9" i="9" s="1" a="1"/>
  <c r="AG9" i="9" s="1"/>
  <c r="AH9" i="9" s="1" a="1"/>
  <c r="AH9" i="9" s="1"/>
  <c r="AI9" i="9" s="1" a="1"/>
  <c r="AI9" i="9" s="1"/>
  <c r="AJ9" i="9" s="1" a="1"/>
  <c r="AJ9" i="9" s="1"/>
  <c r="AK9" i="9" s="1" a="1"/>
  <c r="AK9" i="9" s="1"/>
  <c r="AL9" i="9" s="1" a="1"/>
  <c r="AL9" i="9" s="1"/>
  <c r="AM9" i="9" s="1" a="1"/>
  <c r="AM9" i="9" s="1"/>
  <c r="AN9" i="9" s="1" a="1"/>
  <c r="AN9" i="9" s="1"/>
  <c r="AO9" i="9" s="1" a="1"/>
  <c r="AO9" i="9" s="1"/>
  <c r="AP9" i="9" s="1" a="1"/>
  <c r="AP9" i="9" s="1"/>
  <c r="AQ9" i="9" s="1" a="1"/>
  <c r="AQ9" i="9" s="1"/>
  <c r="AR9" i="9" s="1" a="1"/>
  <c r="AR9" i="9" s="1"/>
  <c r="AS9" i="9" s="1" a="1"/>
  <c r="AS9" i="9" s="1"/>
  <c r="AT9" i="9" s="1" a="1"/>
  <c r="AT9" i="9" s="1"/>
  <c r="AU9" i="9" s="1" a="1"/>
  <c r="AU9" i="9" s="1"/>
  <c r="AV9" i="9" s="1" a="1"/>
  <c r="AV9" i="9" s="1"/>
  <c r="AW9" i="9" s="1" a="1"/>
  <c r="AW9" i="9" s="1"/>
  <c r="AX9" i="9" s="1" a="1"/>
  <c r="AX9" i="9" s="1"/>
  <c r="AY9" i="9" s="1" a="1"/>
  <c r="AY9" i="9" s="1"/>
  <c r="AZ9" i="9" s="1" a="1"/>
  <c r="AZ9" i="9" s="1"/>
  <c r="BA9" i="9" s="1" a="1"/>
  <c r="BA9" i="9" s="1"/>
  <c r="BB9" i="9" s="1" a="1"/>
  <c r="BB9" i="9" s="1"/>
  <c r="BC9" i="9" s="1" a="1"/>
  <c r="BC9" i="9" s="1"/>
  <c r="BD9" i="9" s="1" a="1"/>
  <c r="BD9" i="9" s="1"/>
  <c r="BE9" i="9" s="1" a="1"/>
  <c r="BE9" i="9" s="1"/>
  <c r="BF9" i="9" s="1" a="1"/>
  <c r="BF9" i="9" s="1"/>
  <c r="BG9" i="9" s="1" a="1"/>
  <c r="BG9" i="9" s="1"/>
  <c r="BH9" i="9" s="1" a="1"/>
  <c r="BH9" i="9" s="1"/>
  <c r="BI9" i="9" s="1" a="1"/>
  <c r="BI9" i="9" s="1"/>
  <c r="BJ9" i="9" s="1" a="1"/>
  <c r="BJ9" i="9" s="1"/>
  <c r="BK9" i="9" s="1" a="1"/>
  <c r="BK9" i="9" s="1"/>
  <c r="BL9" i="9" s="1" a="1"/>
  <c r="BL9" i="9" s="1"/>
  <c r="BM9" i="9" s="1" a="1"/>
  <c r="BM9" i="9" s="1"/>
  <c r="B7" i="4" l="1"/>
  <c r="F7" i="4" s="1"/>
  <c r="C28" i="2" s="1"/>
  <c r="G7" i="7"/>
  <c r="E11" i="9"/>
  <c r="K10" i="9" a="1"/>
  <c r="K10" i="9" s="1"/>
  <c r="L10" i="9" s="1" a="1"/>
  <c r="L10" i="9" s="1"/>
  <c r="M10" i="9" s="1" a="1"/>
  <c r="M10" i="9" s="1"/>
  <c r="N10" i="9" s="1" a="1"/>
  <c r="N10" i="9" s="1"/>
  <c r="O10" i="9" s="1" a="1"/>
  <c r="O10" i="9" s="1"/>
  <c r="P10" i="9" s="1" a="1"/>
  <c r="P10" i="9" s="1"/>
  <c r="Q10" i="9" s="1" a="1"/>
  <c r="Q10" i="9" s="1"/>
  <c r="R10" i="9" s="1" a="1"/>
  <c r="R10" i="9" s="1"/>
  <c r="S10" i="9" s="1" a="1"/>
  <c r="S10" i="9" s="1"/>
  <c r="T10" i="9" s="1" a="1"/>
  <c r="T10" i="9" s="1"/>
  <c r="U10" i="9" s="1" a="1"/>
  <c r="U10" i="9" s="1"/>
  <c r="V10" i="9" s="1" a="1"/>
  <c r="V10" i="9" s="1"/>
  <c r="W10" i="9" s="1" a="1"/>
  <c r="W10" i="9" s="1"/>
  <c r="X10" i="9" s="1" a="1"/>
  <c r="X10" i="9" s="1"/>
  <c r="Y10" i="9" s="1" a="1"/>
  <c r="Y10" i="9" s="1"/>
  <c r="Z10" i="9" s="1" a="1"/>
  <c r="Z10" i="9" s="1"/>
  <c r="AA10" i="9" s="1" a="1"/>
  <c r="AA10" i="9" s="1"/>
  <c r="AB10" i="9" s="1" a="1"/>
  <c r="AB10" i="9" s="1"/>
  <c r="AC10" i="9" s="1" a="1"/>
  <c r="AC10" i="9" s="1"/>
  <c r="AD10" i="9" s="1" a="1"/>
  <c r="AD10" i="9" s="1"/>
  <c r="AE10" i="9" s="1" a="1"/>
  <c r="AE10" i="9" s="1"/>
  <c r="AF10" i="9" s="1" a="1"/>
  <c r="AF10" i="9" s="1"/>
  <c r="AG10" i="9" s="1" a="1"/>
  <c r="AG10" i="9" s="1"/>
  <c r="AH10" i="9" s="1" a="1"/>
  <c r="AH10" i="9" s="1"/>
  <c r="AI10" i="9" s="1" a="1"/>
  <c r="AI10" i="9" s="1"/>
  <c r="AJ10" i="9" s="1" a="1"/>
  <c r="AJ10" i="9" s="1"/>
  <c r="AK10" i="9" s="1" a="1"/>
  <c r="AK10" i="9" s="1"/>
  <c r="AL10" i="9" s="1" a="1"/>
  <c r="AL10" i="9" s="1"/>
  <c r="AM10" i="9" s="1" a="1"/>
  <c r="AM10" i="9" s="1"/>
  <c r="AN10" i="9" s="1" a="1"/>
  <c r="AN10" i="9" s="1"/>
  <c r="AO10" i="9" s="1" a="1"/>
  <c r="AO10" i="9" s="1"/>
  <c r="AP10" i="9" s="1" a="1"/>
  <c r="AP10" i="9" s="1"/>
  <c r="AQ10" i="9" s="1" a="1"/>
  <c r="AQ10" i="9" s="1"/>
  <c r="AR10" i="9" s="1" a="1"/>
  <c r="AR10" i="9" s="1"/>
  <c r="AS10" i="9" s="1" a="1"/>
  <c r="AS10" i="9" s="1"/>
  <c r="AT10" i="9" s="1" a="1"/>
  <c r="AT10" i="9" s="1"/>
  <c r="AU10" i="9" s="1" a="1"/>
  <c r="AU10" i="9" s="1"/>
  <c r="AV10" i="9" s="1" a="1"/>
  <c r="AV10" i="9" s="1"/>
  <c r="AW10" i="9" s="1" a="1"/>
  <c r="AW10" i="9" s="1"/>
  <c r="AX10" i="9" s="1" a="1"/>
  <c r="AX10" i="9" s="1"/>
  <c r="AY10" i="9" s="1" a="1"/>
  <c r="AY10" i="9" s="1"/>
  <c r="AZ10" i="9" s="1" a="1"/>
  <c r="AZ10" i="9" s="1"/>
  <c r="BA10" i="9" s="1" a="1"/>
  <c r="BA10" i="9" s="1"/>
  <c r="BB10" i="9" s="1" a="1"/>
  <c r="BB10" i="9" s="1"/>
  <c r="BC10" i="9" s="1" a="1"/>
  <c r="BC10" i="9" s="1"/>
  <c r="BD10" i="9" s="1" a="1"/>
  <c r="BD10" i="9" s="1"/>
  <c r="BE10" i="9" s="1" a="1"/>
  <c r="BE10" i="9" s="1"/>
  <c r="BF10" i="9" s="1" a="1"/>
  <c r="BF10" i="9" s="1"/>
  <c r="BG10" i="9" s="1" a="1"/>
  <c r="BG10" i="9" s="1"/>
  <c r="BH10" i="9" s="1" a="1"/>
  <c r="BH10" i="9" s="1"/>
  <c r="BI10" i="9" s="1" a="1"/>
  <c r="BI10" i="9" s="1"/>
  <c r="BJ10" i="9" s="1" a="1"/>
  <c r="BJ10" i="9" s="1"/>
  <c r="BK10" i="9" s="1" a="1"/>
  <c r="BK10" i="9" s="1"/>
  <c r="BL10" i="9" s="1" a="1"/>
  <c r="BL10" i="9" s="1"/>
  <c r="BM10" i="9" s="1" a="1"/>
  <c r="BM10" i="9" s="1"/>
  <c r="H67" i="9"/>
  <c r="I6" i="9" a="1"/>
  <c r="I6" i="9" s="1"/>
  <c r="E11" i="8"/>
  <c r="K10" i="8" a="1"/>
  <c r="K10" i="8" s="1"/>
  <c r="L10" i="8" s="1" a="1"/>
  <c r="L10" i="8" s="1"/>
  <c r="M10" i="8" s="1" a="1"/>
  <c r="M10" i="8" s="1"/>
  <c r="N10" i="8" s="1" a="1"/>
  <c r="N10" i="8" s="1"/>
  <c r="O10" i="8" s="1" a="1"/>
  <c r="O10" i="8" s="1"/>
  <c r="P10" i="8" s="1" a="1"/>
  <c r="P10" i="8" s="1"/>
  <c r="Q10" i="8" s="1" a="1"/>
  <c r="Q10" i="8" s="1"/>
  <c r="R10" i="8" s="1" a="1"/>
  <c r="R10" i="8" s="1"/>
  <c r="S10" i="8" s="1" a="1"/>
  <c r="S10" i="8" s="1"/>
  <c r="T10" i="8" s="1" a="1"/>
  <c r="T10" i="8" s="1"/>
  <c r="U10" i="8" s="1" a="1"/>
  <c r="U10" i="8" s="1"/>
  <c r="V10" i="8" s="1" a="1"/>
  <c r="V10" i="8" s="1"/>
  <c r="W10" i="8" s="1" a="1"/>
  <c r="W10" i="8" s="1"/>
  <c r="X10" i="8" s="1" a="1"/>
  <c r="X10" i="8" s="1"/>
  <c r="Y10" i="8" s="1" a="1"/>
  <c r="Y10" i="8" s="1"/>
  <c r="Z10" i="8" s="1" a="1"/>
  <c r="Z10" i="8" s="1"/>
  <c r="AA10" i="8" s="1" a="1"/>
  <c r="AA10" i="8" s="1"/>
  <c r="AB10" i="8" s="1" a="1"/>
  <c r="AB10" i="8" s="1"/>
  <c r="AC10" i="8" s="1" a="1"/>
  <c r="AC10" i="8" s="1"/>
  <c r="AD10" i="8" s="1" a="1"/>
  <c r="AD10" i="8" s="1"/>
  <c r="AE10" i="8" s="1" a="1"/>
  <c r="AE10" i="8" s="1"/>
  <c r="AF10" i="8" s="1" a="1"/>
  <c r="AF10" i="8" s="1"/>
  <c r="AG10" i="8" s="1" a="1"/>
  <c r="AG10" i="8" s="1"/>
  <c r="AH10" i="8" s="1" a="1"/>
  <c r="AH10" i="8" s="1"/>
  <c r="AI10" i="8" s="1" a="1"/>
  <c r="AI10" i="8" s="1"/>
  <c r="AJ10" i="8" s="1" a="1"/>
  <c r="AJ10" i="8" s="1"/>
  <c r="AK10" i="8" s="1" a="1"/>
  <c r="AK10" i="8" s="1"/>
  <c r="AL10" i="8" s="1" a="1"/>
  <c r="AL10" i="8" s="1"/>
  <c r="AM10" i="8" s="1" a="1"/>
  <c r="AM10" i="8" s="1"/>
  <c r="AN10" i="8" s="1" a="1"/>
  <c r="AN10" i="8" s="1"/>
  <c r="AO10" i="8" s="1" a="1"/>
  <c r="AO10" i="8" s="1"/>
  <c r="AP10" i="8" s="1" a="1"/>
  <c r="AP10" i="8" s="1"/>
  <c r="AQ10" i="8" s="1" a="1"/>
  <c r="AQ10" i="8" s="1"/>
  <c r="AR10" i="8" s="1" a="1"/>
  <c r="AR10" i="8" s="1"/>
  <c r="AS10" i="8" s="1" a="1"/>
  <c r="AS10" i="8" s="1"/>
  <c r="AT10" i="8" s="1" a="1"/>
  <c r="AT10" i="8" s="1"/>
  <c r="AU10" i="8" s="1" a="1"/>
  <c r="AU10" i="8" s="1"/>
  <c r="AV10" i="8" s="1" a="1"/>
  <c r="AV10" i="8" s="1"/>
  <c r="AW10" i="8" s="1" a="1"/>
  <c r="AW10" i="8" s="1"/>
  <c r="AX10" i="8" s="1" a="1"/>
  <c r="AX10" i="8" s="1"/>
  <c r="AY10" i="8" s="1" a="1"/>
  <c r="AY10" i="8" s="1"/>
  <c r="AZ10" i="8" s="1" a="1"/>
  <c r="AZ10" i="8" s="1"/>
  <c r="BA10" i="8" s="1" a="1"/>
  <c r="BA10" i="8" s="1"/>
  <c r="BB10" i="8" s="1" a="1"/>
  <c r="BB10" i="8" s="1"/>
  <c r="BC10" i="8" s="1" a="1"/>
  <c r="BC10" i="8" s="1"/>
  <c r="BD10" i="8" s="1" a="1"/>
  <c r="BD10" i="8" s="1"/>
  <c r="BE10" i="8" s="1" a="1"/>
  <c r="BE10" i="8" s="1"/>
  <c r="BF10" i="8" s="1" a="1"/>
  <c r="BF10" i="8" s="1"/>
  <c r="BG10" i="8" s="1" a="1"/>
  <c r="BG10" i="8" s="1"/>
  <c r="BH10" i="8" s="1" a="1"/>
  <c r="BH10" i="8" s="1"/>
  <c r="BI10" i="8" s="1" a="1"/>
  <c r="BI10" i="8" s="1"/>
  <c r="BJ10" i="8" s="1" a="1"/>
  <c r="BJ10" i="8" s="1"/>
  <c r="BK10" i="8" s="1" a="1"/>
  <c r="BK10" i="8" s="1"/>
  <c r="BL10" i="8" s="1" a="1"/>
  <c r="BL10" i="8" s="1"/>
  <c r="BM10" i="8" s="1" a="1"/>
  <c r="BM10" i="8" s="1"/>
  <c r="H67" i="8"/>
  <c r="I6" i="8" a="1"/>
  <c r="I6" i="8" s="1"/>
  <c r="E11" i="7"/>
  <c r="L11" i="7" s="1" a="1"/>
  <c r="L11" i="7" s="1"/>
  <c r="K10" i="7" a="1"/>
  <c r="K10" i="7" s="1"/>
  <c r="L10" i="7" s="1" a="1"/>
  <c r="L10" i="7" s="1"/>
  <c r="M10" i="7" s="1" a="1"/>
  <c r="M10" i="7" s="1"/>
  <c r="N10" i="7" s="1" a="1"/>
  <c r="N10" i="7" s="1"/>
  <c r="O10" i="7" s="1" a="1"/>
  <c r="O10" i="7" s="1"/>
  <c r="P10" i="7" s="1" a="1"/>
  <c r="P10" i="7" s="1"/>
  <c r="Q10" i="7" s="1" a="1"/>
  <c r="Q10" i="7" s="1"/>
  <c r="R10" i="7" s="1" a="1"/>
  <c r="R10" i="7" s="1"/>
  <c r="S10" i="7" s="1" a="1"/>
  <c r="S10" i="7" s="1"/>
  <c r="T10" i="7" s="1" a="1"/>
  <c r="T10" i="7" s="1"/>
  <c r="U10" i="7" s="1" a="1"/>
  <c r="U10" i="7" s="1"/>
  <c r="V10" i="7" s="1" a="1"/>
  <c r="V10" i="7" s="1"/>
  <c r="W10" i="7" s="1" a="1"/>
  <c r="W10" i="7" s="1"/>
  <c r="X10" i="7" s="1" a="1"/>
  <c r="X10" i="7" s="1"/>
  <c r="Y10" i="7" s="1" a="1"/>
  <c r="Y10" i="7" s="1"/>
  <c r="Z10" i="7" s="1" a="1"/>
  <c r="Z10" i="7" s="1"/>
  <c r="AA10" i="7" s="1" a="1"/>
  <c r="AA10" i="7" s="1"/>
  <c r="AB10" i="7" s="1" a="1"/>
  <c r="AB10" i="7" s="1"/>
  <c r="AC10" i="7" s="1" a="1"/>
  <c r="AC10" i="7" s="1"/>
  <c r="AD10" i="7" s="1" a="1"/>
  <c r="AD10" i="7" s="1"/>
  <c r="AE10" i="7" s="1" a="1"/>
  <c r="AE10" i="7" s="1"/>
  <c r="AF10" i="7" s="1" a="1"/>
  <c r="AF10" i="7" s="1"/>
  <c r="AG10" i="7" s="1" a="1"/>
  <c r="AG10" i="7" s="1"/>
  <c r="AH10" i="7" s="1" a="1"/>
  <c r="AH10" i="7" s="1"/>
  <c r="AI10" i="7" s="1" a="1"/>
  <c r="AI10" i="7" s="1"/>
  <c r="AJ10" i="7" s="1" a="1"/>
  <c r="AJ10" i="7" s="1"/>
  <c r="AK10" i="7" s="1" a="1"/>
  <c r="AK10" i="7" s="1"/>
  <c r="AL10" i="7" s="1" a="1"/>
  <c r="AL10" i="7" s="1"/>
  <c r="AM10" i="7" s="1" a="1"/>
  <c r="AM10" i="7" s="1"/>
  <c r="AN10" i="7" s="1" a="1"/>
  <c r="AN10" i="7" s="1"/>
  <c r="AO10" i="7" s="1" a="1"/>
  <c r="AO10" i="7" s="1"/>
  <c r="AP10" i="7" s="1" a="1"/>
  <c r="AP10" i="7" s="1"/>
  <c r="AQ10" i="7" s="1" a="1"/>
  <c r="AQ10" i="7" s="1"/>
  <c r="AR10" i="7" s="1" a="1"/>
  <c r="AR10" i="7" s="1"/>
  <c r="AS10" i="7" s="1" a="1"/>
  <c r="AS10" i="7" s="1"/>
  <c r="AT10" i="7" s="1" a="1"/>
  <c r="AT10" i="7" s="1"/>
  <c r="AU10" i="7" s="1" a="1"/>
  <c r="AU10" i="7" s="1"/>
  <c r="AV10" i="7" s="1" a="1"/>
  <c r="AV10" i="7" s="1"/>
  <c r="AW10" i="7" s="1" a="1"/>
  <c r="AW10" i="7" s="1"/>
  <c r="AX10" i="7" s="1" a="1"/>
  <c r="AX10" i="7" s="1"/>
  <c r="AY10" i="7" s="1" a="1"/>
  <c r="AY10" i="7" s="1"/>
  <c r="AZ10" i="7" s="1" a="1"/>
  <c r="AZ10" i="7" s="1"/>
  <c r="BA10" i="7" s="1" a="1"/>
  <c r="BA10" i="7" s="1"/>
  <c r="BB10" i="7" s="1" a="1"/>
  <c r="BB10" i="7" s="1"/>
  <c r="BC10" i="7" s="1" a="1"/>
  <c r="BC10" i="7" s="1"/>
  <c r="BD10" i="7" s="1" a="1"/>
  <c r="BD10" i="7" s="1"/>
  <c r="BE10" i="7" s="1" a="1"/>
  <c r="BE10" i="7" s="1"/>
  <c r="BF10" i="7" s="1" a="1"/>
  <c r="BF10" i="7" s="1"/>
  <c r="BG10" i="7" s="1" a="1"/>
  <c r="BG10" i="7" s="1"/>
  <c r="BH10" i="7" s="1" a="1"/>
  <c r="BH10" i="7" s="1"/>
  <c r="BI10" i="7" s="1" a="1"/>
  <c r="BI10" i="7" s="1"/>
  <c r="BJ10" i="7" s="1" a="1"/>
  <c r="BJ10" i="7" s="1"/>
  <c r="BK10" i="7" s="1" a="1"/>
  <c r="BK10" i="7" s="1"/>
  <c r="BL10" i="7" s="1" a="1"/>
  <c r="BL10" i="7" s="1"/>
  <c r="BM10" i="7" s="1" a="1"/>
  <c r="BM10" i="7" s="1"/>
  <c r="I6" i="7" a="1"/>
  <c r="I6" i="7" s="1"/>
  <c r="H7" i="7" l="1" a="1"/>
  <c r="H7" i="7" s="1"/>
  <c r="G67" i="7"/>
  <c r="J6" i="7" a="1"/>
  <c r="J6" i="7" s="1"/>
  <c r="E12" i="7"/>
  <c r="M11" i="7" a="1"/>
  <c r="M11" i="7" s="1"/>
  <c r="N11" i="7" s="1" a="1"/>
  <c r="N11" i="7" s="1"/>
  <c r="O11" i="7" s="1" a="1"/>
  <c r="O11" i="7" s="1"/>
  <c r="P11" i="7" s="1" a="1"/>
  <c r="P11" i="7" s="1"/>
  <c r="Q11" i="7" s="1" a="1"/>
  <c r="Q11" i="7" s="1"/>
  <c r="R11" i="7" s="1" a="1"/>
  <c r="R11" i="7" s="1"/>
  <c r="S11" i="7" s="1" a="1"/>
  <c r="S11" i="7" s="1"/>
  <c r="T11" i="7" s="1" a="1"/>
  <c r="T11" i="7" s="1"/>
  <c r="U11" i="7" s="1" a="1"/>
  <c r="U11" i="7" s="1"/>
  <c r="V11" i="7" s="1" a="1"/>
  <c r="V11" i="7" s="1"/>
  <c r="W11" i="7" s="1" a="1"/>
  <c r="W11" i="7" s="1"/>
  <c r="X11" i="7" s="1" a="1"/>
  <c r="X11" i="7" s="1"/>
  <c r="Y11" i="7" s="1" a="1"/>
  <c r="Y11" i="7" s="1"/>
  <c r="Z11" i="7" s="1" a="1"/>
  <c r="Z11" i="7" s="1"/>
  <c r="AA11" i="7" s="1" a="1"/>
  <c r="AA11" i="7" s="1"/>
  <c r="AB11" i="7" s="1" a="1"/>
  <c r="AB11" i="7" s="1"/>
  <c r="AC11" i="7" s="1" a="1"/>
  <c r="AC11" i="7" s="1"/>
  <c r="AD11" i="7" s="1" a="1"/>
  <c r="AD11" i="7" s="1"/>
  <c r="AE11" i="7" s="1" a="1"/>
  <c r="AE11" i="7" s="1"/>
  <c r="AF11" i="7" s="1" a="1"/>
  <c r="AF11" i="7" s="1"/>
  <c r="AG11" i="7" s="1" a="1"/>
  <c r="AG11" i="7" s="1"/>
  <c r="AH11" i="7" s="1" a="1"/>
  <c r="AH11" i="7" s="1"/>
  <c r="AI11" i="7" s="1" a="1"/>
  <c r="AI11" i="7" s="1"/>
  <c r="AJ11" i="7" s="1" a="1"/>
  <c r="AJ11" i="7" s="1"/>
  <c r="AK11" i="7" s="1" a="1"/>
  <c r="AK11" i="7" s="1"/>
  <c r="AL11" i="7" s="1" a="1"/>
  <c r="AL11" i="7" s="1"/>
  <c r="AM11" i="7" s="1" a="1"/>
  <c r="AM11" i="7" s="1"/>
  <c r="AN11" i="7" s="1" a="1"/>
  <c r="AN11" i="7" s="1"/>
  <c r="AO11" i="7" s="1" a="1"/>
  <c r="AO11" i="7" s="1"/>
  <c r="AP11" i="7" s="1" a="1"/>
  <c r="AP11" i="7" s="1"/>
  <c r="AQ11" i="7" s="1" a="1"/>
  <c r="AQ11" i="7" s="1"/>
  <c r="AR11" i="7" s="1" a="1"/>
  <c r="AR11" i="7" s="1"/>
  <c r="AS11" i="7" s="1" a="1"/>
  <c r="AS11" i="7" s="1"/>
  <c r="AT11" i="7" s="1" a="1"/>
  <c r="AT11" i="7" s="1"/>
  <c r="AU11" i="7" s="1" a="1"/>
  <c r="AU11" i="7" s="1"/>
  <c r="AV11" i="7" s="1" a="1"/>
  <c r="AV11" i="7" s="1"/>
  <c r="AW11" i="7" s="1" a="1"/>
  <c r="AW11" i="7" s="1"/>
  <c r="AX11" i="7" s="1" a="1"/>
  <c r="AX11" i="7" s="1"/>
  <c r="AY11" i="7" s="1" a="1"/>
  <c r="AY11" i="7" s="1"/>
  <c r="AZ11" i="7" s="1" a="1"/>
  <c r="AZ11" i="7" s="1"/>
  <c r="BA11" i="7" s="1" a="1"/>
  <c r="BA11" i="7" s="1"/>
  <c r="BB11" i="7" s="1" a="1"/>
  <c r="BB11" i="7" s="1"/>
  <c r="BC11" i="7" s="1" a="1"/>
  <c r="BC11" i="7" s="1"/>
  <c r="BD11" i="7" s="1" a="1"/>
  <c r="BD11" i="7" s="1"/>
  <c r="BE11" i="7" s="1" a="1"/>
  <c r="BE11" i="7" s="1"/>
  <c r="BF11" i="7" s="1" a="1"/>
  <c r="BF11" i="7" s="1"/>
  <c r="BG11" i="7" s="1" a="1"/>
  <c r="BG11" i="7" s="1"/>
  <c r="BH11" i="7" s="1" a="1"/>
  <c r="BH11" i="7" s="1"/>
  <c r="BI11" i="7" s="1" a="1"/>
  <c r="BI11" i="7" s="1"/>
  <c r="BJ11" i="7" s="1" a="1"/>
  <c r="BJ11" i="7" s="1"/>
  <c r="BK11" i="7" s="1" a="1"/>
  <c r="BK11" i="7" s="1"/>
  <c r="BL11" i="7" s="1" a="1"/>
  <c r="BL11" i="7" s="1"/>
  <c r="BM11" i="7" s="1" a="1"/>
  <c r="BM11" i="7" s="1"/>
  <c r="I67" i="8"/>
  <c r="J6" i="8" a="1"/>
  <c r="J6" i="8" s="1"/>
  <c r="E12" i="8"/>
  <c r="L11" i="8" a="1"/>
  <c r="L11" i="8" s="1"/>
  <c r="M11" i="8" s="1" a="1"/>
  <c r="M11" i="8" s="1"/>
  <c r="N11" i="8" s="1" a="1"/>
  <c r="N11" i="8" s="1"/>
  <c r="O11" i="8" s="1" a="1"/>
  <c r="O11" i="8" s="1"/>
  <c r="P11" i="8" s="1" a="1"/>
  <c r="P11" i="8" s="1"/>
  <c r="Q11" i="8" s="1" a="1"/>
  <c r="Q11" i="8" s="1"/>
  <c r="R11" i="8" s="1" a="1"/>
  <c r="R11" i="8" s="1"/>
  <c r="S11" i="8" s="1" a="1"/>
  <c r="S11" i="8" s="1"/>
  <c r="T11" i="8" s="1" a="1"/>
  <c r="T11" i="8" s="1"/>
  <c r="U11" i="8" s="1" a="1"/>
  <c r="U11" i="8" s="1"/>
  <c r="V11" i="8" s="1" a="1"/>
  <c r="V11" i="8" s="1"/>
  <c r="W11" i="8" s="1" a="1"/>
  <c r="W11" i="8" s="1"/>
  <c r="X11" i="8" s="1" a="1"/>
  <c r="X11" i="8" s="1"/>
  <c r="Y11" i="8" s="1" a="1"/>
  <c r="Y11" i="8" s="1"/>
  <c r="Z11" i="8" s="1" a="1"/>
  <c r="Z11" i="8" s="1"/>
  <c r="AA11" i="8" s="1" a="1"/>
  <c r="AA11" i="8" s="1"/>
  <c r="AB11" i="8" s="1" a="1"/>
  <c r="AB11" i="8" s="1"/>
  <c r="AC11" i="8" s="1" a="1"/>
  <c r="AC11" i="8" s="1"/>
  <c r="AD11" i="8" s="1" a="1"/>
  <c r="AD11" i="8" s="1"/>
  <c r="AE11" i="8" s="1" a="1"/>
  <c r="AE11" i="8" s="1"/>
  <c r="AF11" i="8" s="1" a="1"/>
  <c r="AF11" i="8" s="1"/>
  <c r="AG11" i="8" s="1" a="1"/>
  <c r="AG11" i="8" s="1"/>
  <c r="AH11" i="8" s="1" a="1"/>
  <c r="AH11" i="8" s="1"/>
  <c r="AI11" i="8" s="1" a="1"/>
  <c r="AI11" i="8" s="1"/>
  <c r="AJ11" i="8" s="1" a="1"/>
  <c r="AJ11" i="8" s="1"/>
  <c r="AK11" i="8" s="1" a="1"/>
  <c r="AK11" i="8" s="1"/>
  <c r="AL11" i="8" s="1" a="1"/>
  <c r="AL11" i="8" s="1"/>
  <c r="AM11" i="8" s="1" a="1"/>
  <c r="AM11" i="8" s="1"/>
  <c r="AN11" i="8" s="1" a="1"/>
  <c r="AN11" i="8" s="1"/>
  <c r="AO11" i="8" s="1" a="1"/>
  <c r="AO11" i="8" s="1"/>
  <c r="AP11" i="8" s="1" a="1"/>
  <c r="AP11" i="8" s="1"/>
  <c r="AQ11" i="8" s="1" a="1"/>
  <c r="AQ11" i="8" s="1"/>
  <c r="AR11" i="8" s="1" a="1"/>
  <c r="AR11" i="8" s="1"/>
  <c r="AS11" i="8" s="1" a="1"/>
  <c r="AS11" i="8" s="1"/>
  <c r="AT11" i="8" s="1" a="1"/>
  <c r="AT11" i="8" s="1"/>
  <c r="AU11" i="8" s="1" a="1"/>
  <c r="AU11" i="8" s="1"/>
  <c r="AV11" i="8" s="1" a="1"/>
  <c r="AV11" i="8" s="1"/>
  <c r="AW11" i="8" s="1" a="1"/>
  <c r="AW11" i="8" s="1"/>
  <c r="AX11" i="8" s="1" a="1"/>
  <c r="AX11" i="8" s="1"/>
  <c r="AY11" i="8" s="1" a="1"/>
  <c r="AY11" i="8" s="1"/>
  <c r="AZ11" i="8" s="1" a="1"/>
  <c r="AZ11" i="8" s="1"/>
  <c r="BA11" i="8" s="1" a="1"/>
  <c r="BA11" i="8" s="1"/>
  <c r="BB11" i="8" s="1" a="1"/>
  <c r="BB11" i="8" s="1"/>
  <c r="BC11" i="8" s="1" a="1"/>
  <c r="BC11" i="8" s="1"/>
  <c r="BD11" i="8" s="1" a="1"/>
  <c r="BD11" i="8" s="1"/>
  <c r="BE11" i="8" s="1" a="1"/>
  <c r="BE11" i="8" s="1"/>
  <c r="BF11" i="8" s="1" a="1"/>
  <c r="BF11" i="8" s="1"/>
  <c r="BG11" i="8" s="1" a="1"/>
  <c r="BG11" i="8" s="1"/>
  <c r="BH11" i="8" s="1" a="1"/>
  <c r="BH11" i="8" s="1"/>
  <c r="BI11" i="8" s="1" a="1"/>
  <c r="BI11" i="8" s="1"/>
  <c r="BJ11" i="8" s="1" a="1"/>
  <c r="BJ11" i="8" s="1"/>
  <c r="BK11" i="8" s="1" a="1"/>
  <c r="BK11" i="8" s="1"/>
  <c r="BL11" i="8" s="1" a="1"/>
  <c r="BL11" i="8" s="1"/>
  <c r="BM11" i="8" s="1" a="1"/>
  <c r="BM11" i="8" s="1"/>
  <c r="I67" i="9"/>
  <c r="J6" i="9" a="1"/>
  <c r="J6" i="9" s="1"/>
  <c r="E12" i="9"/>
  <c r="L11" i="9" a="1"/>
  <c r="L11" i="9" s="1"/>
  <c r="M11" i="9" s="1" a="1"/>
  <c r="M11" i="9" s="1"/>
  <c r="N11" i="9" s="1" a="1"/>
  <c r="N11" i="9" s="1"/>
  <c r="O11" i="9" s="1" a="1"/>
  <c r="O11" i="9" s="1"/>
  <c r="P11" i="9" s="1" a="1"/>
  <c r="P11" i="9" s="1"/>
  <c r="Q11" i="9" s="1" a="1"/>
  <c r="Q11" i="9" s="1"/>
  <c r="R11" i="9" s="1" a="1"/>
  <c r="R11" i="9" s="1"/>
  <c r="S11" i="9" s="1" a="1"/>
  <c r="S11" i="9" s="1"/>
  <c r="T11" i="9" s="1" a="1"/>
  <c r="T11" i="9" s="1"/>
  <c r="U11" i="9" s="1" a="1"/>
  <c r="U11" i="9" s="1"/>
  <c r="V11" i="9" s="1" a="1"/>
  <c r="V11" i="9" s="1"/>
  <c r="W11" i="9" s="1" a="1"/>
  <c r="W11" i="9" s="1"/>
  <c r="X11" i="9" s="1" a="1"/>
  <c r="X11" i="9" s="1"/>
  <c r="Y11" i="9" s="1" a="1"/>
  <c r="Y11" i="9" s="1"/>
  <c r="Z11" i="9" s="1" a="1"/>
  <c r="Z11" i="9" s="1"/>
  <c r="AA11" i="9" s="1" a="1"/>
  <c r="AA11" i="9" s="1"/>
  <c r="AB11" i="9" s="1" a="1"/>
  <c r="AB11" i="9" s="1"/>
  <c r="AC11" i="9" s="1" a="1"/>
  <c r="AC11" i="9" s="1"/>
  <c r="AD11" i="9" s="1" a="1"/>
  <c r="AD11" i="9" s="1"/>
  <c r="AE11" i="9" s="1" a="1"/>
  <c r="AE11" i="9" s="1"/>
  <c r="AF11" i="9" s="1" a="1"/>
  <c r="AF11" i="9" s="1"/>
  <c r="AG11" i="9" s="1" a="1"/>
  <c r="AG11" i="9" s="1"/>
  <c r="AH11" i="9" s="1" a="1"/>
  <c r="AH11" i="9" s="1"/>
  <c r="AI11" i="9" s="1" a="1"/>
  <c r="AI11" i="9" s="1"/>
  <c r="AJ11" i="9" s="1" a="1"/>
  <c r="AJ11" i="9" s="1"/>
  <c r="AK11" i="9" s="1" a="1"/>
  <c r="AK11" i="9" s="1"/>
  <c r="AL11" i="9" s="1" a="1"/>
  <c r="AL11" i="9" s="1"/>
  <c r="AM11" i="9" s="1" a="1"/>
  <c r="AM11" i="9" s="1"/>
  <c r="AN11" i="9" s="1" a="1"/>
  <c r="AN11" i="9" s="1"/>
  <c r="AO11" i="9" s="1" a="1"/>
  <c r="AO11" i="9" s="1"/>
  <c r="AP11" i="9" s="1" a="1"/>
  <c r="AP11" i="9" s="1"/>
  <c r="AQ11" i="9" s="1" a="1"/>
  <c r="AQ11" i="9" s="1"/>
  <c r="AR11" i="9" s="1" a="1"/>
  <c r="AR11" i="9" s="1"/>
  <c r="AS11" i="9" s="1" a="1"/>
  <c r="AS11" i="9" s="1"/>
  <c r="AT11" i="9" s="1" a="1"/>
  <c r="AT11" i="9" s="1"/>
  <c r="AU11" i="9" s="1" a="1"/>
  <c r="AU11" i="9" s="1"/>
  <c r="AV11" i="9" s="1" a="1"/>
  <c r="AV11" i="9" s="1"/>
  <c r="AW11" i="9" s="1" a="1"/>
  <c r="AW11" i="9" s="1"/>
  <c r="AX11" i="9" s="1" a="1"/>
  <c r="AX11" i="9" s="1"/>
  <c r="AY11" i="9" s="1" a="1"/>
  <c r="AY11" i="9" s="1"/>
  <c r="AZ11" i="9" s="1" a="1"/>
  <c r="AZ11" i="9" s="1"/>
  <c r="BA11" i="9" s="1" a="1"/>
  <c r="BA11" i="9" s="1"/>
  <c r="BB11" i="9" s="1" a="1"/>
  <c r="BB11" i="9" s="1"/>
  <c r="BC11" i="9" s="1" a="1"/>
  <c r="BC11" i="9" s="1"/>
  <c r="BD11" i="9" s="1" a="1"/>
  <c r="BD11" i="9" s="1"/>
  <c r="BE11" i="9" s="1" a="1"/>
  <c r="BE11" i="9" s="1"/>
  <c r="BF11" i="9" s="1" a="1"/>
  <c r="BF11" i="9" s="1"/>
  <c r="BG11" i="9" s="1" a="1"/>
  <c r="BG11" i="9" s="1"/>
  <c r="BH11" i="9" s="1" a="1"/>
  <c r="BH11" i="9" s="1"/>
  <c r="BI11" i="9" s="1" a="1"/>
  <c r="BI11" i="9" s="1"/>
  <c r="BJ11" i="9" s="1" a="1"/>
  <c r="BJ11" i="9" s="1"/>
  <c r="BK11" i="9" s="1" a="1"/>
  <c r="BK11" i="9" s="1"/>
  <c r="BL11" i="9" s="1" a="1"/>
  <c r="BL11" i="9" s="1"/>
  <c r="BM11" i="9" s="1" a="1"/>
  <c r="BM11" i="9" s="1"/>
  <c r="I7" i="7" l="1" a="1"/>
  <c r="I7" i="7" s="1"/>
  <c r="H67" i="7"/>
  <c r="E13" i="9"/>
  <c r="M12" i="9" a="1"/>
  <c r="M12" i="9" s="1"/>
  <c r="N12" i="9" s="1" a="1"/>
  <c r="N12" i="9" s="1"/>
  <c r="O12" i="9" s="1" a="1"/>
  <c r="O12" i="9" s="1"/>
  <c r="P12" i="9" s="1" a="1"/>
  <c r="P12" i="9" s="1"/>
  <c r="Q12" i="9" s="1" a="1"/>
  <c r="Q12" i="9" s="1"/>
  <c r="R12" i="9" s="1" a="1"/>
  <c r="R12" i="9" s="1"/>
  <c r="S12" i="9" s="1" a="1"/>
  <c r="S12" i="9" s="1"/>
  <c r="T12" i="9" s="1" a="1"/>
  <c r="T12" i="9" s="1"/>
  <c r="U12" i="9" s="1" a="1"/>
  <c r="U12" i="9" s="1"/>
  <c r="V12" i="9" s="1" a="1"/>
  <c r="V12" i="9" s="1"/>
  <c r="W12" i="9" s="1" a="1"/>
  <c r="W12" i="9" s="1"/>
  <c r="X12" i="9" s="1" a="1"/>
  <c r="X12" i="9" s="1"/>
  <c r="Y12" i="9" s="1" a="1"/>
  <c r="Y12" i="9" s="1"/>
  <c r="Z12" i="9" s="1" a="1"/>
  <c r="Z12" i="9" s="1"/>
  <c r="AA12" i="9" s="1" a="1"/>
  <c r="AA12" i="9" s="1"/>
  <c r="AB12" i="9" s="1" a="1"/>
  <c r="AB12" i="9" s="1"/>
  <c r="AC12" i="9" s="1" a="1"/>
  <c r="AC12" i="9" s="1"/>
  <c r="AD12" i="9" s="1" a="1"/>
  <c r="AD12" i="9" s="1"/>
  <c r="AE12" i="9" s="1" a="1"/>
  <c r="AE12" i="9" s="1"/>
  <c r="AF12" i="9" s="1" a="1"/>
  <c r="AF12" i="9" s="1"/>
  <c r="AG12" i="9" s="1" a="1"/>
  <c r="AG12" i="9" s="1"/>
  <c r="AH12" i="9" s="1" a="1"/>
  <c r="AH12" i="9" s="1"/>
  <c r="AI12" i="9" s="1" a="1"/>
  <c r="AI12" i="9" s="1"/>
  <c r="AJ12" i="9" s="1" a="1"/>
  <c r="AJ12" i="9" s="1"/>
  <c r="AK12" i="9" s="1" a="1"/>
  <c r="AK12" i="9" s="1"/>
  <c r="AL12" i="9" s="1" a="1"/>
  <c r="AL12" i="9" s="1"/>
  <c r="AM12" i="9" s="1" a="1"/>
  <c r="AM12" i="9" s="1"/>
  <c r="AN12" i="9" s="1" a="1"/>
  <c r="AN12" i="9" s="1"/>
  <c r="AO12" i="9" s="1" a="1"/>
  <c r="AO12" i="9" s="1"/>
  <c r="AP12" i="9" s="1" a="1"/>
  <c r="AP12" i="9" s="1"/>
  <c r="AQ12" i="9" s="1" a="1"/>
  <c r="AQ12" i="9" s="1"/>
  <c r="AR12" i="9" s="1" a="1"/>
  <c r="AR12" i="9" s="1"/>
  <c r="AS12" i="9" s="1" a="1"/>
  <c r="AS12" i="9" s="1"/>
  <c r="AT12" i="9" s="1" a="1"/>
  <c r="AT12" i="9" s="1"/>
  <c r="AU12" i="9" s="1" a="1"/>
  <c r="AU12" i="9" s="1"/>
  <c r="AV12" i="9" s="1" a="1"/>
  <c r="AV12" i="9" s="1"/>
  <c r="AW12" i="9" s="1" a="1"/>
  <c r="AW12" i="9" s="1"/>
  <c r="AX12" i="9" s="1" a="1"/>
  <c r="AX12" i="9" s="1"/>
  <c r="AY12" i="9" s="1" a="1"/>
  <c r="AY12" i="9" s="1"/>
  <c r="AZ12" i="9" s="1" a="1"/>
  <c r="AZ12" i="9" s="1"/>
  <c r="BA12" i="9" s="1" a="1"/>
  <c r="BA12" i="9" s="1"/>
  <c r="BB12" i="9" s="1" a="1"/>
  <c r="BB12" i="9" s="1"/>
  <c r="BC12" i="9" s="1" a="1"/>
  <c r="BC12" i="9" s="1"/>
  <c r="BD12" i="9" s="1" a="1"/>
  <c r="BD12" i="9" s="1"/>
  <c r="BE12" i="9" s="1" a="1"/>
  <c r="BE12" i="9" s="1"/>
  <c r="BF12" i="9" s="1" a="1"/>
  <c r="BF12" i="9" s="1"/>
  <c r="BG12" i="9" s="1" a="1"/>
  <c r="BG12" i="9" s="1"/>
  <c r="BH12" i="9" s="1" a="1"/>
  <c r="BH12" i="9" s="1"/>
  <c r="BI12" i="9" s="1" a="1"/>
  <c r="BI12" i="9" s="1"/>
  <c r="BJ12" i="9" s="1" a="1"/>
  <c r="BJ12" i="9" s="1"/>
  <c r="BK12" i="9" s="1" a="1"/>
  <c r="BK12" i="9" s="1"/>
  <c r="BL12" i="9" s="1" a="1"/>
  <c r="BL12" i="9" s="1"/>
  <c r="BM12" i="9" s="1" a="1"/>
  <c r="BM12" i="9" s="1"/>
  <c r="J67" i="9"/>
  <c r="K6" i="9" a="1"/>
  <c r="K6" i="9" s="1"/>
  <c r="E13" i="8"/>
  <c r="M12" i="8" a="1"/>
  <c r="M12" i="8" s="1"/>
  <c r="N12" i="8" s="1" a="1"/>
  <c r="N12" i="8" s="1"/>
  <c r="O12" i="8" s="1" a="1"/>
  <c r="O12" i="8" s="1"/>
  <c r="P12" i="8" s="1" a="1"/>
  <c r="P12" i="8" s="1"/>
  <c r="Q12" i="8" s="1" a="1"/>
  <c r="Q12" i="8" s="1"/>
  <c r="R12" i="8" s="1" a="1"/>
  <c r="R12" i="8" s="1"/>
  <c r="S12" i="8" s="1" a="1"/>
  <c r="S12" i="8" s="1"/>
  <c r="T12" i="8" s="1" a="1"/>
  <c r="T12" i="8" s="1"/>
  <c r="U12" i="8" s="1" a="1"/>
  <c r="U12" i="8" s="1"/>
  <c r="V12" i="8" s="1" a="1"/>
  <c r="V12" i="8" s="1"/>
  <c r="W12" i="8" s="1" a="1"/>
  <c r="W12" i="8" s="1"/>
  <c r="X12" i="8" s="1" a="1"/>
  <c r="X12" i="8" s="1"/>
  <c r="Y12" i="8" s="1" a="1"/>
  <c r="Y12" i="8" s="1"/>
  <c r="Z12" i="8" s="1" a="1"/>
  <c r="Z12" i="8" s="1"/>
  <c r="AA12" i="8" s="1" a="1"/>
  <c r="AA12" i="8" s="1"/>
  <c r="AB12" i="8" s="1" a="1"/>
  <c r="AB12" i="8" s="1"/>
  <c r="AC12" i="8" s="1" a="1"/>
  <c r="AC12" i="8" s="1"/>
  <c r="AD12" i="8" s="1" a="1"/>
  <c r="AD12" i="8" s="1"/>
  <c r="AE12" i="8" s="1" a="1"/>
  <c r="AE12" i="8" s="1"/>
  <c r="AF12" i="8" s="1" a="1"/>
  <c r="AF12" i="8" s="1"/>
  <c r="AG12" i="8" s="1" a="1"/>
  <c r="AG12" i="8" s="1"/>
  <c r="AH12" i="8" s="1" a="1"/>
  <c r="AH12" i="8" s="1"/>
  <c r="AI12" i="8" s="1" a="1"/>
  <c r="AI12" i="8" s="1"/>
  <c r="AJ12" i="8" s="1" a="1"/>
  <c r="AJ12" i="8" s="1"/>
  <c r="AK12" i="8" s="1" a="1"/>
  <c r="AK12" i="8" s="1"/>
  <c r="AL12" i="8" s="1" a="1"/>
  <c r="AL12" i="8" s="1"/>
  <c r="AM12" i="8" s="1" a="1"/>
  <c r="AM12" i="8" s="1"/>
  <c r="AN12" i="8" s="1" a="1"/>
  <c r="AN12" i="8" s="1"/>
  <c r="AO12" i="8" s="1" a="1"/>
  <c r="AO12" i="8" s="1"/>
  <c r="AP12" i="8" s="1" a="1"/>
  <c r="AP12" i="8" s="1"/>
  <c r="AQ12" i="8" s="1" a="1"/>
  <c r="AQ12" i="8" s="1"/>
  <c r="AR12" i="8" s="1" a="1"/>
  <c r="AR12" i="8" s="1"/>
  <c r="AS12" i="8" s="1" a="1"/>
  <c r="AS12" i="8" s="1"/>
  <c r="AT12" i="8" s="1" a="1"/>
  <c r="AT12" i="8" s="1"/>
  <c r="AU12" i="8" s="1" a="1"/>
  <c r="AU12" i="8" s="1"/>
  <c r="AV12" i="8" s="1" a="1"/>
  <c r="AV12" i="8" s="1"/>
  <c r="AW12" i="8" s="1" a="1"/>
  <c r="AW12" i="8" s="1"/>
  <c r="AX12" i="8" s="1" a="1"/>
  <c r="AX12" i="8" s="1"/>
  <c r="AY12" i="8" s="1" a="1"/>
  <c r="AY12" i="8" s="1"/>
  <c r="AZ12" i="8" s="1" a="1"/>
  <c r="AZ12" i="8" s="1"/>
  <c r="BA12" i="8" s="1" a="1"/>
  <c r="BA12" i="8" s="1"/>
  <c r="BB12" i="8" s="1" a="1"/>
  <c r="BB12" i="8" s="1"/>
  <c r="BC12" i="8" s="1" a="1"/>
  <c r="BC12" i="8" s="1"/>
  <c r="BD12" i="8" s="1" a="1"/>
  <c r="BD12" i="8" s="1"/>
  <c r="BE12" i="8" s="1" a="1"/>
  <c r="BE12" i="8" s="1"/>
  <c r="BF12" i="8" s="1" a="1"/>
  <c r="BF12" i="8" s="1"/>
  <c r="BG12" i="8" s="1" a="1"/>
  <c r="BG12" i="8" s="1"/>
  <c r="BH12" i="8" s="1" a="1"/>
  <c r="BH12" i="8" s="1"/>
  <c r="BI12" i="8" s="1" a="1"/>
  <c r="BI12" i="8" s="1"/>
  <c r="BJ12" i="8" s="1" a="1"/>
  <c r="BJ12" i="8" s="1"/>
  <c r="BK12" i="8" s="1" a="1"/>
  <c r="BK12" i="8" s="1"/>
  <c r="BL12" i="8" s="1" a="1"/>
  <c r="BL12" i="8" s="1"/>
  <c r="BM12" i="8" s="1" a="1"/>
  <c r="BM12" i="8" s="1"/>
  <c r="J67" i="8"/>
  <c r="K6" i="8" a="1"/>
  <c r="K6" i="8" s="1"/>
  <c r="E13" i="7"/>
  <c r="M12" i="7" a="1"/>
  <c r="M12" i="7" s="1"/>
  <c r="N12" i="7" s="1" a="1"/>
  <c r="N12" i="7" s="1"/>
  <c r="O12" i="7" s="1" a="1"/>
  <c r="O12" i="7" s="1"/>
  <c r="P12" i="7" s="1" a="1"/>
  <c r="P12" i="7" s="1"/>
  <c r="Q12" i="7" s="1" a="1"/>
  <c r="Q12" i="7" s="1"/>
  <c r="R12" i="7" s="1" a="1"/>
  <c r="R12" i="7" s="1"/>
  <c r="S12" i="7" s="1" a="1"/>
  <c r="S12" i="7" s="1"/>
  <c r="T12" i="7" s="1" a="1"/>
  <c r="T12" i="7" s="1"/>
  <c r="U12" i="7" s="1" a="1"/>
  <c r="U12" i="7" s="1"/>
  <c r="V12" i="7" s="1" a="1"/>
  <c r="V12" i="7" s="1"/>
  <c r="W12" i="7" s="1" a="1"/>
  <c r="W12" i="7" s="1"/>
  <c r="X12" i="7" s="1" a="1"/>
  <c r="X12" i="7" s="1"/>
  <c r="Y12" i="7" s="1" a="1"/>
  <c r="Y12" i="7" s="1"/>
  <c r="Z12" i="7" s="1" a="1"/>
  <c r="Z12" i="7" s="1"/>
  <c r="AA12" i="7" s="1" a="1"/>
  <c r="AA12" i="7" s="1"/>
  <c r="AB12" i="7" s="1" a="1"/>
  <c r="AB12" i="7" s="1"/>
  <c r="AC12" i="7" s="1" a="1"/>
  <c r="AC12" i="7" s="1"/>
  <c r="AD12" i="7" s="1" a="1"/>
  <c r="AD12" i="7" s="1"/>
  <c r="AE12" i="7" s="1" a="1"/>
  <c r="AE12" i="7" s="1"/>
  <c r="AF12" i="7" s="1" a="1"/>
  <c r="AF12" i="7" s="1"/>
  <c r="AG12" i="7" s="1" a="1"/>
  <c r="AG12" i="7" s="1"/>
  <c r="AH12" i="7" s="1" a="1"/>
  <c r="AH12" i="7" s="1"/>
  <c r="AI12" i="7" s="1" a="1"/>
  <c r="AI12" i="7" s="1"/>
  <c r="AJ12" i="7" s="1" a="1"/>
  <c r="AJ12" i="7" s="1"/>
  <c r="AK12" i="7" s="1" a="1"/>
  <c r="AK12" i="7" s="1"/>
  <c r="AL12" i="7" s="1" a="1"/>
  <c r="AL12" i="7" s="1"/>
  <c r="AM12" i="7" s="1" a="1"/>
  <c r="AM12" i="7" s="1"/>
  <c r="AN12" i="7" s="1" a="1"/>
  <c r="AN12" i="7" s="1"/>
  <c r="AO12" i="7" s="1" a="1"/>
  <c r="AO12" i="7" s="1"/>
  <c r="AP12" i="7" s="1" a="1"/>
  <c r="AP12" i="7" s="1"/>
  <c r="AQ12" i="7" s="1" a="1"/>
  <c r="AQ12" i="7" s="1"/>
  <c r="AR12" i="7" s="1" a="1"/>
  <c r="AR12" i="7" s="1"/>
  <c r="AS12" i="7" s="1" a="1"/>
  <c r="AS12" i="7" s="1"/>
  <c r="AT12" i="7" s="1" a="1"/>
  <c r="AT12" i="7" s="1"/>
  <c r="AU12" i="7" s="1" a="1"/>
  <c r="AU12" i="7" s="1"/>
  <c r="AV12" i="7" s="1" a="1"/>
  <c r="AV12" i="7" s="1"/>
  <c r="AW12" i="7" s="1" a="1"/>
  <c r="AW12" i="7" s="1"/>
  <c r="AX12" i="7" s="1" a="1"/>
  <c r="AX12" i="7" s="1"/>
  <c r="AY12" i="7" s="1" a="1"/>
  <c r="AY12" i="7" s="1"/>
  <c r="AZ12" i="7" s="1" a="1"/>
  <c r="AZ12" i="7" s="1"/>
  <c r="BA12" i="7" s="1" a="1"/>
  <c r="BA12" i="7" s="1"/>
  <c r="BB12" i="7" s="1" a="1"/>
  <c r="BB12" i="7" s="1"/>
  <c r="BC12" i="7" s="1" a="1"/>
  <c r="BC12" i="7" s="1"/>
  <c r="BD12" i="7" s="1" a="1"/>
  <c r="BD12" i="7" s="1"/>
  <c r="BE12" i="7" s="1" a="1"/>
  <c r="BE12" i="7" s="1"/>
  <c r="BF12" i="7" s="1" a="1"/>
  <c r="BF12" i="7" s="1"/>
  <c r="BG12" i="7" s="1" a="1"/>
  <c r="BG12" i="7" s="1"/>
  <c r="BH12" i="7" s="1" a="1"/>
  <c r="BH12" i="7" s="1"/>
  <c r="BI12" i="7" s="1" a="1"/>
  <c r="BI12" i="7" s="1"/>
  <c r="BJ12" i="7" s="1" a="1"/>
  <c r="BJ12" i="7" s="1"/>
  <c r="BK12" i="7" s="1" a="1"/>
  <c r="BK12" i="7" s="1"/>
  <c r="BL12" i="7" s="1" a="1"/>
  <c r="BL12" i="7" s="1"/>
  <c r="BM12" i="7" s="1" a="1"/>
  <c r="BM12" i="7" s="1"/>
  <c r="K6" i="7" a="1"/>
  <c r="K6" i="7" s="1"/>
  <c r="J7" i="7" l="1" a="1"/>
  <c r="J7" i="7" s="1"/>
  <c r="I67" i="7"/>
  <c r="L6" i="7" a="1"/>
  <c r="L6" i="7" s="1"/>
  <c r="E14" i="7"/>
  <c r="N13" i="7" a="1"/>
  <c r="N13" i="7" s="1"/>
  <c r="O13" i="7" s="1" a="1"/>
  <c r="O13" i="7" s="1"/>
  <c r="P13" i="7" s="1" a="1"/>
  <c r="P13" i="7" s="1"/>
  <c r="Q13" i="7" s="1" a="1"/>
  <c r="Q13" i="7" s="1"/>
  <c r="R13" i="7" s="1" a="1"/>
  <c r="R13" i="7" s="1"/>
  <c r="S13" i="7" s="1" a="1"/>
  <c r="S13" i="7" s="1"/>
  <c r="T13" i="7" s="1" a="1"/>
  <c r="T13" i="7" s="1"/>
  <c r="U13" i="7" s="1" a="1"/>
  <c r="U13" i="7" s="1"/>
  <c r="V13" i="7" s="1" a="1"/>
  <c r="V13" i="7" s="1"/>
  <c r="W13" i="7" s="1" a="1"/>
  <c r="W13" i="7" s="1"/>
  <c r="X13" i="7" s="1" a="1"/>
  <c r="X13" i="7" s="1"/>
  <c r="Y13" i="7" s="1" a="1"/>
  <c r="Y13" i="7" s="1"/>
  <c r="Z13" i="7" s="1" a="1"/>
  <c r="Z13" i="7" s="1"/>
  <c r="AA13" i="7" s="1" a="1"/>
  <c r="AA13" i="7" s="1"/>
  <c r="AB13" i="7" s="1" a="1"/>
  <c r="AB13" i="7" s="1"/>
  <c r="AC13" i="7" s="1" a="1"/>
  <c r="AC13" i="7" s="1"/>
  <c r="AD13" i="7" s="1" a="1"/>
  <c r="AD13" i="7" s="1"/>
  <c r="AE13" i="7" s="1" a="1"/>
  <c r="AE13" i="7" s="1"/>
  <c r="AF13" i="7" s="1" a="1"/>
  <c r="AF13" i="7" s="1"/>
  <c r="AG13" i="7" s="1" a="1"/>
  <c r="AG13" i="7" s="1"/>
  <c r="AH13" i="7" s="1" a="1"/>
  <c r="AH13" i="7" s="1"/>
  <c r="AI13" i="7" s="1" a="1"/>
  <c r="AI13" i="7" s="1"/>
  <c r="AJ13" i="7" s="1" a="1"/>
  <c r="AJ13" i="7" s="1"/>
  <c r="AK13" i="7" s="1" a="1"/>
  <c r="AK13" i="7" s="1"/>
  <c r="AL13" i="7" s="1" a="1"/>
  <c r="AL13" i="7" s="1"/>
  <c r="AM13" i="7" s="1" a="1"/>
  <c r="AM13" i="7" s="1"/>
  <c r="AN13" i="7" s="1" a="1"/>
  <c r="AN13" i="7" s="1"/>
  <c r="AO13" i="7" s="1" a="1"/>
  <c r="AO13" i="7" s="1"/>
  <c r="AP13" i="7" s="1" a="1"/>
  <c r="AP13" i="7" s="1"/>
  <c r="AQ13" i="7" s="1" a="1"/>
  <c r="AQ13" i="7" s="1"/>
  <c r="AR13" i="7" s="1" a="1"/>
  <c r="AR13" i="7" s="1"/>
  <c r="AS13" i="7" s="1" a="1"/>
  <c r="AS13" i="7" s="1"/>
  <c r="AT13" i="7" s="1" a="1"/>
  <c r="AT13" i="7" s="1"/>
  <c r="AU13" i="7" s="1" a="1"/>
  <c r="AU13" i="7" s="1"/>
  <c r="AV13" i="7" s="1" a="1"/>
  <c r="AV13" i="7" s="1"/>
  <c r="AW13" i="7" s="1" a="1"/>
  <c r="AW13" i="7" s="1"/>
  <c r="AX13" i="7" s="1" a="1"/>
  <c r="AX13" i="7" s="1"/>
  <c r="AY13" i="7" s="1" a="1"/>
  <c r="AY13" i="7" s="1"/>
  <c r="AZ13" i="7" s="1" a="1"/>
  <c r="AZ13" i="7" s="1"/>
  <c r="BA13" i="7" s="1" a="1"/>
  <c r="BA13" i="7" s="1"/>
  <c r="BB13" i="7" s="1" a="1"/>
  <c r="BB13" i="7" s="1"/>
  <c r="BC13" i="7" s="1" a="1"/>
  <c r="BC13" i="7" s="1"/>
  <c r="BD13" i="7" s="1" a="1"/>
  <c r="BD13" i="7" s="1"/>
  <c r="BE13" i="7" s="1" a="1"/>
  <c r="BE13" i="7" s="1"/>
  <c r="BF13" i="7" s="1" a="1"/>
  <c r="BF13" i="7" s="1"/>
  <c r="BG13" i="7" s="1" a="1"/>
  <c r="BG13" i="7" s="1"/>
  <c r="BH13" i="7" s="1" a="1"/>
  <c r="BH13" i="7" s="1"/>
  <c r="BI13" i="7" s="1" a="1"/>
  <c r="BI13" i="7" s="1"/>
  <c r="BJ13" i="7" s="1" a="1"/>
  <c r="BJ13" i="7" s="1"/>
  <c r="BK13" i="7" s="1" a="1"/>
  <c r="BK13" i="7" s="1"/>
  <c r="BL13" i="7" s="1" a="1"/>
  <c r="BL13" i="7" s="1"/>
  <c r="BM13" i="7" s="1" a="1"/>
  <c r="BM13" i="7" s="1"/>
  <c r="K67" i="8"/>
  <c r="L6" i="8" a="1"/>
  <c r="L6" i="8" s="1"/>
  <c r="E14" i="8"/>
  <c r="N13" i="8" a="1"/>
  <c r="N13" i="8" s="1"/>
  <c r="O13" i="8" s="1" a="1"/>
  <c r="O13" i="8" s="1"/>
  <c r="P13" i="8" s="1" a="1"/>
  <c r="P13" i="8" s="1"/>
  <c r="Q13" i="8" s="1" a="1"/>
  <c r="Q13" i="8" s="1"/>
  <c r="R13" i="8" s="1" a="1"/>
  <c r="R13" i="8" s="1"/>
  <c r="S13" i="8" s="1" a="1"/>
  <c r="S13" i="8" s="1"/>
  <c r="T13" i="8" s="1" a="1"/>
  <c r="T13" i="8" s="1"/>
  <c r="U13" i="8" s="1" a="1"/>
  <c r="U13" i="8" s="1"/>
  <c r="V13" i="8" s="1" a="1"/>
  <c r="V13" i="8" s="1"/>
  <c r="W13" i="8" s="1" a="1"/>
  <c r="W13" i="8" s="1"/>
  <c r="X13" i="8" s="1" a="1"/>
  <c r="X13" i="8" s="1"/>
  <c r="Y13" i="8" s="1" a="1"/>
  <c r="Y13" i="8" s="1"/>
  <c r="Z13" i="8" s="1" a="1"/>
  <c r="Z13" i="8" s="1"/>
  <c r="AA13" i="8" s="1" a="1"/>
  <c r="AA13" i="8" s="1"/>
  <c r="AB13" i="8" s="1" a="1"/>
  <c r="AB13" i="8" s="1"/>
  <c r="AC13" i="8" s="1" a="1"/>
  <c r="AC13" i="8" s="1"/>
  <c r="AD13" i="8" s="1" a="1"/>
  <c r="AD13" i="8" s="1"/>
  <c r="AE13" i="8" s="1" a="1"/>
  <c r="AE13" i="8" s="1"/>
  <c r="AF13" i="8" s="1" a="1"/>
  <c r="AF13" i="8" s="1"/>
  <c r="AG13" i="8" s="1" a="1"/>
  <c r="AG13" i="8" s="1"/>
  <c r="AH13" i="8" s="1" a="1"/>
  <c r="AH13" i="8" s="1"/>
  <c r="AI13" i="8" s="1" a="1"/>
  <c r="AI13" i="8" s="1"/>
  <c r="AJ13" i="8" s="1" a="1"/>
  <c r="AJ13" i="8" s="1"/>
  <c r="AK13" i="8" s="1" a="1"/>
  <c r="AK13" i="8" s="1"/>
  <c r="AL13" i="8" s="1" a="1"/>
  <c r="AL13" i="8" s="1"/>
  <c r="AM13" i="8" s="1" a="1"/>
  <c r="AM13" i="8" s="1"/>
  <c r="AN13" i="8" s="1" a="1"/>
  <c r="AN13" i="8" s="1"/>
  <c r="AO13" i="8" s="1" a="1"/>
  <c r="AO13" i="8" s="1"/>
  <c r="AP13" i="8" s="1" a="1"/>
  <c r="AP13" i="8" s="1"/>
  <c r="AQ13" i="8" s="1" a="1"/>
  <c r="AQ13" i="8" s="1"/>
  <c r="AR13" i="8" s="1" a="1"/>
  <c r="AR13" i="8" s="1"/>
  <c r="AS13" i="8" s="1" a="1"/>
  <c r="AS13" i="8" s="1"/>
  <c r="AT13" i="8" s="1" a="1"/>
  <c r="AT13" i="8" s="1"/>
  <c r="AU13" i="8" s="1" a="1"/>
  <c r="AU13" i="8" s="1"/>
  <c r="AV13" i="8" s="1" a="1"/>
  <c r="AV13" i="8" s="1"/>
  <c r="AW13" i="8" s="1" a="1"/>
  <c r="AW13" i="8" s="1"/>
  <c r="AX13" i="8" s="1" a="1"/>
  <c r="AX13" i="8" s="1"/>
  <c r="AY13" i="8" s="1" a="1"/>
  <c r="AY13" i="8" s="1"/>
  <c r="AZ13" i="8" s="1" a="1"/>
  <c r="AZ13" i="8" s="1"/>
  <c r="BA13" i="8" s="1" a="1"/>
  <c r="BA13" i="8" s="1"/>
  <c r="BB13" i="8" s="1" a="1"/>
  <c r="BB13" i="8" s="1"/>
  <c r="BC13" i="8" s="1" a="1"/>
  <c r="BC13" i="8" s="1"/>
  <c r="BD13" i="8" s="1" a="1"/>
  <c r="BD13" i="8" s="1"/>
  <c r="BE13" i="8" s="1" a="1"/>
  <c r="BE13" i="8" s="1"/>
  <c r="BF13" i="8" s="1" a="1"/>
  <c r="BF13" i="8" s="1"/>
  <c r="BG13" i="8" s="1" a="1"/>
  <c r="BG13" i="8" s="1"/>
  <c r="BH13" i="8" s="1" a="1"/>
  <c r="BH13" i="8" s="1"/>
  <c r="BI13" i="8" s="1" a="1"/>
  <c r="BI13" i="8" s="1"/>
  <c r="BJ13" i="8" s="1" a="1"/>
  <c r="BJ13" i="8" s="1"/>
  <c r="BK13" i="8" s="1" a="1"/>
  <c r="BK13" i="8" s="1"/>
  <c r="BL13" i="8" s="1" a="1"/>
  <c r="BL13" i="8" s="1"/>
  <c r="BM13" i="8" s="1" a="1"/>
  <c r="BM13" i="8" s="1"/>
  <c r="K67" i="9"/>
  <c r="L6" i="9" a="1"/>
  <c r="L6" i="9" s="1"/>
  <c r="E14" i="9"/>
  <c r="N13" i="9" a="1"/>
  <c r="N13" i="9" s="1"/>
  <c r="O13" i="9" s="1" a="1"/>
  <c r="O13" i="9" s="1"/>
  <c r="P13" i="9" s="1" a="1"/>
  <c r="P13" i="9" s="1"/>
  <c r="Q13" i="9" s="1" a="1"/>
  <c r="Q13" i="9" s="1"/>
  <c r="R13" i="9" s="1" a="1"/>
  <c r="R13" i="9" s="1"/>
  <c r="S13" i="9" s="1" a="1"/>
  <c r="S13" i="9" s="1"/>
  <c r="T13" i="9" s="1" a="1"/>
  <c r="T13" i="9" s="1"/>
  <c r="U13" i="9" s="1" a="1"/>
  <c r="U13" i="9" s="1"/>
  <c r="V13" i="9" s="1" a="1"/>
  <c r="V13" i="9" s="1"/>
  <c r="W13" i="9" s="1" a="1"/>
  <c r="W13" i="9" s="1"/>
  <c r="X13" i="9" s="1" a="1"/>
  <c r="X13" i="9" s="1"/>
  <c r="Y13" i="9" s="1" a="1"/>
  <c r="Y13" i="9" s="1"/>
  <c r="Z13" i="9" s="1" a="1"/>
  <c r="Z13" i="9" s="1"/>
  <c r="AA13" i="9" s="1" a="1"/>
  <c r="AA13" i="9" s="1"/>
  <c r="AB13" i="9" s="1" a="1"/>
  <c r="AB13" i="9" s="1"/>
  <c r="AC13" i="9" s="1" a="1"/>
  <c r="AC13" i="9" s="1"/>
  <c r="AD13" i="9" s="1" a="1"/>
  <c r="AD13" i="9" s="1"/>
  <c r="AE13" i="9" s="1" a="1"/>
  <c r="AE13" i="9" s="1"/>
  <c r="AF13" i="9" s="1" a="1"/>
  <c r="AF13" i="9" s="1"/>
  <c r="AG13" i="9" s="1" a="1"/>
  <c r="AG13" i="9" s="1"/>
  <c r="AH13" i="9" s="1" a="1"/>
  <c r="AH13" i="9" s="1"/>
  <c r="AI13" i="9" s="1" a="1"/>
  <c r="AI13" i="9" s="1"/>
  <c r="AJ13" i="9" s="1" a="1"/>
  <c r="AJ13" i="9" s="1"/>
  <c r="AK13" i="9" s="1" a="1"/>
  <c r="AK13" i="9" s="1"/>
  <c r="AL13" i="9" s="1" a="1"/>
  <c r="AL13" i="9" s="1"/>
  <c r="AM13" i="9" s="1" a="1"/>
  <c r="AM13" i="9" s="1"/>
  <c r="AN13" i="9" s="1" a="1"/>
  <c r="AN13" i="9" s="1"/>
  <c r="AO13" i="9" s="1" a="1"/>
  <c r="AO13" i="9" s="1"/>
  <c r="AP13" i="9" s="1" a="1"/>
  <c r="AP13" i="9" s="1"/>
  <c r="AQ13" i="9" s="1" a="1"/>
  <c r="AQ13" i="9" s="1"/>
  <c r="AR13" i="9" s="1" a="1"/>
  <c r="AR13" i="9" s="1"/>
  <c r="AS13" i="9" s="1" a="1"/>
  <c r="AS13" i="9" s="1"/>
  <c r="AT13" i="9" s="1" a="1"/>
  <c r="AT13" i="9" s="1"/>
  <c r="AU13" i="9" s="1" a="1"/>
  <c r="AU13" i="9" s="1"/>
  <c r="AV13" i="9" s="1" a="1"/>
  <c r="AV13" i="9" s="1"/>
  <c r="AW13" i="9" s="1" a="1"/>
  <c r="AW13" i="9" s="1"/>
  <c r="AX13" i="9" s="1" a="1"/>
  <c r="AX13" i="9" s="1"/>
  <c r="AY13" i="9" s="1" a="1"/>
  <c r="AY13" i="9" s="1"/>
  <c r="AZ13" i="9" s="1" a="1"/>
  <c r="AZ13" i="9" s="1"/>
  <c r="BA13" i="9" s="1" a="1"/>
  <c r="BA13" i="9" s="1"/>
  <c r="BB13" i="9" s="1" a="1"/>
  <c r="BB13" i="9" s="1"/>
  <c r="BC13" i="9" s="1" a="1"/>
  <c r="BC13" i="9" s="1"/>
  <c r="BD13" i="9" s="1" a="1"/>
  <c r="BD13" i="9" s="1"/>
  <c r="BE13" i="9" s="1" a="1"/>
  <c r="BE13" i="9" s="1"/>
  <c r="BF13" i="9" s="1" a="1"/>
  <c r="BF13" i="9" s="1"/>
  <c r="BG13" i="9" s="1" a="1"/>
  <c r="BG13" i="9" s="1"/>
  <c r="BH13" i="9" s="1" a="1"/>
  <c r="BH13" i="9" s="1"/>
  <c r="BI13" i="9" s="1" a="1"/>
  <c r="BI13" i="9" s="1"/>
  <c r="BJ13" i="9" s="1" a="1"/>
  <c r="BJ13" i="9" s="1"/>
  <c r="BK13" i="9" s="1" a="1"/>
  <c r="BK13" i="9" s="1"/>
  <c r="BL13" i="9" s="1" a="1"/>
  <c r="BL13" i="9" s="1"/>
  <c r="BM13" i="9" s="1" a="1"/>
  <c r="BM13" i="9" s="1"/>
  <c r="K7" i="7" l="1" a="1"/>
  <c r="K7" i="7" s="1"/>
  <c r="J67" i="7"/>
  <c r="E15" i="9"/>
  <c r="O14" i="9" a="1"/>
  <c r="O14" i="9" s="1"/>
  <c r="P14" i="9" s="1" a="1"/>
  <c r="P14" i="9" s="1"/>
  <c r="Q14" i="9" s="1" a="1"/>
  <c r="Q14" i="9" s="1"/>
  <c r="R14" i="9" s="1" a="1"/>
  <c r="R14" i="9" s="1"/>
  <c r="S14" i="9" s="1" a="1"/>
  <c r="S14" i="9" s="1"/>
  <c r="T14" i="9" s="1" a="1"/>
  <c r="T14" i="9" s="1"/>
  <c r="U14" i="9" s="1" a="1"/>
  <c r="U14" i="9" s="1"/>
  <c r="V14" i="9" s="1" a="1"/>
  <c r="V14" i="9" s="1"/>
  <c r="W14" i="9" s="1" a="1"/>
  <c r="W14" i="9" s="1"/>
  <c r="X14" i="9" s="1" a="1"/>
  <c r="X14" i="9" s="1"/>
  <c r="Y14" i="9" s="1" a="1"/>
  <c r="Y14" i="9" s="1"/>
  <c r="Z14" i="9" s="1" a="1"/>
  <c r="Z14" i="9" s="1"/>
  <c r="AA14" i="9" s="1" a="1"/>
  <c r="AA14" i="9" s="1"/>
  <c r="AB14" i="9" s="1" a="1"/>
  <c r="AB14" i="9" s="1"/>
  <c r="AC14" i="9" s="1" a="1"/>
  <c r="AC14" i="9" s="1"/>
  <c r="AD14" i="9" s="1" a="1"/>
  <c r="AD14" i="9" s="1"/>
  <c r="AE14" i="9" s="1" a="1"/>
  <c r="AE14" i="9" s="1"/>
  <c r="AF14" i="9" s="1" a="1"/>
  <c r="AF14" i="9" s="1"/>
  <c r="AG14" i="9" s="1" a="1"/>
  <c r="AG14" i="9" s="1"/>
  <c r="AH14" i="9" s="1" a="1"/>
  <c r="AH14" i="9" s="1"/>
  <c r="AI14" i="9" s="1" a="1"/>
  <c r="AI14" i="9" s="1"/>
  <c r="AJ14" i="9" s="1" a="1"/>
  <c r="AJ14" i="9" s="1"/>
  <c r="AK14" i="9" s="1" a="1"/>
  <c r="AK14" i="9" s="1"/>
  <c r="AL14" i="9" s="1" a="1"/>
  <c r="AL14" i="9" s="1"/>
  <c r="AM14" i="9" s="1" a="1"/>
  <c r="AM14" i="9" s="1"/>
  <c r="AN14" i="9" s="1" a="1"/>
  <c r="AN14" i="9" s="1"/>
  <c r="AO14" i="9" s="1" a="1"/>
  <c r="AO14" i="9" s="1"/>
  <c r="AP14" i="9" s="1" a="1"/>
  <c r="AP14" i="9" s="1"/>
  <c r="AQ14" i="9" s="1" a="1"/>
  <c r="AQ14" i="9" s="1"/>
  <c r="AR14" i="9" s="1" a="1"/>
  <c r="AR14" i="9" s="1"/>
  <c r="AS14" i="9" s="1" a="1"/>
  <c r="AS14" i="9" s="1"/>
  <c r="AT14" i="9" s="1" a="1"/>
  <c r="AT14" i="9" s="1"/>
  <c r="AU14" i="9" s="1" a="1"/>
  <c r="AU14" i="9" s="1"/>
  <c r="AV14" i="9" s="1" a="1"/>
  <c r="AV14" i="9" s="1"/>
  <c r="AW14" i="9" s="1" a="1"/>
  <c r="AW14" i="9" s="1"/>
  <c r="AX14" i="9" s="1" a="1"/>
  <c r="AX14" i="9" s="1"/>
  <c r="AY14" i="9" s="1" a="1"/>
  <c r="AY14" i="9" s="1"/>
  <c r="AZ14" i="9" s="1" a="1"/>
  <c r="AZ14" i="9" s="1"/>
  <c r="BA14" i="9" s="1" a="1"/>
  <c r="BA14" i="9" s="1"/>
  <c r="BB14" i="9" s="1" a="1"/>
  <c r="BB14" i="9" s="1"/>
  <c r="BC14" i="9" s="1" a="1"/>
  <c r="BC14" i="9" s="1"/>
  <c r="BD14" i="9" s="1" a="1"/>
  <c r="BD14" i="9" s="1"/>
  <c r="BE14" i="9" s="1" a="1"/>
  <c r="BE14" i="9" s="1"/>
  <c r="BF14" i="9" s="1" a="1"/>
  <c r="BF14" i="9" s="1"/>
  <c r="BG14" i="9" s="1" a="1"/>
  <c r="BG14" i="9" s="1"/>
  <c r="BH14" i="9" s="1" a="1"/>
  <c r="BH14" i="9" s="1"/>
  <c r="BI14" i="9" s="1" a="1"/>
  <c r="BI14" i="9" s="1"/>
  <c r="BJ14" i="9" s="1" a="1"/>
  <c r="BJ14" i="9" s="1"/>
  <c r="BK14" i="9" s="1" a="1"/>
  <c r="BK14" i="9" s="1"/>
  <c r="BL14" i="9" s="1" a="1"/>
  <c r="BL14" i="9" s="1"/>
  <c r="BM14" i="9" s="1" a="1"/>
  <c r="BM14" i="9" s="1"/>
  <c r="L67" i="9"/>
  <c r="M6" i="9" a="1"/>
  <c r="M6" i="9" s="1"/>
  <c r="E15" i="8"/>
  <c r="O14" i="8" a="1"/>
  <c r="O14" i="8" s="1"/>
  <c r="P14" i="8" s="1" a="1"/>
  <c r="P14" i="8" s="1"/>
  <c r="Q14" i="8" s="1" a="1"/>
  <c r="Q14" i="8" s="1"/>
  <c r="R14" i="8" s="1" a="1"/>
  <c r="R14" i="8" s="1"/>
  <c r="S14" i="8" s="1" a="1"/>
  <c r="S14" i="8" s="1"/>
  <c r="T14" i="8" s="1" a="1"/>
  <c r="T14" i="8" s="1"/>
  <c r="U14" i="8" s="1" a="1"/>
  <c r="U14" i="8" s="1"/>
  <c r="V14" i="8" s="1" a="1"/>
  <c r="V14" i="8" s="1"/>
  <c r="W14" i="8" s="1" a="1"/>
  <c r="W14" i="8" s="1"/>
  <c r="X14" i="8" s="1" a="1"/>
  <c r="X14" i="8" s="1"/>
  <c r="Y14" i="8" s="1" a="1"/>
  <c r="Y14" i="8" s="1"/>
  <c r="Z14" i="8" s="1" a="1"/>
  <c r="Z14" i="8" s="1"/>
  <c r="AA14" i="8" s="1" a="1"/>
  <c r="AA14" i="8" s="1"/>
  <c r="AB14" i="8" s="1" a="1"/>
  <c r="AB14" i="8" s="1"/>
  <c r="AC14" i="8" s="1" a="1"/>
  <c r="AC14" i="8" s="1"/>
  <c r="AD14" i="8" s="1" a="1"/>
  <c r="AD14" i="8" s="1"/>
  <c r="AE14" i="8" s="1" a="1"/>
  <c r="AE14" i="8" s="1"/>
  <c r="AF14" i="8" s="1" a="1"/>
  <c r="AF14" i="8" s="1"/>
  <c r="AG14" i="8" s="1" a="1"/>
  <c r="AG14" i="8" s="1"/>
  <c r="AH14" i="8" s="1" a="1"/>
  <c r="AH14" i="8" s="1"/>
  <c r="AI14" i="8" s="1" a="1"/>
  <c r="AI14" i="8" s="1"/>
  <c r="AJ14" i="8" s="1" a="1"/>
  <c r="AJ14" i="8" s="1"/>
  <c r="AK14" i="8" s="1" a="1"/>
  <c r="AK14" i="8" s="1"/>
  <c r="AL14" i="8" s="1" a="1"/>
  <c r="AL14" i="8" s="1"/>
  <c r="AM14" i="8" s="1" a="1"/>
  <c r="AM14" i="8" s="1"/>
  <c r="AN14" i="8" s="1" a="1"/>
  <c r="AN14" i="8" s="1"/>
  <c r="AO14" i="8" s="1" a="1"/>
  <c r="AO14" i="8" s="1"/>
  <c r="AP14" i="8" s="1" a="1"/>
  <c r="AP14" i="8" s="1"/>
  <c r="AQ14" i="8" s="1" a="1"/>
  <c r="AQ14" i="8" s="1"/>
  <c r="AR14" i="8" s="1" a="1"/>
  <c r="AR14" i="8" s="1"/>
  <c r="AS14" i="8" s="1" a="1"/>
  <c r="AS14" i="8" s="1"/>
  <c r="AT14" i="8" s="1" a="1"/>
  <c r="AT14" i="8" s="1"/>
  <c r="AU14" i="8" s="1" a="1"/>
  <c r="AU14" i="8" s="1"/>
  <c r="AV14" i="8" s="1" a="1"/>
  <c r="AV14" i="8" s="1"/>
  <c r="AW14" i="8" s="1" a="1"/>
  <c r="AW14" i="8" s="1"/>
  <c r="AX14" i="8" s="1" a="1"/>
  <c r="AX14" i="8" s="1"/>
  <c r="AY14" i="8" s="1" a="1"/>
  <c r="AY14" i="8" s="1"/>
  <c r="AZ14" i="8" s="1" a="1"/>
  <c r="AZ14" i="8" s="1"/>
  <c r="BA14" i="8" s="1" a="1"/>
  <c r="BA14" i="8" s="1"/>
  <c r="BB14" i="8" s="1" a="1"/>
  <c r="BB14" i="8" s="1"/>
  <c r="BC14" i="8" s="1" a="1"/>
  <c r="BC14" i="8" s="1"/>
  <c r="BD14" i="8" s="1" a="1"/>
  <c r="BD14" i="8" s="1"/>
  <c r="BE14" i="8" s="1" a="1"/>
  <c r="BE14" i="8" s="1"/>
  <c r="BF14" i="8" s="1" a="1"/>
  <c r="BF14" i="8" s="1"/>
  <c r="BG14" i="8" s="1" a="1"/>
  <c r="BG14" i="8" s="1"/>
  <c r="BH14" i="8" s="1" a="1"/>
  <c r="BH14" i="8" s="1"/>
  <c r="BI14" i="8" s="1" a="1"/>
  <c r="BI14" i="8" s="1"/>
  <c r="BJ14" i="8" s="1" a="1"/>
  <c r="BJ14" i="8" s="1"/>
  <c r="BK14" i="8" s="1" a="1"/>
  <c r="BK14" i="8" s="1"/>
  <c r="BL14" i="8" s="1" a="1"/>
  <c r="BL14" i="8" s="1"/>
  <c r="BM14" i="8" s="1" a="1"/>
  <c r="BM14" i="8" s="1"/>
  <c r="L67" i="8"/>
  <c r="M6" i="8" a="1"/>
  <c r="M6" i="8" s="1"/>
  <c r="E15" i="7"/>
  <c r="O14" i="7" a="1"/>
  <c r="O14" i="7" s="1"/>
  <c r="P14" i="7" s="1" a="1"/>
  <c r="P14" i="7" s="1"/>
  <c r="Q14" i="7" s="1" a="1"/>
  <c r="Q14" i="7" s="1"/>
  <c r="R14" i="7" s="1" a="1"/>
  <c r="R14" i="7" s="1"/>
  <c r="S14" i="7" s="1" a="1"/>
  <c r="S14" i="7" s="1"/>
  <c r="T14" i="7" s="1" a="1"/>
  <c r="T14" i="7" s="1"/>
  <c r="U14" i="7" s="1" a="1"/>
  <c r="U14" i="7" s="1"/>
  <c r="V14" i="7" s="1" a="1"/>
  <c r="V14" i="7" s="1"/>
  <c r="W14" i="7" s="1" a="1"/>
  <c r="W14" i="7" s="1"/>
  <c r="X14" i="7" s="1" a="1"/>
  <c r="X14" i="7" s="1"/>
  <c r="Y14" i="7" s="1" a="1"/>
  <c r="Y14" i="7" s="1"/>
  <c r="Z14" i="7" s="1" a="1"/>
  <c r="Z14" i="7" s="1"/>
  <c r="AA14" i="7" s="1" a="1"/>
  <c r="AA14" i="7" s="1"/>
  <c r="AB14" i="7" s="1" a="1"/>
  <c r="AB14" i="7" s="1"/>
  <c r="AC14" i="7" s="1" a="1"/>
  <c r="AC14" i="7" s="1"/>
  <c r="AD14" i="7" s="1" a="1"/>
  <c r="AD14" i="7" s="1"/>
  <c r="AE14" i="7" s="1" a="1"/>
  <c r="AE14" i="7" s="1"/>
  <c r="AF14" i="7" s="1" a="1"/>
  <c r="AF14" i="7" s="1"/>
  <c r="AG14" i="7" s="1" a="1"/>
  <c r="AG14" i="7" s="1"/>
  <c r="AH14" i="7" s="1" a="1"/>
  <c r="AH14" i="7" s="1"/>
  <c r="AI14" i="7" s="1" a="1"/>
  <c r="AI14" i="7" s="1"/>
  <c r="AJ14" i="7" s="1" a="1"/>
  <c r="AJ14" i="7" s="1"/>
  <c r="AK14" i="7" s="1" a="1"/>
  <c r="AK14" i="7" s="1"/>
  <c r="AL14" i="7" s="1" a="1"/>
  <c r="AL14" i="7" s="1"/>
  <c r="AM14" i="7" s="1" a="1"/>
  <c r="AM14" i="7" s="1"/>
  <c r="AN14" i="7" s="1" a="1"/>
  <c r="AN14" i="7" s="1"/>
  <c r="AO14" i="7" s="1" a="1"/>
  <c r="AO14" i="7" s="1"/>
  <c r="AP14" i="7" s="1" a="1"/>
  <c r="AP14" i="7" s="1"/>
  <c r="AQ14" i="7" s="1" a="1"/>
  <c r="AQ14" i="7" s="1"/>
  <c r="AR14" i="7" s="1" a="1"/>
  <c r="AR14" i="7" s="1"/>
  <c r="AS14" i="7" s="1" a="1"/>
  <c r="AS14" i="7" s="1"/>
  <c r="AT14" i="7" s="1" a="1"/>
  <c r="AT14" i="7" s="1"/>
  <c r="AU14" i="7" s="1" a="1"/>
  <c r="AU14" i="7" s="1"/>
  <c r="AV14" i="7" s="1" a="1"/>
  <c r="AV14" i="7" s="1"/>
  <c r="AW14" i="7" s="1" a="1"/>
  <c r="AW14" i="7" s="1"/>
  <c r="AX14" i="7" s="1" a="1"/>
  <c r="AX14" i="7" s="1"/>
  <c r="AY14" i="7" s="1" a="1"/>
  <c r="AY14" i="7" s="1"/>
  <c r="AZ14" i="7" s="1" a="1"/>
  <c r="AZ14" i="7" s="1"/>
  <c r="BA14" i="7" s="1" a="1"/>
  <c r="BA14" i="7" s="1"/>
  <c r="BB14" i="7" s="1" a="1"/>
  <c r="BB14" i="7" s="1"/>
  <c r="BC14" i="7" s="1" a="1"/>
  <c r="BC14" i="7" s="1"/>
  <c r="BD14" i="7" s="1" a="1"/>
  <c r="BD14" i="7" s="1"/>
  <c r="BE14" i="7" s="1" a="1"/>
  <c r="BE14" i="7" s="1"/>
  <c r="BF14" i="7" s="1" a="1"/>
  <c r="BF14" i="7" s="1"/>
  <c r="BG14" i="7" s="1" a="1"/>
  <c r="BG14" i="7" s="1"/>
  <c r="BH14" i="7" s="1" a="1"/>
  <c r="BH14" i="7" s="1"/>
  <c r="BI14" i="7" s="1" a="1"/>
  <c r="BI14" i="7" s="1"/>
  <c r="BJ14" i="7" s="1" a="1"/>
  <c r="BJ14" i="7" s="1"/>
  <c r="BK14" i="7" s="1" a="1"/>
  <c r="BK14" i="7" s="1"/>
  <c r="BL14" i="7" s="1" a="1"/>
  <c r="BL14" i="7" s="1"/>
  <c r="BM14" i="7" s="1" a="1"/>
  <c r="BM14" i="7" s="1"/>
  <c r="M6" i="7" a="1"/>
  <c r="M6" i="7" s="1"/>
  <c r="L7" i="7" l="1" a="1"/>
  <c r="L7" i="7" s="1"/>
  <c r="K67" i="7"/>
  <c r="N6" i="7" a="1"/>
  <c r="N6" i="7" s="1"/>
  <c r="O6" i="7" s="1" a="1"/>
  <c r="O6" i="7" s="1"/>
  <c r="E16" i="7"/>
  <c r="P15" i="7" a="1"/>
  <c r="P15" i="7" s="1"/>
  <c r="Q15" i="7" s="1" a="1"/>
  <c r="Q15" i="7" s="1"/>
  <c r="R15" i="7" s="1" a="1"/>
  <c r="R15" i="7" s="1"/>
  <c r="S15" i="7" s="1" a="1"/>
  <c r="S15" i="7" s="1"/>
  <c r="T15" i="7" s="1" a="1"/>
  <c r="T15" i="7" s="1"/>
  <c r="U15" i="7" s="1" a="1"/>
  <c r="U15" i="7" s="1"/>
  <c r="V15" i="7" s="1" a="1"/>
  <c r="V15" i="7" s="1"/>
  <c r="W15" i="7" s="1" a="1"/>
  <c r="W15" i="7" s="1"/>
  <c r="X15" i="7" s="1" a="1"/>
  <c r="X15" i="7" s="1"/>
  <c r="Y15" i="7" s="1" a="1"/>
  <c r="Y15" i="7" s="1"/>
  <c r="Z15" i="7" s="1" a="1"/>
  <c r="Z15" i="7" s="1"/>
  <c r="AA15" i="7" s="1" a="1"/>
  <c r="AA15" i="7" s="1"/>
  <c r="AB15" i="7" s="1" a="1"/>
  <c r="AB15" i="7" s="1"/>
  <c r="AC15" i="7" s="1" a="1"/>
  <c r="AC15" i="7" s="1"/>
  <c r="AD15" i="7" s="1" a="1"/>
  <c r="AD15" i="7" s="1"/>
  <c r="AE15" i="7" s="1" a="1"/>
  <c r="AE15" i="7" s="1"/>
  <c r="AF15" i="7" s="1" a="1"/>
  <c r="AF15" i="7" s="1"/>
  <c r="AG15" i="7" s="1" a="1"/>
  <c r="AG15" i="7" s="1"/>
  <c r="AH15" i="7" s="1" a="1"/>
  <c r="AH15" i="7" s="1"/>
  <c r="AI15" i="7" s="1" a="1"/>
  <c r="AI15" i="7" s="1"/>
  <c r="AJ15" i="7" s="1" a="1"/>
  <c r="AJ15" i="7" s="1"/>
  <c r="AK15" i="7" s="1" a="1"/>
  <c r="AK15" i="7" s="1"/>
  <c r="AL15" i="7" s="1" a="1"/>
  <c r="AL15" i="7" s="1"/>
  <c r="AM15" i="7" s="1" a="1"/>
  <c r="AM15" i="7" s="1"/>
  <c r="AN15" i="7" s="1" a="1"/>
  <c r="AN15" i="7" s="1"/>
  <c r="AO15" i="7" s="1" a="1"/>
  <c r="AO15" i="7" s="1"/>
  <c r="AP15" i="7" s="1" a="1"/>
  <c r="AP15" i="7" s="1"/>
  <c r="AQ15" i="7" s="1" a="1"/>
  <c r="AQ15" i="7" s="1"/>
  <c r="AR15" i="7" s="1" a="1"/>
  <c r="AR15" i="7" s="1"/>
  <c r="AS15" i="7" s="1" a="1"/>
  <c r="AS15" i="7" s="1"/>
  <c r="AT15" i="7" s="1" a="1"/>
  <c r="AT15" i="7" s="1"/>
  <c r="AU15" i="7" s="1" a="1"/>
  <c r="AU15" i="7" s="1"/>
  <c r="AV15" i="7" s="1" a="1"/>
  <c r="AV15" i="7" s="1"/>
  <c r="AW15" i="7" s="1" a="1"/>
  <c r="AW15" i="7" s="1"/>
  <c r="AX15" i="7" s="1" a="1"/>
  <c r="AX15" i="7" s="1"/>
  <c r="AY15" i="7" s="1" a="1"/>
  <c r="AY15" i="7" s="1"/>
  <c r="AZ15" i="7" s="1" a="1"/>
  <c r="AZ15" i="7" s="1"/>
  <c r="BA15" i="7" s="1" a="1"/>
  <c r="BA15" i="7" s="1"/>
  <c r="BB15" i="7" s="1" a="1"/>
  <c r="BB15" i="7" s="1"/>
  <c r="BC15" i="7" s="1" a="1"/>
  <c r="BC15" i="7" s="1"/>
  <c r="BD15" i="7" s="1" a="1"/>
  <c r="BD15" i="7" s="1"/>
  <c r="BE15" i="7" s="1" a="1"/>
  <c r="BE15" i="7" s="1"/>
  <c r="BF15" i="7" s="1" a="1"/>
  <c r="BF15" i="7" s="1"/>
  <c r="BG15" i="7" s="1" a="1"/>
  <c r="BG15" i="7" s="1"/>
  <c r="BH15" i="7" s="1" a="1"/>
  <c r="BH15" i="7" s="1"/>
  <c r="BI15" i="7" s="1" a="1"/>
  <c r="BI15" i="7" s="1"/>
  <c r="BJ15" i="7" s="1" a="1"/>
  <c r="BJ15" i="7" s="1"/>
  <c r="BK15" i="7" s="1" a="1"/>
  <c r="BK15" i="7" s="1"/>
  <c r="BL15" i="7" s="1" a="1"/>
  <c r="BL15" i="7" s="1"/>
  <c r="BM15" i="7" s="1" a="1"/>
  <c r="BM15" i="7" s="1"/>
  <c r="M67" i="8"/>
  <c r="N6" i="8" a="1"/>
  <c r="N6" i="8" s="1"/>
  <c r="E16" i="8"/>
  <c r="P15" i="8" a="1"/>
  <c r="P15" i="8" s="1"/>
  <c r="Q15" i="8" s="1" a="1"/>
  <c r="Q15" i="8" s="1"/>
  <c r="R15" i="8" s="1" a="1"/>
  <c r="R15" i="8" s="1"/>
  <c r="S15" i="8" s="1" a="1"/>
  <c r="S15" i="8" s="1"/>
  <c r="T15" i="8" s="1" a="1"/>
  <c r="T15" i="8" s="1"/>
  <c r="U15" i="8" s="1" a="1"/>
  <c r="U15" i="8" s="1"/>
  <c r="V15" i="8" s="1" a="1"/>
  <c r="V15" i="8" s="1"/>
  <c r="W15" i="8" s="1" a="1"/>
  <c r="W15" i="8" s="1"/>
  <c r="X15" i="8" s="1" a="1"/>
  <c r="X15" i="8" s="1"/>
  <c r="Y15" i="8" s="1" a="1"/>
  <c r="Y15" i="8" s="1"/>
  <c r="Z15" i="8" s="1" a="1"/>
  <c r="Z15" i="8" s="1"/>
  <c r="AA15" i="8" s="1" a="1"/>
  <c r="AA15" i="8" s="1"/>
  <c r="AB15" i="8" s="1" a="1"/>
  <c r="AB15" i="8" s="1"/>
  <c r="AC15" i="8" s="1" a="1"/>
  <c r="AC15" i="8" s="1"/>
  <c r="AD15" i="8" s="1" a="1"/>
  <c r="AD15" i="8" s="1"/>
  <c r="AE15" i="8" s="1" a="1"/>
  <c r="AE15" i="8" s="1"/>
  <c r="AF15" i="8" s="1" a="1"/>
  <c r="AF15" i="8" s="1"/>
  <c r="AG15" i="8" s="1" a="1"/>
  <c r="AG15" i="8" s="1"/>
  <c r="AH15" i="8" s="1" a="1"/>
  <c r="AH15" i="8" s="1"/>
  <c r="AI15" i="8" s="1" a="1"/>
  <c r="AI15" i="8" s="1"/>
  <c r="AJ15" i="8" s="1" a="1"/>
  <c r="AJ15" i="8" s="1"/>
  <c r="AK15" i="8" s="1" a="1"/>
  <c r="AK15" i="8" s="1"/>
  <c r="AL15" i="8" s="1" a="1"/>
  <c r="AL15" i="8" s="1"/>
  <c r="AM15" i="8" s="1" a="1"/>
  <c r="AM15" i="8" s="1"/>
  <c r="AN15" i="8" s="1" a="1"/>
  <c r="AN15" i="8" s="1"/>
  <c r="AO15" i="8" s="1" a="1"/>
  <c r="AO15" i="8" s="1"/>
  <c r="AP15" i="8" s="1" a="1"/>
  <c r="AP15" i="8" s="1"/>
  <c r="AQ15" i="8" s="1" a="1"/>
  <c r="AQ15" i="8" s="1"/>
  <c r="AR15" i="8" s="1" a="1"/>
  <c r="AR15" i="8" s="1"/>
  <c r="AS15" i="8" s="1" a="1"/>
  <c r="AS15" i="8" s="1"/>
  <c r="AT15" i="8" s="1" a="1"/>
  <c r="AT15" i="8" s="1"/>
  <c r="AU15" i="8" s="1" a="1"/>
  <c r="AU15" i="8" s="1"/>
  <c r="AV15" i="8" s="1" a="1"/>
  <c r="AV15" i="8" s="1"/>
  <c r="AW15" i="8" s="1" a="1"/>
  <c r="AW15" i="8" s="1"/>
  <c r="AX15" i="8" s="1" a="1"/>
  <c r="AX15" i="8" s="1"/>
  <c r="AY15" i="8" s="1" a="1"/>
  <c r="AY15" i="8" s="1"/>
  <c r="AZ15" i="8" s="1" a="1"/>
  <c r="AZ15" i="8" s="1"/>
  <c r="BA15" i="8" s="1" a="1"/>
  <c r="BA15" i="8" s="1"/>
  <c r="BB15" i="8" s="1" a="1"/>
  <c r="BB15" i="8" s="1"/>
  <c r="BC15" i="8" s="1" a="1"/>
  <c r="BC15" i="8" s="1"/>
  <c r="BD15" i="8" s="1" a="1"/>
  <c r="BD15" i="8" s="1"/>
  <c r="BE15" i="8" s="1" a="1"/>
  <c r="BE15" i="8" s="1"/>
  <c r="BF15" i="8" s="1" a="1"/>
  <c r="BF15" i="8" s="1"/>
  <c r="BG15" i="8" s="1" a="1"/>
  <c r="BG15" i="8" s="1"/>
  <c r="BH15" i="8" s="1" a="1"/>
  <c r="BH15" i="8" s="1"/>
  <c r="BI15" i="8" s="1" a="1"/>
  <c r="BI15" i="8" s="1"/>
  <c r="BJ15" i="8" s="1" a="1"/>
  <c r="BJ15" i="8" s="1"/>
  <c r="BK15" i="8" s="1" a="1"/>
  <c r="BK15" i="8" s="1"/>
  <c r="BL15" i="8" s="1" a="1"/>
  <c r="BL15" i="8" s="1"/>
  <c r="BM15" i="8" s="1" a="1"/>
  <c r="BM15" i="8" s="1"/>
  <c r="M67" i="9"/>
  <c r="N6" i="9" a="1"/>
  <c r="N6" i="9" s="1"/>
  <c r="E16" i="9"/>
  <c r="P15" i="9" a="1"/>
  <c r="P15" i="9" s="1"/>
  <c r="Q15" i="9" s="1" a="1"/>
  <c r="Q15" i="9" s="1"/>
  <c r="R15" i="9" s="1" a="1"/>
  <c r="R15" i="9" s="1"/>
  <c r="S15" i="9" s="1" a="1"/>
  <c r="S15" i="9" s="1"/>
  <c r="T15" i="9" s="1" a="1"/>
  <c r="T15" i="9" s="1"/>
  <c r="U15" i="9" s="1" a="1"/>
  <c r="U15" i="9" s="1"/>
  <c r="V15" i="9" s="1" a="1"/>
  <c r="V15" i="9" s="1"/>
  <c r="W15" i="9" s="1" a="1"/>
  <c r="W15" i="9" s="1"/>
  <c r="X15" i="9" s="1" a="1"/>
  <c r="X15" i="9" s="1"/>
  <c r="Y15" i="9" s="1" a="1"/>
  <c r="Y15" i="9" s="1"/>
  <c r="Z15" i="9" s="1" a="1"/>
  <c r="Z15" i="9" s="1"/>
  <c r="AA15" i="9" s="1" a="1"/>
  <c r="AA15" i="9" s="1"/>
  <c r="AB15" i="9" s="1" a="1"/>
  <c r="AB15" i="9" s="1"/>
  <c r="AC15" i="9" s="1" a="1"/>
  <c r="AC15" i="9" s="1"/>
  <c r="AD15" i="9" s="1" a="1"/>
  <c r="AD15" i="9" s="1"/>
  <c r="AE15" i="9" s="1" a="1"/>
  <c r="AE15" i="9" s="1"/>
  <c r="AF15" i="9" s="1" a="1"/>
  <c r="AF15" i="9" s="1"/>
  <c r="AG15" i="9" s="1" a="1"/>
  <c r="AG15" i="9" s="1"/>
  <c r="AH15" i="9" s="1" a="1"/>
  <c r="AH15" i="9" s="1"/>
  <c r="AI15" i="9" s="1" a="1"/>
  <c r="AI15" i="9" s="1"/>
  <c r="AJ15" i="9" s="1" a="1"/>
  <c r="AJ15" i="9" s="1"/>
  <c r="AK15" i="9" s="1" a="1"/>
  <c r="AK15" i="9" s="1"/>
  <c r="AL15" i="9" s="1" a="1"/>
  <c r="AL15" i="9" s="1"/>
  <c r="AM15" i="9" s="1" a="1"/>
  <c r="AM15" i="9" s="1"/>
  <c r="AN15" i="9" s="1" a="1"/>
  <c r="AN15" i="9" s="1"/>
  <c r="AO15" i="9" s="1" a="1"/>
  <c r="AO15" i="9" s="1"/>
  <c r="AP15" i="9" s="1" a="1"/>
  <c r="AP15" i="9" s="1"/>
  <c r="AQ15" i="9" s="1" a="1"/>
  <c r="AQ15" i="9" s="1"/>
  <c r="AR15" i="9" s="1" a="1"/>
  <c r="AR15" i="9" s="1"/>
  <c r="AS15" i="9" s="1" a="1"/>
  <c r="AS15" i="9" s="1"/>
  <c r="AT15" i="9" s="1" a="1"/>
  <c r="AT15" i="9" s="1"/>
  <c r="AU15" i="9" s="1" a="1"/>
  <c r="AU15" i="9" s="1"/>
  <c r="AV15" i="9" s="1" a="1"/>
  <c r="AV15" i="9" s="1"/>
  <c r="AW15" i="9" s="1" a="1"/>
  <c r="AW15" i="9" s="1"/>
  <c r="AX15" i="9" s="1" a="1"/>
  <c r="AX15" i="9" s="1"/>
  <c r="AY15" i="9" s="1" a="1"/>
  <c r="AY15" i="9" s="1"/>
  <c r="AZ15" i="9" s="1" a="1"/>
  <c r="AZ15" i="9" s="1"/>
  <c r="BA15" i="9" s="1" a="1"/>
  <c r="BA15" i="9" s="1"/>
  <c r="BB15" i="9" s="1" a="1"/>
  <c r="BB15" i="9" s="1"/>
  <c r="BC15" i="9" s="1" a="1"/>
  <c r="BC15" i="9" s="1"/>
  <c r="BD15" i="9" s="1" a="1"/>
  <c r="BD15" i="9" s="1"/>
  <c r="BE15" i="9" s="1" a="1"/>
  <c r="BE15" i="9" s="1"/>
  <c r="BF15" i="9" s="1" a="1"/>
  <c r="BF15" i="9" s="1"/>
  <c r="BG15" i="9" s="1" a="1"/>
  <c r="BG15" i="9" s="1"/>
  <c r="BH15" i="9" s="1" a="1"/>
  <c r="BH15" i="9" s="1"/>
  <c r="BI15" i="9" s="1" a="1"/>
  <c r="BI15" i="9" s="1"/>
  <c r="BJ15" i="9" s="1" a="1"/>
  <c r="BJ15" i="9" s="1"/>
  <c r="BK15" i="9" s="1" a="1"/>
  <c r="BK15" i="9" s="1"/>
  <c r="BL15" i="9" s="1" a="1"/>
  <c r="BL15" i="9" s="1"/>
  <c r="BM15" i="9" s="1" a="1"/>
  <c r="BM15" i="9" s="1"/>
  <c r="M7" i="7" l="1" a="1"/>
  <c r="M7" i="7" s="1"/>
  <c r="L67" i="7"/>
  <c r="E17" i="9"/>
  <c r="Q16" i="9" a="1"/>
  <c r="Q16" i="9" s="1"/>
  <c r="R16" i="9" s="1" a="1"/>
  <c r="R16" i="9" s="1"/>
  <c r="S16" i="9" s="1" a="1"/>
  <c r="S16" i="9" s="1"/>
  <c r="T16" i="9" s="1" a="1"/>
  <c r="T16" i="9" s="1"/>
  <c r="U16" i="9" s="1" a="1"/>
  <c r="U16" i="9" s="1"/>
  <c r="V16" i="9" s="1" a="1"/>
  <c r="V16" i="9" s="1"/>
  <c r="W16" i="9" s="1" a="1"/>
  <c r="W16" i="9" s="1"/>
  <c r="X16" i="9" s="1" a="1"/>
  <c r="X16" i="9" s="1"/>
  <c r="Y16" i="9" s="1" a="1"/>
  <c r="Y16" i="9" s="1"/>
  <c r="Z16" i="9" s="1" a="1"/>
  <c r="Z16" i="9" s="1"/>
  <c r="AA16" i="9" s="1" a="1"/>
  <c r="AA16" i="9" s="1"/>
  <c r="AB16" i="9" s="1" a="1"/>
  <c r="AB16" i="9" s="1"/>
  <c r="AC16" i="9" s="1" a="1"/>
  <c r="AC16" i="9" s="1"/>
  <c r="AD16" i="9" s="1" a="1"/>
  <c r="AD16" i="9" s="1"/>
  <c r="AE16" i="9" s="1" a="1"/>
  <c r="AE16" i="9" s="1"/>
  <c r="AF16" i="9" s="1" a="1"/>
  <c r="AF16" i="9" s="1"/>
  <c r="AG16" i="9" s="1" a="1"/>
  <c r="AG16" i="9" s="1"/>
  <c r="AH16" i="9" s="1" a="1"/>
  <c r="AH16" i="9" s="1"/>
  <c r="AI16" i="9" s="1" a="1"/>
  <c r="AI16" i="9" s="1"/>
  <c r="AJ16" i="9" s="1" a="1"/>
  <c r="AJ16" i="9" s="1"/>
  <c r="AK16" i="9" s="1" a="1"/>
  <c r="AK16" i="9" s="1"/>
  <c r="AL16" i="9" s="1" a="1"/>
  <c r="AL16" i="9" s="1"/>
  <c r="AM16" i="9" s="1" a="1"/>
  <c r="AM16" i="9" s="1"/>
  <c r="AN16" i="9" s="1" a="1"/>
  <c r="AN16" i="9" s="1"/>
  <c r="AO16" i="9" s="1" a="1"/>
  <c r="AO16" i="9" s="1"/>
  <c r="AP16" i="9" s="1" a="1"/>
  <c r="AP16" i="9" s="1"/>
  <c r="AQ16" i="9" s="1" a="1"/>
  <c r="AQ16" i="9" s="1"/>
  <c r="AR16" i="9" s="1" a="1"/>
  <c r="AR16" i="9" s="1"/>
  <c r="AS16" i="9" s="1" a="1"/>
  <c r="AS16" i="9" s="1"/>
  <c r="AT16" i="9" s="1" a="1"/>
  <c r="AT16" i="9" s="1"/>
  <c r="AU16" i="9" s="1" a="1"/>
  <c r="AU16" i="9" s="1"/>
  <c r="AV16" i="9" s="1" a="1"/>
  <c r="AV16" i="9" s="1"/>
  <c r="AW16" i="9" s="1" a="1"/>
  <c r="AW16" i="9" s="1"/>
  <c r="AX16" i="9" s="1" a="1"/>
  <c r="AX16" i="9" s="1"/>
  <c r="AY16" i="9" s="1" a="1"/>
  <c r="AY16" i="9" s="1"/>
  <c r="AZ16" i="9" s="1" a="1"/>
  <c r="AZ16" i="9" s="1"/>
  <c r="BA16" i="9" s="1" a="1"/>
  <c r="BA16" i="9" s="1"/>
  <c r="BB16" i="9" s="1" a="1"/>
  <c r="BB16" i="9" s="1"/>
  <c r="BC16" i="9" s="1" a="1"/>
  <c r="BC16" i="9" s="1"/>
  <c r="BD16" i="9" s="1" a="1"/>
  <c r="BD16" i="9" s="1"/>
  <c r="BE16" i="9" s="1" a="1"/>
  <c r="BE16" i="9" s="1"/>
  <c r="BF16" i="9" s="1" a="1"/>
  <c r="BF16" i="9" s="1"/>
  <c r="BG16" i="9" s="1" a="1"/>
  <c r="BG16" i="9" s="1"/>
  <c r="BH16" i="9" s="1" a="1"/>
  <c r="BH16" i="9" s="1"/>
  <c r="BI16" i="9" s="1" a="1"/>
  <c r="BI16" i="9" s="1"/>
  <c r="BJ16" i="9" s="1" a="1"/>
  <c r="BJ16" i="9" s="1"/>
  <c r="BK16" i="9" s="1" a="1"/>
  <c r="BK16" i="9" s="1"/>
  <c r="BL16" i="9" s="1" a="1"/>
  <c r="BL16" i="9" s="1"/>
  <c r="BM16" i="9" s="1" a="1"/>
  <c r="BM16" i="9" s="1"/>
  <c r="N67" i="9"/>
  <c r="O6" i="9" a="1"/>
  <c r="O6" i="9" s="1"/>
  <c r="E17" i="8"/>
  <c r="Q16" i="8" a="1"/>
  <c r="Q16" i="8" s="1"/>
  <c r="R16" i="8" s="1" a="1"/>
  <c r="R16" i="8" s="1"/>
  <c r="S16" i="8" s="1" a="1"/>
  <c r="S16" i="8" s="1"/>
  <c r="T16" i="8" s="1" a="1"/>
  <c r="T16" i="8" s="1"/>
  <c r="U16" i="8" s="1" a="1"/>
  <c r="U16" i="8" s="1"/>
  <c r="V16" i="8" s="1" a="1"/>
  <c r="V16" i="8" s="1"/>
  <c r="W16" i="8" s="1" a="1"/>
  <c r="W16" i="8" s="1"/>
  <c r="X16" i="8" s="1" a="1"/>
  <c r="X16" i="8" s="1"/>
  <c r="Y16" i="8" s="1" a="1"/>
  <c r="Y16" i="8" s="1"/>
  <c r="Z16" i="8" s="1" a="1"/>
  <c r="Z16" i="8" s="1"/>
  <c r="AA16" i="8" s="1" a="1"/>
  <c r="AA16" i="8" s="1"/>
  <c r="AB16" i="8" s="1" a="1"/>
  <c r="AB16" i="8" s="1"/>
  <c r="AC16" i="8" s="1" a="1"/>
  <c r="AC16" i="8" s="1"/>
  <c r="AD16" i="8" s="1" a="1"/>
  <c r="AD16" i="8" s="1"/>
  <c r="AE16" i="8" s="1" a="1"/>
  <c r="AE16" i="8" s="1"/>
  <c r="AF16" i="8" s="1" a="1"/>
  <c r="AF16" i="8" s="1"/>
  <c r="AG16" i="8" s="1" a="1"/>
  <c r="AG16" i="8" s="1"/>
  <c r="AH16" i="8" s="1" a="1"/>
  <c r="AH16" i="8" s="1"/>
  <c r="AI16" i="8" s="1" a="1"/>
  <c r="AI16" i="8" s="1"/>
  <c r="AJ16" i="8" s="1" a="1"/>
  <c r="AJ16" i="8" s="1"/>
  <c r="AK16" i="8" s="1" a="1"/>
  <c r="AK16" i="8" s="1"/>
  <c r="AL16" i="8" s="1" a="1"/>
  <c r="AL16" i="8" s="1"/>
  <c r="AM16" i="8" s="1" a="1"/>
  <c r="AM16" i="8" s="1"/>
  <c r="AN16" i="8" s="1" a="1"/>
  <c r="AN16" i="8" s="1"/>
  <c r="AO16" i="8" s="1" a="1"/>
  <c r="AO16" i="8" s="1"/>
  <c r="AP16" i="8" s="1" a="1"/>
  <c r="AP16" i="8" s="1"/>
  <c r="AQ16" i="8" s="1" a="1"/>
  <c r="AQ16" i="8" s="1"/>
  <c r="AR16" i="8" s="1" a="1"/>
  <c r="AR16" i="8" s="1"/>
  <c r="AS16" i="8" s="1" a="1"/>
  <c r="AS16" i="8" s="1"/>
  <c r="AT16" i="8" s="1" a="1"/>
  <c r="AT16" i="8" s="1"/>
  <c r="AU16" i="8" s="1" a="1"/>
  <c r="AU16" i="8" s="1"/>
  <c r="AV16" i="8" s="1" a="1"/>
  <c r="AV16" i="8" s="1"/>
  <c r="AW16" i="8" s="1" a="1"/>
  <c r="AW16" i="8" s="1"/>
  <c r="AX16" i="8" s="1" a="1"/>
  <c r="AX16" i="8" s="1"/>
  <c r="AY16" i="8" s="1" a="1"/>
  <c r="AY16" i="8" s="1"/>
  <c r="AZ16" i="8" s="1" a="1"/>
  <c r="AZ16" i="8" s="1"/>
  <c r="BA16" i="8" s="1" a="1"/>
  <c r="BA16" i="8" s="1"/>
  <c r="BB16" i="8" s="1" a="1"/>
  <c r="BB16" i="8" s="1"/>
  <c r="BC16" i="8" s="1" a="1"/>
  <c r="BC16" i="8" s="1"/>
  <c r="BD16" i="8" s="1" a="1"/>
  <c r="BD16" i="8" s="1"/>
  <c r="BE16" i="8" s="1" a="1"/>
  <c r="BE16" i="8" s="1"/>
  <c r="BF16" i="8" s="1" a="1"/>
  <c r="BF16" i="8" s="1"/>
  <c r="BG16" i="8" s="1" a="1"/>
  <c r="BG16" i="8" s="1"/>
  <c r="BH16" i="8" s="1" a="1"/>
  <c r="BH16" i="8" s="1"/>
  <c r="BI16" i="8" s="1" a="1"/>
  <c r="BI16" i="8" s="1"/>
  <c r="BJ16" i="8" s="1" a="1"/>
  <c r="BJ16" i="8" s="1"/>
  <c r="BK16" i="8" s="1" a="1"/>
  <c r="BK16" i="8" s="1"/>
  <c r="BL16" i="8" s="1" a="1"/>
  <c r="BL16" i="8" s="1"/>
  <c r="BM16" i="8" s="1" a="1"/>
  <c r="BM16" i="8" s="1"/>
  <c r="N67" i="8"/>
  <c r="O6" i="8" a="1"/>
  <c r="O6" i="8" s="1"/>
  <c r="E17" i="7"/>
  <c r="Q16" i="7" a="1"/>
  <c r="Q16" i="7" s="1"/>
  <c r="R16" i="7" s="1" a="1"/>
  <c r="R16" i="7" s="1"/>
  <c r="S16" i="7" s="1" a="1"/>
  <c r="S16" i="7" s="1"/>
  <c r="T16" i="7" s="1" a="1"/>
  <c r="T16" i="7" s="1"/>
  <c r="U16" i="7" s="1" a="1"/>
  <c r="U16" i="7" s="1"/>
  <c r="V16" i="7" s="1" a="1"/>
  <c r="V16" i="7" s="1"/>
  <c r="W16" i="7" s="1" a="1"/>
  <c r="W16" i="7" s="1"/>
  <c r="X16" i="7" s="1" a="1"/>
  <c r="X16" i="7" s="1"/>
  <c r="Y16" i="7" s="1" a="1"/>
  <c r="Y16" i="7" s="1"/>
  <c r="Z16" i="7" s="1" a="1"/>
  <c r="Z16" i="7" s="1"/>
  <c r="AA16" i="7" s="1" a="1"/>
  <c r="AA16" i="7" s="1"/>
  <c r="AB16" i="7" s="1" a="1"/>
  <c r="AB16" i="7" s="1"/>
  <c r="AC16" i="7" s="1" a="1"/>
  <c r="AC16" i="7" s="1"/>
  <c r="AD16" i="7" s="1" a="1"/>
  <c r="AD16" i="7" s="1"/>
  <c r="AE16" i="7" s="1" a="1"/>
  <c r="AE16" i="7" s="1"/>
  <c r="AF16" i="7" s="1" a="1"/>
  <c r="AF16" i="7" s="1"/>
  <c r="AG16" i="7" s="1" a="1"/>
  <c r="AG16" i="7" s="1"/>
  <c r="AH16" i="7" s="1" a="1"/>
  <c r="AH16" i="7" s="1"/>
  <c r="AI16" i="7" s="1" a="1"/>
  <c r="AI16" i="7" s="1"/>
  <c r="AJ16" i="7" s="1" a="1"/>
  <c r="AJ16" i="7" s="1"/>
  <c r="AK16" i="7" s="1" a="1"/>
  <c r="AK16" i="7" s="1"/>
  <c r="AL16" i="7" s="1" a="1"/>
  <c r="AL16" i="7" s="1"/>
  <c r="AM16" i="7" s="1" a="1"/>
  <c r="AM16" i="7" s="1"/>
  <c r="AN16" i="7" s="1" a="1"/>
  <c r="AN16" i="7" s="1"/>
  <c r="AO16" i="7" s="1" a="1"/>
  <c r="AO16" i="7" s="1"/>
  <c r="AP16" i="7" s="1" a="1"/>
  <c r="AP16" i="7" s="1"/>
  <c r="AQ16" i="7" s="1" a="1"/>
  <c r="AQ16" i="7" s="1"/>
  <c r="AR16" i="7" s="1" a="1"/>
  <c r="AR16" i="7" s="1"/>
  <c r="AS16" i="7" s="1" a="1"/>
  <c r="AS16" i="7" s="1"/>
  <c r="AT16" i="7" s="1" a="1"/>
  <c r="AT16" i="7" s="1"/>
  <c r="AU16" i="7" s="1" a="1"/>
  <c r="AU16" i="7" s="1"/>
  <c r="AV16" i="7" s="1" a="1"/>
  <c r="AV16" i="7" s="1"/>
  <c r="AW16" i="7" s="1" a="1"/>
  <c r="AW16" i="7" s="1"/>
  <c r="AX16" i="7" s="1" a="1"/>
  <c r="AX16" i="7" s="1"/>
  <c r="AY16" i="7" s="1" a="1"/>
  <c r="AY16" i="7" s="1"/>
  <c r="AZ16" i="7" s="1" a="1"/>
  <c r="AZ16" i="7" s="1"/>
  <c r="BA16" i="7" s="1" a="1"/>
  <c r="BA16" i="7" s="1"/>
  <c r="BB16" i="7" s="1" a="1"/>
  <c r="BB16" i="7" s="1"/>
  <c r="BC16" i="7" s="1" a="1"/>
  <c r="BC16" i="7" s="1"/>
  <c r="BD16" i="7" s="1" a="1"/>
  <c r="BD16" i="7" s="1"/>
  <c r="BE16" i="7" s="1" a="1"/>
  <c r="BE16" i="7" s="1"/>
  <c r="BF16" i="7" s="1" a="1"/>
  <c r="BF16" i="7" s="1"/>
  <c r="BG16" i="7" s="1" a="1"/>
  <c r="BG16" i="7" s="1"/>
  <c r="BH16" i="7" s="1" a="1"/>
  <c r="BH16" i="7" s="1"/>
  <c r="BI16" i="7" s="1" a="1"/>
  <c r="BI16" i="7" s="1"/>
  <c r="BJ16" i="7" s="1" a="1"/>
  <c r="BJ16" i="7" s="1"/>
  <c r="BK16" i="7" s="1" a="1"/>
  <c r="BK16" i="7" s="1"/>
  <c r="BL16" i="7" s="1" a="1"/>
  <c r="BL16" i="7" s="1"/>
  <c r="BM16" i="7" s="1" a="1"/>
  <c r="BM16" i="7" s="1"/>
  <c r="N7" i="7" l="1" a="1"/>
  <c r="N7" i="7" s="1"/>
  <c r="M67" i="7"/>
  <c r="P6" i="7" a="1"/>
  <c r="P6" i="7" s="1"/>
  <c r="Q6" i="7" s="1" a="1"/>
  <c r="Q6" i="7" s="1"/>
  <c r="R6" i="7" s="1" a="1"/>
  <c r="R6" i="7" s="1"/>
  <c r="E18" i="7"/>
  <c r="R17" i="7" a="1"/>
  <c r="R17" i="7" s="1"/>
  <c r="S17" i="7" s="1" a="1"/>
  <c r="S17" i="7" s="1"/>
  <c r="T17" i="7" s="1" a="1"/>
  <c r="T17" i="7" s="1"/>
  <c r="U17" i="7" s="1" a="1"/>
  <c r="U17" i="7" s="1"/>
  <c r="V17" i="7" s="1" a="1"/>
  <c r="V17" i="7" s="1"/>
  <c r="W17" i="7" s="1" a="1"/>
  <c r="W17" i="7" s="1"/>
  <c r="X17" i="7" s="1" a="1"/>
  <c r="X17" i="7" s="1"/>
  <c r="Y17" i="7" s="1" a="1"/>
  <c r="Y17" i="7" s="1"/>
  <c r="Z17" i="7" s="1" a="1"/>
  <c r="Z17" i="7" s="1"/>
  <c r="AA17" i="7" s="1" a="1"/>
  <c r="AA17" i="7" s="1"/>
  <c r="AB17" i="7" s="1" a="1"/>
  <c r="AB17" i="7" s="1"/>
  <c r="AC17" i="7" s="1" a="1"/>
  <c r="AC17" i="7" s="1"/>
  <c r="AD17" i="7" s="1" a="1"/>
  <c r="AD17" i="7" s="1"/>
  <c r="AE17" i="7" s="1" a="1"/>
  <c r="AE17" i="7" s="1"/>
  <c r="AF17" i="7" s="1" a="1"/>
  <c r="AF17" i="7" s="1"/>
  <c r="AG17" i="7" s="1" a="1"/>
  <c r="AG17" i="7" s="1"/>
  <c r="AH17" i="7" s="1" a="1"/>
  <c r="AH17" i="7" s="1"/>
  <c r="AI17" i="7" s="1" a="1"/>
  <c r="AI17" i="7" s="1"/>
  <c r="AJ17" i="7" s="1" a="1"/>
  <c r="AJ17" i="7" s="1"/>
  <c r="AK17" i="7" s="1" a="1"/>
  <c r="AK17" i="7" s="1"/>
  <c r="AL17" i="7" s="1" a="1"/>
  <c r="AL17" i="7" s="1"/>
  <c r="AM17" i="7" s="1" a="1"/>
  <c r="AM17" i="7" s="1"/>
  <c r="AN17" i="7" s="1" a="1"/>
  <c r="AN17" i="7" s="1"/>
  <c r="AO17" i="7" s="1" a="1"/>
  <c r="AO17" i="7" s="1"/>
  <c r="AP17" i="7" s="1" a="1"/>
  <c r="AP17" i="7" s="1"/>
  <c r="AQ17" i="7" s="1" a="1"/>
  <c r="AQ17" i="7" s="1"/>
  <c r="AR17" i="7" s="1" a="1"/>
  <c r="AR17" i="7" s="1"/>
  <c r="AS17" i="7" s="1" a="1"/>
  <c r="AS17" i="7" s="1"/>
  <c r="AT17" i="7" s="1" a="1"/>
  <c r="AT17" i="7" s="1"/>
  <c r="AU17" i="7" s="1" a="1"/>
  <c r="AU17" i="7" s="1"/>
  <c r="AV17" i="7" s="1" a="1"/>
  <c r="AV17" i="7" s="1"/>
  <c r="AW17" i="7" s="1" a="1"/>
  <c r="AW17" i="7" s="1"/>
  <c r="AX17" i="7" s="1" a="1"/>
  <c r="AX17" i="7" s="1"/>
  <c r="AY17" i="7" s="1" a="1"/>
  <c r="AY17" i="7" s="1"/>
  <c r="AZ17" i="7" s="1" a="1"/>
  <c r="AZ17" i="7" s="1"/>
  <c r="BA17" i="7" s="1" a="1"/>
  <c r="BA17" i="7" s="1"/>
  <c r="BB17" i="7" s="1" a="1"/>
  <c r="BB17" i="7" s="1"/>
  <c r="BC17" i="7" s="1" a="1"/>
  <c r="BC17" i="7" s="1"/>
  <c r="BD17" i="7" s="1" a="1"/>
  <c r="BD17" i="7" s="1"/>
  <c r="BE17" i="7" s="1" a="1"/>
  <c r="BE17" i="7" s="1"/>
  <c r="BF17" i="7" s="1" a="1"/>
  <c r="BF17" i="7" s="1"/>
  <c r="BG17" i="7" s="1" a="1"/>
  <c r="BG17" i="7" s="1"/>
  <c r="BH17" i="7" s="1" a="1"/>
  <c r="BH17" i="7" s="1"/>
  <c r="BI17" i="7" s="1" a="1"/>
  <c r="BI17" i="7" s="1"/>
  <c r="BJ17" i="7" s="1" a="1"/>
  <c r="BJ17" i="7" s="1"/>
  <c r="BK17" i="7" s="1" a="1"/>
  <c r="BK17" i="7" s="1"/>
  <c r="BL17" i="7" s="1" a="1"/>
  <c r="BL17" i="7" s="1"/>
  <c r="BM17" i="7" s="1" a="1"/>
  <c r="BM17" i="7" s="1"/>
  <c r="O67" i="8"/>
  <c r="P6" i="8" a="1"/>
  <c r="P6" i="8" s="1"/>
  <c r="E18" i="8"/>
  <c r="R17" i="8" a="1"/>
  <c r="R17" i="8" s="1"/>
  <c r="S17" i="8" s="1" a="1"/>
  <c r="S17" i="8" s="1"/>
  <c r="T17" i="8" s="1" a="1"/>
  <c r="T17" i="8" s="1"/>
  <c r="U17" i="8" s="1" a="1"/>
  <c r="U17" i="8" s="1"/>
  <c r="V17" i="8" s="1" a="1"/>
  <c r="V17" i="8" s="1"/>
  <c r="W17" i="8" s="1" a="1"/>
  <c r="W17" i="8" s="1"/>
  <c r="X17" i="8" s="1" a="1"/>
  <c r="X17" i="8" s="1"/>
  <c r="Y17" i="8" s="1" a="1"/>
  <c r="Y17" i="8" s="1"/>
  <c r="Z17" i="8" s="1" a="1"/>
  <c r="Z17" i="8" s="1"/>
  <c r="AA17" i="8" s="1" a="1"/>
  <c r="AA17" i="8" s="1"/>
  <c r="AB17" i="8" s="1" a="1"/>
  <c r="AB17" i="8" s="1"/>
  <c r="AC17" i="8" s="1" a="1"/>
  <c r="AC17" i="8" s="1"/>
  <c r="AD17" i="8" s="1" a="1"/>
  <c r="AD17" i="8" s="1"/>
  <c r="AE17" i="8" s="1" a="1"/>
  <c r="AE17" i="8" s="1"/>
  <c r="AF17" i="8" s="1" a="1"/>
  <c r="AF17" i="8" s="1"/>
  <c r="AG17" i="8" s="1" a="1"/>
  <c r="AG17" i="8" s="1"/>
  <c r="AH17" i="8" s="1" a="1"/>
  <c r="AH17" i="8" s="1"/>
  <c r="AI17" i="8" s="1" a="1"/>
  <c r="AI17" i="8" s="1"/>
  <c r="AJ17" i="8" s="1" a="1"/>
  <c r="AJ17" i="8" s="1"/>
  <c r="AK17" i="8" s="1" a="1"/>
  <c r="AK17" i="8" s="1"/>
  <c r="AL17" i="8" s="1" a="1"/>
  <c r="AL17" i="8" s="1"/>
  <c r="AM17" i="8" s="1" a="1"/>
  <c r="AM17" i="8" s="1"/>
  <c r="AN17" i="8" s="1" a="1"/>
  <c r="AN17" i="8" s="1"/>
  <c r="AO17" i="8" s="1" a="1"/>
  <c r="AO17" i="8" s="1"/>
  <c r="AP17" i="8" s="1" a="1"/>
  <c r="AP17" i="8" s="1"/>
  <c r="AQ17" i="8" s="1" a="1"/>
  <c r="AQ17" i="8" s="1"/>
  <c r="AR17" i="8" s="1" a="1"/>
  <c r="AR17" i="8" s="1"/>
  <c r="AS17" i="8" s="1" a="1"/>
  <c r="AS17" i="8" s="1"/>
  <c r="AT17" i="8" s="1" a="1"/>
  <c r="AT17" i="8" s="1"/>
  <c r="AU17" i="8" s="1" a="1"/>
  <c r="AU17" i="8" s="1"/>
  <c r="AV17" i="8" s="1" a="1"/>
  <c r="AV17" i="8" s="1"/>
  <c r="AW17" i="8" s="1" a="1"/>
  <c r="AW17" i="8" s="1"/>
  <c r="AX17" i="8" s="1" a="1"/>
  <c r="AX17" i="8" s="1"/>
  <c r="AY17" i="8" s="1" a="1"/>
  <c r="AY17" i="8" s="1"/>
  <c r="AZ17" i="8" s="1" a="1"/>
  <c r="AZ17" i="8" s="1"/>
  <c r="BA17" i="8" s="1" a="1"/>
  <c r="BA17" i="8" s="1"/>
  <c r="BB17" i="8" s="1" a="1"/>
  <c r="BB17" i="8" s="1"/>
  <c r="BC17" i="8" s="1" a="1"/>
  <c r="BC17" i="8" s="1"/>
  <c r="BD17" i="8" s="1" a="1"/>
  <c r="BD17" i="8" s="1"/>
  <c r="BE17" i="8" s="1" a="1"/>
  <c r="BE17" i="8" s="1"/>
  <c r="BF17" i="8" s="1" a="1"/>
  <c r="BF17" i="8" s="1"/>
  <c r="BG17" i="8" s="1" a="1"/>
  <c r="BG17" i="8" s="1"/>
  <c r="BH17" i="8" s="1" a="1"/>
  <c r="BH17" i="8" s="1"/>
  <c r="BI17" i="8" s="1" a="1"/>
  <c r="BI17" i="8" s="1"/>
  <c r="BJ17" i="8" s="1" a="1"/>
  <c r="BJ17" i="8" s="1"/>
  <c r="BK17" i="8" s="1" a="1"/>
  <c r="BK17" i="8" s="1"/>
  <c r="BL17" i="8" s="1" a="1"/>
  <c r="BL17" i="8" s="1"/>
  <c r="BM17" i="8" s="1" a="1"/>
  <c r="BM17" i="8" s="1"/>
  <c r="O67" i="9"/>
  <c r="P6" i="9" a="1"/>
  <c r="P6" i="9" s="1"/>
  <c r="E18" i="9"/>
  <c r="R17" i="9" a="1"/>
  <c r="R17" i="9" s="1"/>
  <c r="S17" i="9" s="1" a="1"/>
  <c r="S17" i="9" s="1"/>
  <c r="T17" i="9" s="1" a="1"/>
  <c r="T17" i="9" s="1"/>
  <c r="U17" i="9" s="1" a="1"/>
  <c r="U17" i="9" s="1"/>
  <c r="V17" i="9" s="1" a="1"/>
  <c r="V17" i="9" s="1"/>
  <c r="W17" i="9" s="1" a="1"/>
  <c r="W17" i="9" s="1"/>
  <c r="X17" i="9" s="1" a="1"/>
  <c r="X17" i="9" s="1"/>
  <c r="Y17" i="9" s="1" a="1"/>
  <c r="Y17" i="9" s="1"/>
  <c r="Z17" i="9" s="1" a="1"/>
  <c r="Z17" i="9" s="1"/>
  <c r="AA17" i="9" s="1" a="1"/>
  <c r="AA17" i="9" s="1"/>
  <c r="AB17" i="9" s="1" a="1"/>
  <c r="AB17" i="9" s="1"/>
  <c r="AC17" i="9" s="1" a="1"/>
  <c r="AC17" i="9" s="1"/>
  <c r="AD17" i="9" s="1" a="1"/>
  <c r="AD17" i="9" s="1"/>
  <c r="AE17" i="9" s="1" a="1"/>
  <c r="AE17" i="9" s="1"/>
  <c r="AF17" i="9" s="1" a="1"/>
  <c r="AF17" i="9" s="1"/>
  <c r="AG17" i="9" s="1" a="1"/>
  <c r="AG17" i="9" s="1"/>
  <c r="AH17" i="9" s="1" a="1"/>
  <c r="AH17" i="9" s="1"/>
  <c r="AI17" i="9" s="1" a="1"/>
  <c r="AI17" i="9" s="1"/>
  <c r="AJ17" i="9" s="1" a="1"/>
  <c r="AJ17" i="9" s="1"/>
  <c r="AK17" i="9" s="1" a="1"/>
  <c r="AK17" i="9" s="1"/>
  <c r="AL17" i="9" s="1" a="1"/>
  <c r="AL17" i="9" s="1"/>
  <c r="AM17" i="9" s="1" a="1"/>
  <c r="AM17" i="9" s="1"/>
  <c r="AN17" i="9" s="1" a="1"/>
  <c r="AN17" i="9" s="1"/>
  <c r="AO17" i="9" s="1" a="1"/>
  <c r="AO17" i="9" s="1"/>
  <c r="AP17" i="9" s="1" a="1"/>
  <c r="AP17" i="9" s="1"/>
  <c r="AQ17" i="9" s="1" a="1"/>
  <c r="AQ17" i="9" s="1"/>
  <c r="AR17" i="9" s="1" a="1"/>
  <c r="AR17" i="9" s="1"/>
  <c r="AS17" i="9" s="1" a="1"/>
  <c r="AS17" i="9" s="1"/>
  <c r="AT17" i="9" s="1" a="1"/>
  <c r="AT17" i="9" s="1"/>
  <c r="AU17" i="9" s="1" a="1"/>
  <c r="AU17" i="9" s="1"/>
  <c r="AV17" i="9" s="1" a="1"/>
  <c r="AV17" i="9" s="1"/>
  <c r="AW17" i="9" s="1" a="1"/>
  <c r="AW17" i="9" s="1"/>
  <c r="AX17" i="9" s="1" a="1"/>
  <c r="AX17" i="9" s="1"/>
  <c r="AY17" i="9" s="1" a="1"/>
  <c r="AY17" i="9" s="1"/>
  <c r="AZ17" i="9" s="1" a="1"/>
  <c r="AZ17" i="9" s="1"/>
  <c r="BA17" i="9" s="1" a="1"/>
  <c r="BA17" i="9" s="1"/>
  <c r="BB17" i="9" s="1" a="1"/>
  <c r="BB17" i="9" s="1"/>
  <c r="BC17" i="9" s="1" a="1"/>
  <c r="BC17" i="9" s="1"/>
  <c r="BD17" i="9" s="1" a="1"/>
  <c r="BD17" i="9" s="1"/>
  <c r="BE17" i="9" s="1" a="1"/>
  <c r="BE17" i="9" s="1"/>
  <c r="BF17" i="9" s="1" a="1"/>
  <c r="BF17" i="9" s="1"/>
  <c r="BG17" i="9" s="1" a="1"/>
  <c r="BG17" i="9" s="1"/>
  <c r="BH17" i="9" s="1" a="1"/>
  <c r="BH17" i="9" s="1"/>
  <c r="BI17" i="9" s="1" a="1"/>
  <c r="BI17" i="9" s="1"/>
  <c r="BJ17" i="9" s="1" a="1"/>
  <c r="BJ17" i="9" s="1"/>
  <c r="BK17" i="9" s="1" a="1"/>
  <c r="BK17" i="9" s="1"/>
  <c r="BL17" i="9" s="1" a="1"/>
  <c r="BL17" i="9" s="1"/>
  <c r="BM17" i="9" s="1" a="1"/>
  <c r="BM17" i="9" s="1"/>
  <c r="O7" i="7" l="1" a="1"/>
  <c r="O7" i="7" s="1"/>
  <c r="N67" i="7"/>
  <c r="E19" i="9"/>
  <c r="S18" i="9" a="1"/>
  <c r="S18" i="9" s="1"/>
  <c r="T18" i="9" s="1" a="1"/>
  <c r="T18" i="9" s="1"/>
  <c r="U18" i="9" s="1" a="1"/>
  <c r="U18" i="9" s="1"/>
  <c r="V18" i="9" s="1" a="1"/>
  <c r="V18" i="9" s="1"/>
  <c r="W18" i="9" s="1" a="1"/>
  <c r="W18" i="9" s="1"/>
  <c r="X18" i="9" s="1" a="1"/>
  <c r="X18" i="9" s="1"/>
  <c r="Y18" i="9" s="1" a="1"/>
  <c r="Y18" i="9" s="1"/>
  <c r="Z18" i="9" s="1" a="1"/>
  <c r="Z18" i="9" s="1"/>
  <c r="AA18" i="9" s="1" a="1"/>
  <c r="AA18" i="9" s="1"/>
  <c r="AB18" i="9" s="1" a="1"/>
  <c r="AB18" i="9" s="1"/>
  <c r="AC18" i="9" s="1" a="1"/>
  <c r="AC18" i="9" s="1"/>
  <c r="AD18" i="9" s="1" a="1"/>
  <c r="AD18" i="9" s="1"/>
  <c r="AE18" i="9" s="1" a="1"/>
  <c r="AE18" i="9" s="1"/>
  <c r="AF18" i="9" s="1" a="1"/>
  <c r="AF18" i="9" s="1"/>
  <c r="AG18" i="9" s="1" a="1"/>
  <c r="AG18" i="9" s="1"/>
  <c r="AH18" i="9" s="1" a="1"/>
  <c r="AH18" i="9" s="1"/>
  <c r="AI18" i="9" s="1" a="1"/>
  <c r="AI18" i="9" s="1"/>
  <c r="AJ18" i="9" s="1" a="1"/>
  <c r="AJ18" i="9" s="1"/>
  <c r="AK18" i="9" s="1" a="1"/>
  <c r="AK18" i="9" s="1"/>
  <c r="AL18" i="9" s="1" a="1"/>
  <c r="AL18" i="9" s="1"/>
  <c r="AM18" i="9" s="1" a="1"/>
  <c r="AM18" i="9" s="1"/>
  <c r="AN18" i="9" s="1" a="1"/>
  <c r="AN18" i="9" s="1"/>
  <c r="AO18" i="9" s="1" a="1"/>
  <c r="AO18" i="9" s="1"/>
  <c r="AP18" i="9" s="1" a="1"/>
  <c r="AP18" i="9" s="1"/>
  <c r="AQ18" i="9" s="1" a="1"/>
  <c r="AQ18" i="9" s="1"/>
  <c r="AR18" i="9" s="1" a="1"/>
  <c r="AR18" i="9" s="1"/>
  <c r="AS18" i="9" s="1" a="1"/>
  <c r="AS18" i="9" s="1"/>
  <c r="AT18" i="9" s="1" a="1"/>
  <c r="AT18" i="9" s="1"/>
  <c r="AU18" i="9" s="1" a="1"/>
  <c r="AU18" i="9" s="1"/>
  <c r="AV18" i="9" s="1" a="1"/>
  <c r="AV18" i="9" s="1"/>
  <c r="AW18" i="9" s="1" a="1"/>
  <c r="AW18" i="9" s="1"/>
  <c r="AX18" i="9" s="1" a="1"/>
  <c r="AX18" i="9" s="1"/>
  <c r="AY18" i="9" s="1" a="1"/>
  <c r="AY18" i="9" s="1"/>
  <c r="AZ18" i="9" s="1" a="1"/>
  <c r="AZ18" i="9" s="1"/>
  <c r="BA18" i="9" s="1" a="1"/>
  <c r="BA18" i="9" s="1"/>
  <c r="BB18" i="9" s="1" a="1"/>
  <c r="BB18" i="9" s="1"/>
  <c r="BC18" i="9" s="1" a="1"/>
  <c r="BC18" i="9" s="1"/>
  <c r="BD18" i="9" s="1" a="1"/>
  <c r="BD18" i="9" s="1"/>
  <c r="BE18" i="9" s="1" a="1"/>
  <c r="BE18" i="9" s="1"/>
  <c r="BF18" i="9" s="1" a="1"/>
  <c r="BF18" i="9" s="1"/>
  <c r="BG18" i="9" s="1" a="1"/>
  <c r="BG18" i="9" s="1"/>
  <c r="BH18" i="9" s="1" a="1"/>
  <c r="BH18" i="9" s="1"/>
  <c r="BI18" i="9" s="1" a="1"/>
  <c r="BI18" i="9" s="1"/>
  <c r="BJ18" i="9" s="1" a="1"/>
  <c r="BJ18" i="9" s="1"/>
  <c r="BK18" i="9" s="1" a="1"/>
  <c r="BK18" i="9" s="1"/>
  <c r="BL18" i="9" s="1" a="1"/>
  <c r="BL18" i="9" s="1"/>
  <c r="BM18" i="9" s="1" a="1"/>
  <c r="BM18" i="9" s="1"/>
  <c r="P67" i="9"/>
  <c r="Q6" i="9" a="1"/>
  <c r="Q6" i="9" s="1"/>
  <c r="E19" i="8"/>
  <c r="S18" i="8" a="1"/>
  <c r="S18" i="8" s="1"/>
  <c r="T18" i="8" s="1" a="1"/>
  <c r="T18" i="8" s="1"/>
  <c r="U18" i="8" s="1" a="1"/>
  <c r="U18" i="8" s="1"/>
  <c r="V18" i="8" s="1" a="1"/>
  <c r="V18" i="8" s="1"/>
  <c r="W18" i="8" s="1" a="1"/>
  <c r="W18" i="8" s="1"/>
  <c r="X18" i="8" s="1" a="1"/>
  <c r="X18" i="8" s="1"/>
  <c r="Y18" i="8" s="1" a="1"/>
  <c r="Y18" i="8" s="1"/>
  <c r="Z18" i="8" s="1" a="1"/>
  <c r="Z18" i="8" s="1"/>
  <c r="AA18" i="8" s="1" a="1"/>
  <c r="AA18" i="8" s="1"/>
  <c r="AB18" i="8" s="1" a="1"/>
  <c r="AB18" i="8" s="1"/>
  <c r="AC18" i="8" s="1" a="1"/>
  <c r="AC18" i="8" s="1"/>
  <c r="AD18" i="8" s="1" a="1"/>
  <c r="AD18" i="8" s="1"/>
  <c r="AE18" i="8" s="1" a="1"/>
  <c r="AE18" i="8" s="1"/>
  <c r="AF18" i="8" s="1" a="1"/>
  <c r="AF18" i="8" s="1"/>
  <c r="AG18" i="8" s="1" a="1"/>
  <c r="AG18" i="8" s="1"/>
  <c r="AH18" i="8" s="1" a="1"/>
  <c r="AH18" i="8" s="1"/>
  <c r="AI18" i="8" s="1" a="1"/>
  <c r="AI18" i="8" s="1"/>
  <c r="AJ18" i="8" s="1" a="1"/>
  <c r="AJ18" i="8" s="1"/>
  <c r="AK18" i="8" s="1" a="1"/>
  <c r="AK18" i="8" s="1"/>
  <c r="AL18" i="8" s="1" a="1"/>
  <c r="AL18" i="8" s="1"/>
  <c r="AM18" i="8" s="1" a="1"/>
  <c r="AM18" i="8" s="1"/>
  <c r="AN18" i="8" s="1" a="1"/>
  <c r="AN18" i="8" s="1"/>
  <c r="AO18" i="8" s="1" a="1"/>
  <c r="AO18" i="8" s="1"/>
  <c r="AP18" i="8" s="1" a="1"/>
  <c r="AP18" i="8" s="1"/>
  <c r="AQ18" i="8" s="1" a="1"/>
  <c r="AQ18" i="8" s="1"/>
  <c r="AR18" i="8" s="1" a="1"/>
  <c r="AR18" i="8" s="1"/>
  <c r="AS18" i="8" s="1" a="1"/>
  <c r="AS18" i="8" s="1"/>
  <c r="AT18" i="8" s="1" a="1"/>
  <c r="AT18" i="8" s="1"/>
  <c r="AU18" i="8" s="1" a="1"/>
  <c r="AU18" i="8" s="1"/>
  <c r="AV18" i="8" s="1" a="1"/>
  <c r="AV18" i="8" s="1"/>
  <c r="AW18" i="8" s="1" a="1"/>
  <c r="AW18" i="8" s="1"/>
  <c r="AX18" i="8" s="1" a="1"/>
  <c r="AX18" i="8" s="1"/>
  <c r="AY18" i="8" s="1" a="1"/>
  <c r="AY18" i="8" s="1"/>
  <c r="AZ18" i="8" s="1" a="1"/>
  <c r="AZ18" i="8" s="1"/>
  <c r="BA18" i="8" s="1" a="1"/>
  <c r="BA18" i="8" s="1"/>
  <c r="BB18" i="8" s="1" a="1"/>
  <c r="BB18" i="8" s="1"/>
  <c r="BC18" i="8" s="1" a="1"/>
  <c r="BC18" i="8" s="1"/>
  <c r="BD18" i="8" s="1" a="1"/>
  <c r="BD18" i="8" s="1"/>
  <c r="BE18" i="8" s="1" a="1"/>
  <c r="BE18" i="8" s="1"/>
  <c r="BF18" i="8" s="1" a="1"/>
  <c r="BF18" i="8" s="1"/>
  <c r="BG18" i="8" s="1" a="1"/>
  <c r="BG18" i="8" s="1"/>
  <c r="BH18" i="8" s="1" a="1"/>
  <c r="BH18" i="8" s="1"/>
  <c r="BI18" i="8" s="1" a="1"/>
  <c r="BI18" i="8" s="1"/>
  <c r="BJ18" i="8" s="1" a="1"/>
  <c r="BJ18" i="8" s="1"/>
  <c r="BK18" i="8" s="1" a="1"/>
  <c r="BK18" i="8" s="1"/>
  <c r="BL18" i="8" s="1" a="1"/>
  <c r="BL18" i="8" s="1"/>
  <c r="BM18" i="8" s="1" a="1"/>
  <c r="BM18" i="8" s="1"/>
  <c r="P67" i="8"/>
  <c r="Q6" i="8" a="1"/>
  <c r="Q6" i="8" s="1"/>
  <c r="E19" i="7"/>
  <c r="S18" i="7" a="1"/>
  <c r="S18" i="7" s="1"/>
  <c r="T18" i="7" s="1" a="1"/>
  <c r="T18" i="7" s="1"/>
  <c r="U18" i="7" s="1" a="1"/>
  <c r="U18" i="7" s="1"/>
  <c r="V18" i="7" s="1" a="1"/>
  <c r="V18" i="7" s="1"/>
  <c r="W18" i="7" s="1" a="1"/>
  <c r="W18" i="7" s="1"/>
  <c r="X18" i="7" s="1" a="1"/>
  <c r="X18" i="7" s="1"/>
  <c r="Y18" i="7" s="1" a="1"/>
  <c r="Y18" i="7" s="1"/>
  <c r="Z18" i="7" s="1" a="1"/>
  <c r="Z18" i="7" s="1"/>
  <c r="AA18" i="7" s="1" a="1"/>
  <c r="AA18" i="7" s="1"/>
  <c r="AB18" i="7" s="1" a="1"/>
  <c r="AB18" i="7" s="1"/>
  <c r="AC18" i="7" s="1" a="1"/>
  <c r="AC18" i="7" s="1"/>
  <c r="AD18" i="7" s="1" a="1"/>
  <c r="AD18" i="7" s="1"/>
  <c r="AE18" i="7" s="1" a="1"/>
  <c r="AE18" i="7" s="1"/>
  <c r="AF18" i="7" s="1" a="1"/>
  <c r="AF18" i="7" s="1"/>
  <c r="AG18" i="7" s="1" a="1"/>
  <c r="AG18" i="7" s="1"/>
  <c r="AH18" i="7" s="1" a="1"/>
  <c r="AH18" i="7" s="1"/>
  <c r="AI18" i="7" s="1" a="1"/>
  <c r="AI18" i="7" s="1"/>
  <c r="AJ18" i="7" s="1" a="1"/>
  <c r="AJ18" i="7" s="1"/>
  <c r="AK18" i="7" s="1" a="1"/>
  <c r="AK18" i="7" s="1"/>
  <c r="AL18" i="7" s="1" a="1"/>
  <c r="AL18" i="7" s="1"/>
  <c r="AM18" i="7" s="1" a="1"/>
  <c r="AM18" i="7" s="1"/>
  <c r="AN18" i="7" s="1" a="1"/>
  <c r="AN18" i="7" s="1"/>
  <c r="AO18" i="7" s="1" a="1"/>
  <c r="AO18" i="7" s="1"/>
  <c r="AP18" i="7" s="1" a="1"/>
  <c r="AP18" i="7" s="1"/>
  <c r="AQ18" i="7" s="1" a="1"/>
  <c r="AQ18" i="7" s="1"/>
  <c r="AR18" i="7" s="1" a="1"/>
  <c r="AR18" i="7" s="1"/>
  <c r="AS18" i="7" s="1" a="1"/>
  <c r="AS18" i="7" s="1"/>
  <c r="AT18" i="7" s="1" a="1"/>
  <c r="AT18" i="7" s="1"/>
  <c r="AU18" i="7" s="1" a="1"/>
  <c r="AU18" i="7" s="1"/>
  <c r="AV18" i="7" s="1" a="1"/>
  <c r="AV18" i="7" s="1"/>
  <c r="AW18" i="7" s="1" a="1"/>
  <c r="AW18" i="7" s="1"/>
  <c r="AX18" i="7" s="1" a="1"/>
  <c r="AX18" i="7" s="1"/>
  <c r="AY18" i="7" s="1" a="1"/>
  <c r="AY18" i="7" s="1"/>
  <c r="AZ18" i="7" s="1" a="1"/>
  <c r="AZ18" i="7" s="1"/>
  <c r="BA18" i="7" s="1" a="1"/>
  <c r="BA18" i="7" s="1"/>
  <c r="BB18" i="7" s="1" a="1"/>
  <c r="BB18" i="7" s="1"/>
  <c r="BC18" i="7" s="1" a="1"/>
  <c r="BC18" i="7" s="1"/>
  <c r="BD18" i="7" s="1" a="1"/>
  <c r="BD18" i="7" s="1"/>
  <c r="BE18" i="7" s="1" a="1"/>
  <c r="BE18" i="7" s="1"/>
  <c r="BF18" i="7" s="1" a="1"/>
  <c r="BF18" i="7" s="1"/>
  <c r="BG18" i="7" s="1" a="1"/>
  <c r="BG18" i="7" s="1"/>
  <c r="BH18" i="7" s="1" a="1"/>
  <c r="BH18" i="7" s="1"/>
  <c r="BI18" i="7" s="1" a="1"/>
  <c r="BI18" i="7" s="1"/>
  <c r="BJ18" i="7" s="1" a="1"/>
  <c r="BJ18" i="7" s="1"/>
  <c r="BK18" i="7" s="1" a="1"/>
  <c r="BK18" i="7" s="1"/>
  <c r="BL18" i="7" s="1" a="1"/>
  <c r="BL18" i="7" s="1"/>
  <c r="BM18" i="7" s="1" a="1"/>
  <c r="BM18" i="7" s="1"/>
  <c r="P7" i="7" l="1" a="1"/>
  <c r="P7" i="7" s="1"/>
  <c r="O67" i="7"/>
  <c r="E20" i="7"/>
  <c r="T19" i="7" a="1"/>
  <c r="T19" i="7" s="1"/>
  <c r="U19" i="7" s="1" a="1"/>
  <c r="U19" i="7" s="1"/>
  <c r="V19" i="7" s="1" a="1"/>
  <c r="V19" i="7" s="1"/>
  <c r="W19" i="7" s="1" a="1"/>
  <c r="W19" i="7" s="1"/>
  <c r="X19" i="7" s="1" a="1"/>
  <c r="X19" i="7" s="1"/>
  <c r="Y19" i="7" s="1" a="1"/>
  <c r="Y19" i="7" s="1"/>
  <c r="Z19" i="7" s="1" a="1"/>
  <c r="Z19" i="7" s="1"/>
  <c r="AA19" i="7" s="1" a="1"/>
  <c r="AA19" i="7" s="1"/>
  <c r="AB19" i="7" s="1" a="1"/>
  <c r="AB19" i="7" s="1"/>
  <c r="AC19" i="7" s="1" a="1"/>
  <c r="AC19" i="7" s="1"/>
  <c r="AD19" i="7" s="1" a="1"/>
  <c r="AD19" i="7" s="1"/>
  <c r="AE19" i="7" s="1" a="1"/>
  <c r="AE19" i="7" s="1"/>
  <c r="AF19" i="7" s="1" a="1"/>
  <c r="AF19" i="7" s="1"/>
  <c r="AG19" i="7" s="1" a="1"/>
  <c r="AG19" i="7" s="1"/>
  <c r="AH19" i="7" s="1" a="1"/>
  <c r="AH19" i="7" s="1"/>
  <c r="AI19" i="7" s="1" a="1"/>
  <c r="AI19" i="7" s="1"/>
  <c r="AJ19" i="7" s="1" a="1"/>
  <c r="AJ19" i="7" s="1"/>
  <c r="AK19" i="7" s="1" a="1"/>
  <c r="AK19" i="7" s="1"/>
  <c r="AL19" i="7" s="1" a="1"/>
  <c r="AL19" i="7" s="1"/>
  <c r="AM19" i="7" s="1" a="1"/>
  <c r="AM19" i="7" s="1"/>
  <c r="AN19" i="7" s="1" a="1"/>
  <c r="AN19" i="7" s="1"/>
  <c r="AO19" i="7" s="1" a="1"/>
  <c r="AO19" i="7" s="1"/>
  <c r="AP19" i="7" s="1" a="1"/>
  <c r="AP19" i="7" s="1"/>
  <c r="AQ19" i="7" s="1" a="1"/>
  <c r="AQ19" i="7" s="1"/>
  <c r="AR19" i="7" s="1" a="1"/>
  <c r="AR19" i="7" s="1"/>
  <c r="AS19" i="7" s="1" a="1"/>
  <c r="AS19" i="7" s="1"/>
  <c r="AT19" i="7" s="1" a="1"/>
  <c r="AT19" i="7" s="1"/>
  <c r="AU19" i="7" s="1" a="1"/>
  <c r="AU19" i="7" s="1"/>
  <c r="AV19" i="7" s="1" a="1"/>
  <c r="AV19" i="7" s="1"/>
  <c r="AW19" i="7" s="1" a="1"/>
  <c r="AW19" i="7" s="1"/>
  <c r="AX19" i="7" s="1" a="1"/>
  <c r="AX19" i="7" s="1"/>
  <c r="AY19" i="7" s="1" a="1"/>
  <c r="AY19" i="7" s="1"/>
  <c r="AZ19" i="7" s="1" a="1"/>
  <c r="AZ19" i="7" s="1"/>
  <c r="BA19" i="7" s="1" a="1"/>
  <c r="BA19" i="7" s="1"/>
  <c r="BB19" i="7" s="1" a="1"/>
  <c r="BB19" i="7" s="1"/>
  <c r="BC19" i="7" s="1" a="1"/>
  <c r="BC19" i="7" s="1"/>
  <c r="BD19" i="7" s="1" a="1"/>
  <c r="BD19" i="7" s="1"/>
  <c r="BE19" i="7" s="1" a="1"/>
  <c r="BE19" i="7" s="1"/>
  <c r="BF19" i="7" s="1" a="1"/>
  <c r="BF19" i="7" s="1"/>
  <c r="BG19" i="7" s="1" a="1"/>
  <c r="BG19" i="7" s="1"/>
  <c r="BH19" i="7" s="1" a="1"/>
  <c r="BH19" i="7" s="1"/>
  <c r="BI19" i="7" s="1" a="1"/>
  <c r="BI19" i="7" s="1"/>
  <c r="BJ19" i="7" s="1" a="1"/>
  <c r="BJ19" i="7" s="1"/>
  <c r="BK19" i="7" s="1" a="1"/>
  <c r="BK19" i="7" s="1"/>
  <c r="BL19" i="7" s="1" a="1"/>
  <c r="BL19" i="7" s="1"/>
  <c r="BM19" i="7" s="1" a="1"/>
  <c r="BM19" i="7" s="1"/>
  <c r="Q67" i="8"/>
  <c r="R6" i="8" a="1"/>
  <c r="R6" i="8" s="1"/>
  <c r="E20" i="8"/>
  <c r="T19" i="8" a="1"/>
  <c r="T19" i="8" s="1"/>
  <c r="U19" i="8" s="1" a="1"/>
  <c r="U19" i="8" s="1"/>
  <c r="V19" i="8" s="1" a="1"/>
  <c r="V19" i="8" s="1"/>
  <c r="W19" i="8" s="1" a="1"/>
  <c r="W19" i="8" s="1"/>
  <c r="X19" i="8" s="1" a="1"/>
  <c r="X19" i="8" s="1"/>
  <c r="Y19" i="8" s="1" a="1"/>
  <c r="Y19" i="8" s="1"/>
  <c r="Z19" i="8" s="1" a="1"/>
  <c r="Z19" i="8" s="1"/>
  <c r="AA19" i="8" s="1" a="1"/>
  <c r="AA19" i="8" s="1"/>
  <c r="AB19" i="8" s="1" a="1"/>
  <c r="AB19" i="8" s="1"/>
  <c r="AC19" i="8" s="1" a="1"/>
  <c r="AC19" i="8" s="1"/>
  <c r="AD19" i="8" s="1" a="1"/>
  <c r="AD19" i="8" s="1"/>
  <c r="AE19" i="8" s="1" a="1"/>
  <c r="AE19" i="8" s="1"/>
  <c r="AF19" i="8" s="1" a="1"/>
  <c r="AF19" i="8" s="1"/>
  <c r="AG19" i="8" s="1" a="1"/>
  <c r="AG19" i="8" s="1"/>
  <c r="AH19" i="8" s="1" a="1"/>
  <c r="AH19" i="8" s="1"/>
  <c r="AI19" i="8" s="1" a="1"/>
  <c r="AI19" i="8" s="1"/>
  <c r="AJ19" i="8" s="1" a="1"/>
  <c r="AJ19" i="8" s="1"/>
  <c r="AK19" i="8" s="1" a="1"/>
  <c r="AK19" i="8" s="1"/>
  <c r="AL19" i="8" s="1" a="1"/>
  <c r="AL19" i="8" s="1"/>
  <c r="AM19" i="8" s="1" a="1"/>
  <c r="AM19" i="8" s="1"/>
  <c r="AN19" i="8" s="1" a="1"/>
  <c r="AN19" i="8" s="1"/>
  <c r="AO19" i="8" s="1" a="1"/>
  <c r="AO19" i="8" s="1"/>
  <c r="AP19" i="8" s="1" a="1"/>
  <c r="AP19" i="8" s="1"/>
  <c r="AQ19" i="8" s="1" a="1"/>
  <c r="AQ19" i="8" s="1"/>
  <c r="AR19" i="8" s="1" a="1"/>
  <c r="AR19" i="8" s="1"/>
  <c r="AS19" i="8" s="1" a="1"/>
  <c r="AS19" i="8" s="1"/>
  <c r="AT19" i="8" s="1" a="1"/>
  <c r="AT19" i="8" s="1"/>
  <c r="AU19" i="8" s="1" a="1"/>
  <c r="AU19" i="8" s="1"/>
  <c r="AV19" i="8" s="1" a="1"/>
  <c r="AV19" i="8" s="1"/>
  <c r="AW19" i="8" s="1" a="1"/>
  <c r="AW19" i="8" s="1"/>
  <c r="AX19" i="8" s="1" a="1"/>
  <c r="AX19" i="8" s="1"/>
  <c r="AY19" i="8" s="1" a="1"/>
  <c r="AY19" i="8" s="1"/>
  <c r="AZ19" i="8" s="1" a="1"/>
  <c r="AZ19" i="8" s="1"/>
  <c r="BA19" i="8" s="1" a="1"/>
  <c r="BA19" i="8" s="1"/>
  <c r="BB19" i="8" s="1" a="1"/>
  <c r="BB19" i="8" s="1"/>
  <c r="BC19" i="8" s="1" a="1"/>
  <c r="BC19" i="8" s="1"/>
  <c r="BD19" i="8" s="1" a="1"/>
  <c r="BD19" i="8" s="1"/>
  <c r="BE19" i="8" s="1" a="1"/>
  <c r="BE19" i="8" s="1"/>
  <c r="BF19" i="8" s="1" a="1"/>
  <c r="BF19" i="8" s="1"/>
  <c r="BG19" i="8" s="1" a="1"/>
  <c r="BG19" i="8" s="1"/>
  <c r="BH19" i="8" s="1" a="1"/>
  <c r="BH19" i="8" s="1"/>
  <c r="BI19" i="8" s="1" a="1"/>
  <c r="BI19" i="8" s="1"/>
  <c r="BJ19" i="8" s="1" a="1"/>
  <c r="BJ19" i="8" s="1"/>
  <c r="BK19" i="8" s="1" a="1"/>
  <c r="BK19" i="8" s="1"/>
  <c r="BL19" i="8" s="1" a="1"/>
  <c r="BL19" i="8" s="1"/>
  <c r="BM19" i="8" s="1" a="1"/>
  <c r="BM19" i="8" s="1"/>
  <c r="Q67" i="9"/>
  <c r="R6" i="9" a="1"/>
  <c r="R6" i="9" s="1"/>
  <c r="E20" i="9"/>
  <c r="T19" i="9" a="1"/>
  <c r="T19" i="9" s="1"/>
  <c r="U19" i="9" s="1" a="1"/>
  <c r="U19" i="9" s="1"/>
  <c r="V19" i="9" s="1" a="1"/>
  <c r="V19" i="9" s="1"/>
  <c r="W19" i="9" s="1" a="1"/>
  <c r="W19" i="9" s="1"/>
  <c r="X19" i="9" s="1" a="1"/>
  <c r="X19" i="9" s="1"/>
  <c r="Y19" i="9" s="1" a="1"/>
  <c r="Y19" i="9" s="1"/>
  <c r="Z19" i="9" s="1" a="1"/>
  <c r="Z19" i="9" s="1"/>
  <c r="AA19" i="9" s="1" a="1"/>
  <c r="AA19" i="9" s="1"/>
  <c r="AB19" i="9" s="1" a="1"/>
  <c r="AB19" i="9" s="1"/>
  <c r="AC19" i="9" s="1" a="1"/>
  <c r="AC19" i="9" s="1"/>
  <c r="AD19" i="9" s="1" a="1"/>
  <c r="AD19" i="9" s="1"/>
  <c r="AE19" i="9" s="1" a="1"/>
  <c r="AE19" i="9" s="1"/>
  <c r="AF19" i="9" s="1" a="1"/>
  <c r="AF19" i="9" s="1"/>
  <c r="AG19" i="9" s="1" a="1"/>
  <c r="AG19" i="9" s="1"/>
  <c r="AH19" i="9" s="1" a="1"/>
  <c r="AH19" i="9" s="1"/>
  <c r="AI19" i="9" s="1" a="1"/>
  <c r="AI19" i="9" s="1"/>
  <c r="AJ19" i="9" s="1" a="1"/>
  <c r="AJ19" i="9" s="1"/>
  <c r="AK19" i="9" s="1" a="1"/>
  <c r="AK19" i="9" s="1"/>
  <c r="AL19" i="9" s="1" a="1"/>
  <c r="AL19" i="9" s="1"/>
  <c r="AM19" i="9" s="1" a="1"/>
  <c r="AM19" i="9" s="1"/>
  <c r="AN19" i="9" s="1" a="1"/>
  <c r="AN19" i="9" s="1"/>
  <c r="AO19" i="9" s="1" a="1"/>
  <c r="AO19" i="9" s="1"/>
  <c r="AP19" i="9" s="1" a="1"/>
  <c r="AP19" i="9" s="1"/>
  <c r="AQ19" i="9" s="1" a="1"/>
  <c r="AQ19" i="9" s="1"/>
  <c r="AR19" i="9" s="1" a="1"/>
  <c r="AR19" i="9" s="1"/>
  <c r="AS19" i="9" s="1" a="1"/>
  <c r="AS19" i="9" s="1"/>
  <c r="AT19" i="9" s="1" a="1"/>
  <c r="AT19" i="9" s="1"/>
  <c r="AU19" i="9" s="1" a="1"/>
  <c r="AU19" i="9" s="1"/>
  <c r="AV19" i="9" s="1" a="1"/>
  <c r="AV19" i="9" s="1"/>
  <c r="AW19" i="9" s="1" a="1"/>
  <c r="AW19" i="9" s="1"/>
  <c r="AX19" i="9" s="1" a="1"/>
  <c r="AX19" i="9" s="1"/>
  <c r="AY19" i="9" s="1" a="1"/>
  <c r="AY19" i="9" s="1"/>
  <c r="AZ19" i="9" s="1" a="1"/>
  <c r="AZ19" i="9" s="1"/>
  <c r="BA19" i="9" s="1" a="1"/>
  <c r="BA19" i="9" s="1"/>
  <c r="BB19" i="9" s="1" a="1"/>
  <c r="BB19" i="9" s="1"/>
  <c r="BC19" i="9" s="1" a="1"/>
  <c r="BC19" i="9" s="1"/>
  <c r="BD19" i="9" s="1" a="1"/>
  <c r="BD19" i="9" s="1"/>
  <c r="BE19" i="9" s="1" a="1"/>
  <c r="BE19" i="9" s="1"/>
  <c r="BF19" i="9" s="1" a="1"/>
  <c r="BF19" i="9" s="1"/>
  <c r="BG19" i="9" s="1" a="1"/>
  <c r="BG19" i="9" s="1"/>
  <c r="BH19" i="9" s="1" a="1"/>
  <c r="BH19" i="9" s="1"/>
  <c r="BI19" i="9" s="1" a="1"/>
  <c r="BI19" i="9" s="1"/>
  <c r="BJ19" i="9" s="1" a="1"/>
  <c r="BJ19" i="9" s="1"/>
  <c r="BK19" i="9" s="1" a="1"/>
  <c r="BK19" i="9" s="1"/>
  <c r="BL19" i="9" s="1" a="1"/>
  <c r="BL19" i="9" s="1"/>
  <c r="BM19" i="9" s="1" a="1"/>
  <c r="BM19" i="9" s="1"/>
  <c r="Q7" i="7" l="1" a="1"/>
  <c r="Q7" i="7" s="1"/>
  <c r="P67" i="7"/>
  <c r="E21" i="9"/>
  <c r="U20" i="9" a="1"/>
  <c r="U20" i="9" s="1"/>
  <c r="V20" i="9" s="1" a="1"/>
  <c r="V20" i="9" s="1"/>
  <c r="W20" i="9" s="1" a="1"/>
  <c r="W20" i="9" s="1"/>
  <c r="X20" i="9" s="1" a="1"/>
  <c r="X20" i="9" s="1"/>
  <c r="Y20" i="9" s="1" a="1"/>
  <c r="Y20" i="9" s="1"/>
  <c r="Z20" i="9" s="1" a="1"/>
  <c r="Z20" i="9" s="1"/>
  <c r="AA20" i="9" s="1" a="1"/>
  <c r="AA20" i="9" s="1"/>
  <c r="AB20" i="9" s="1" a="1"/>
  <c r="AB20" i="9" s="1"/>
  <c r="AC20" i="9" s="1" a="1"/>
  <c r="AC20" i="9" s="1"/>
  <c r="AD20" i="9" s="1" a="1"/>
  <c r="AD20" i="9" s="1"/>
  <c r="AE20" i="9" s="1" a="1"/>
  <c r="AE20" i="9" s="1"/>
  <c r="AF20" i="9" s="1" a="1"/>
  <c r="AF20" i="9" s="1"/>
  <c r="AG20" i="9" s="1" a="1"/>
  <c r="AG20" i="9" s="1"/>
  <c r="AH20" i="9" s="1" a="1"/>
  <c r="AH20" i="9" s="1"/>
  <c r="AI20" i="9" s="1" a="1"/>
  <c r="AI20" i="9" s="1"/>
  <c r="AJ20" i="9" s="1" a="1"/>
  <c r="AJ20" i="9" s="1"/>
  <c r="AK20" i="9" s="1" a="1"/>
  <c r="AK20" i="9" s="1"/>
  <c r="AL20" i="9" s="1" a="1"/>
  <c r="AL20" i="9" s="1"/>
  <c r="AM20" i="9" s="1" a="1"/>
  <c r="AM20" i="9" s="1"/>
  <c r="AN20" i="9" s="1" a="1"/>
  <c r="AN20" i="9" s="1"/>
  <c r="AO20" i="9" s="1" a="1"/>
  <c r="AO20" i="9" s="1"/>
  <c r="AP20" i="9" s="1" a="1"/>
  <c r="AP20" i="9" s="1"/>
  <c r="AQ20" i="9" s="1" a="1"/>
  <c r="AQ20" i="9" s="1"/>
  <c r="AR20" i="9" s="1" a="1"/>
  <c r="AR20" i="9" s="1"/>
  <c r="AS20" i="9" s="1" a="1"/>
  <c r="AS20" i="9" s="1"/>
  <c r="AT20" i="9" s="1" a="1"/>
  <c r="AT20" i="9" s="1"/>
  <c r="AU20" i="9" s="1" a="1"/>
  <c r="AU20" i="9" s="1"/>
  <c r="AV20" i="9" s="1" a="1"/>
  <c r="AV20" i="9" s="1"/>
  <c r="AW20" i="9" s="1" a="1"/>
  <c r="AW20" i="9" s="1"/>
  <c r="AX20" i="9" s="1" a="1"/>
  <c r="AX20" i="9" s="1"/>
  <c r="AY20" i="9" s="1" a="1"/>
  <c r="AY20" i="9" s="1"/>
  <c r="AZ20" i="9" s="1" a="1"/>
  <c r="AZ20" i="9" s="1"/>
  <c r="BA20" i="9" s="1" a="1"/>
  <c r="BA20" i="9" s="1"/>
  <c r="BB20" i="9" s="1" a="1"/>
  <c r="BB20" i="9" s="1"/>
  <c r="BC20" i="9" s="1" a="1"/>
  <c r="BC20" i="9" s="1"/>
  <c r="BD20" i="9" s="1" a="1"/>
  <c r="BD20" i="9" s="1"/>
  <c r="BE20" i="9" s="1" a="1"/>
  <c r="BE20" i="9" s="1"/>
  <c r="BF20" i="9" s="1" a="1"/>
  <c r="BF20" i="9" s="1"/>
  <c r="BG20" i="9" s="1" a="1"/>
  <c r="BG20" i="9" s="1"/>
  <c r="BH20" i="9" s="1" a="1"/>
  <c r="BH20" i="9" s="1"/>
  <c r="BI20" i="9" s="1" a="1"/>
  <c r="BI20" i="9" s="1"/>
  <c r="BJ20" i="9" s="1" a="1"/>
  <c r="BJ20" i="9" s="1"/>
  <c r="BK20" i="9" s="1" a="1"/>
  <c r="BK20" i="9" s="1"/>
  <c r="BL20" i="9" s="1" a="1"/>
  <c r="BL20" i="9" s="1"/>
  <c r="BM20" i="9" s="1" a="1"/>
  <c r="BM20" i="9" s="1"/>
  <c r="R67" i="9"/>
  <c r="S6" i="9" a="1"/>
  <c r="S6" i="9" s="1"/>
  <c r="E21" i="8"/>
  <c r="U20" i="8" a="1"/>
  <c r="U20" i="8" s="1"/>
  <c r="V20" i="8" s="1" a="1"/>
  <c r="V20" i="8" s="1"/>
  <c r="W20" i="8" s="1" a="1"/>
  <c r="W20" i="8" s="1"/>
  <c r="X20" i="8" s="1" a="1"/>
  <c r="X20" i="8" s="1"/>
  <c r="Y20" i="8" s="1" a="1"/>
  <c r="Y20" i="8" s="1"/>
  <c r="Z20" i="8" s="1" a="1"/>
  <c r="Z20" i="8" s="1"/>
  <c r="AA20" i="8" s="1" a="1"/>
  <c r="AA20" i="8" s="1"/>
  <c r="AB20" i="8" s="1" a="1"/>
  <c r="AB20" i="8" s="1"/>
  <c r="AC20" i="8" s="1" a="1"/>
  <c r="AC20" i="8" s="1"/>
  <c r="AD20" i="8" s="1" a="1"/>
  <c r="AD20" i="8" s="1"/>
  <c r="AE20" i="8" s="1" a="1"/>
  <c r="AE20" i="8" s="1"/>
  <c r="AF20" i="8" s="1" a="1"/>
  <c r="AF20" i="8" s="1"/>
  <c r="AG20" i="8" s="1" a="1"/>
  <c r="AG20" i="8" s="1"/>
  <c r="AH20" i="8" s="1" a="1"/>
  <c r="AH20" i="8" s="1"/>
  <c r="AI20" i="8" s="1" a="1"/>
  <c r="AI20" i="8" s="1"/>
  <c r="AJ20" i="8" s="1" a="1"/>
  <c r="AJ20" i="8" s="1"/>
  <c r="AK20" i="8" s="1" a="1"/>
  <c r="AK20" i="8" s="1"/>
  <c r="AL20" i="8" s="1" a="1"/>
  <c r="AL20" i="8" s="1"/>
  <c r="AM20" i="8" s="1" a="1"/>
  <c r="AM20" i="8" s="1"/>
  <c r="AN20" i="8" s="1" a="1"/>
  <c r="AN20" i="8" s="1"/>
  <c r="AO20" i="8" s="1" a="1"/>
  <c r="AO20" i="8" s="1"/>
  <c r="AP20" i="8" s="1" a="1"/>
  <c r="AP20" i="8" s="1"/>
  <c r="AQ20" i="8" s="1" a="1"/>
  <c r="AQ20" i="8" s="1"/>
  <c r="AR20" i="8" s="1" a="1"/>
  <c r="AR20" i="8" s="1"/>
  <c r="AS20" i="8" s="1" a="1"/>
  <c r="AS20" i="8" s="1"/>
  <c r="AT20" i="8" s="1" a="1"/>
  <c r="AT20" i="8" s="1"/>
  <c r="AU20" i="8" s="1" a="1"/>
  <c r="AU20" i="8" s="1"/>
  <c r="AV20" i="8" s="1" a="1"/>
  <c r="AV20" i="8" s="1"/>
  <c r="AW20" i="8" s="1" a="1"/>
  <c r="AW20" i="8" s="1"/>
  <c r="AX20" i="8" s="1" a="1"/>
  <c r="AX20" i="8" s="1"/>
  <c r="AY20" i="8" s="1" a="1"/>
  <c r="AY20" i="8" s="1"/>
  <c r="AZ20" i="8" s="1" a="1"/>
  <c r="AZ20" i="8" s="1"/>
  <c r="BA20" i="8" s="1" a="1"/>
  <c r="BA20" i="8" s="1"/>
  <c r="BB20" i="8" s="1" a="1"/>
  <c r="BB20" i="8" s="1"/>
  <c r="BC20" i="8" s="1" a="1"/>
  <c r="BC20" i="8" s="1"/>
  <c r="BD20" i="8" s="1" a="1"/>
  <c r="BD20" i="8" s="1"/>
  <c r="BE20" i="8" s="1" a="1"/>
  <c r="BE20" i="8" s="1"/>
  <c r="BF20" i="8" s="1" a="1"/>
  <c r="BF20" i="8" s="1"/>
  <c r="BG20" i="8" s="1" a="1"/>
  <c r="BG20" i="8" s="1"/>
  <c r="BH20" i="8" s="1" a="1"/>
  <c r="BH20" i="8" s="1"/>
  <c r="BI20" i="8" s="1" a="1"/>
  <c r="BI20" i="8" s="1"/>
  <c r="BJ20" i="8" s="1" a="1"/>
  <c r="BJ20" i="8" s="1"/>
  <c r="BK20" i="8" s="1" a="1"/>
  <c r="BK20" i="8" s="1"/>
  <c r="BL20" i="8" s="1" a="1"/>
  <c r="BL20" i="8" s="1"/>
  <c r="BM20" i="8" s="1" a="1"/>
  <c r="BM20" i="8" s="1"/>
  <c r="R67" i="8"/>
  <c r="S6" i="8" a="1"/>
  <c r="S6" i="8" s="1"/>
  <c r="E21" i="7"/>
  <c r="U20" i="7" a="1"/>
  <c r="U20" i="7" s="1"/>
  <c r="V20" i="7" s="1" a="1"/>
  <c r="V20" i="7" s="1"/>
  <c r="W20" i="7" s="1" a="1"/>
  <c r="W20" i="7" s="1"/>
  <c r="X20" i="7" s="1" a="1"/>
  <c r="X20" i="7" s="1"/>
  <c r="Y20" i="7" s="1" a="1"/>
  <c r="Y20" i="7" s="1"/>
  <c r="Z20" i="7" s="1" a="1"/>
  <c r="Z20" i="7" s="1"/>
  <c r="AA20" i="7" s="1" a="1"/>
  <c r="AA20" i="7" s="1"/>
  <c r="AB20" i="7" s="1" a="1"/>
  <c r="AB20" i="7" s="1"/>
  <c r="AC20" i="7" s="1" a="1"/>
  <c r="AC20" i="7" s="1"/>
  <c r="AD20" i="7" s="1" a="1"/>
  <c r="AD20" i="7" s="1"/>
  <c r="AE20" i="7" s="1" a="1"/>
  <c r="AE20" i="7" s="1"/>
  <c r="AF20" i="7" s="1" a="1"/>
  <c r="AF20" i="7" s="1"/>
  <c r="AG20" i="7" s="1" a="1"/>
  <c r="AG20" i="7" s="1"/>
  <c r="AH20" i="7" s="1" a="1"/>
  <c r="AH20" i="7" s="1"/>
  <c r="AI20" i="7" s="1" a="1"/>
  <c r="AI20" i="7" s="1"/>
  <c r="AJ20" i="7" s="1" a="1"/>
  <c r="AJ20" i="7" s="1"/>
  <c r="AK20" i="7" s="1" a="1"/>
  <c r="AK20" i="7" s="1"/>
  <c r="AL20" i="7" s="1" a="1"/>
  <c r="AL20" i="7" s="1"/>
  <c r="AM20" i="7" s="1" a="1"/>
  <c r="AM20" i="7" s="1"/>
  <c r="AN20" i="7" s="1" a="1"/>
  <c r="AN20" i="7" s="1"/>
  <c r="AO20" i="7" s="1" a="1"/>
  <c r="AO20" i="7" s="1"/>
  <c r="AP20" i="7" s="1" a="1"/>
  <c r="AP20" i="7" s="1"/>
  <c r="AQ20" i="7" s="1" a="1"/>
  <c r="AQ20" i="7" s="1"/>
  <c r="AR20" i="7" s="1" a="1"/>
  <c r="AR20" i="7" s="1"/>
  <c r="AS20" i="7" s="1" a="1"/>
  <c r="AS20" i="7" s="1"/>
  <c r="AT20" i="7" s="1" a="1"/>
  <c r="AT20" i="7" s="1"/>
  <c r="AU20" i="7" s="1" a="1"/>
  <c r="AU20" i="7" s="1"/>
  <c r="AV20" i="7" s="1" a="1"/>
  <c r="AV20" i="7" s="1"/>
  <c r="AW20" i="7" s="1" a="1"/>
  <c r="AW20" i="7" s="1"/>
  <c r="AX20" i="7" s="1" a="1"/>
  <c r="AX20" i="7" s="1"/>
  <c r="AY20" i="7" s="1" a="1"/>
  <c r="AY20" i="7" s="1"/>
  <c r="AZ20" i="7" s="1" a="1"/>
  <c r="AZ20" i="7" s="1"/>
  <c r="BA20" i="7" s="1" a="1"/>
  <c r="BA20" i="7" s="1"/>
  <c r="BB20" i="7" s="1" a="1"/>
  <c r="BB20" i="7" s="1"/>
  <c r="BC20" i="7" s="1" a="1"/>
  <c r="BC20" i="7" s="1"/>
  <c r="BD20" i="7" s="1" a="1"/>
  <c r="BD20" i="7" s="1"/>
  <c r="BE20" i="7" s="1" a="1"/>
  <c r="BE20" i="7" s="1"/>
  <c r="BF20" i="7" s="1" a="1"/>
  <c r="BF20" i="7" s="1"/>
  <c r="BG20" i="7" s="1" a="1"/>
  <c r="BG20" i="7" s="1"/>
  <c r="BH20" i="7" s="1" a="1"/>
  <c r="BH20" i="7" s="1"/>
  <c r="BI20" i="7" s="1" a="1"/>
  <c r="BI20" i="7" s="1"/>
  <c r="BJ20" i="7" s="1" a="1"/>
  <c r="BJ20" i="7" s="1"/>
  <c r="BK20" i="7" s="1" a="1"/>
  <c r="BK20" i="7" s="1"/>
  <c r="BL20" i="7" s="1" a="1"/>
  <c r="BL20" i="7" s="1"/>
  <c r="BM20" i="7" s="1" a="1"/>
  <c r="BM20" i="7" s="1"/>
  <c r="S6" i="7" a="1"/>
  <c r="S6" i="7" s="1"/>
  <c r="R7" i="7" l="1" a="1"/>
  <c r="R7" i="7" s="1"/>
  <c r="Q67" i="7"/>
  <c r="T6" i="7" a="1"/>
  <c r="T6" i="7" s="1"/>
  <c r="E22" i="7"/>
  <c r="V21" i="7" a="1"/>
  <c r="V21" i="7" s="1"/>
  <c r="W21" i="7" s="1" a="1"/>
  <c r="W21" i="7" s="1"/>
  <c r="X21" i="7" s="1" a="1"/>
  <c r="X21" i="7" s="1"/>
  <c r="Y21" i="7" s="1" a="1"/>
  <c r="Y21" i="7" s="1"/>
  <c r="Z21" i="7" s="1" a="1"/>
  <c r="Z21" i="7" s="1"/>
  <c r="AA21" i="7" s="1" a="1"/>
  <c r="AA21" i="7" s="1"/>
  <c r="AB21" i="7" s="1" a="1"/>
  <c r="AB21" i="7" s="1"/>
  <c r="AC21" i="7" s="1" a="1"/>
  <c r="AC21" i="7" s="1"/>
  <c r="AD21" i="7" s="1" a="1"/>
  <c r="AD21" i="7" s="1"/>
  <c r="AE21" i="7" s="1" a="1"/>
  <c r="AE21" i="7" s="1"/>
  <c r="AF21" i="7" s="1" a="1"/>
  <c r="AF21" i="7" s="1"/>
  <c r="AG21" i="7" s="1" a="1"/>
  <c r="AG21" i="7" s="1"/>
  <c r="AH21" i="7" s="1" a="1"/>
  <c r="AH21" i="7" s="1"/>
  <c r="AI21" i="7" s="1" a="1"/>
  <c r="AI21" i="7" s="1"/>
  <c r="AJ21" i="7" s="1" a="1"/>
  <c r="AJ21" i="7" s="1"/>
  <c r="AK21" i="7" s="1" a="1"/>
  <c r="AK21" i="7" s="1"/>
  <c r="AL21" i="7" s="1" a="1"/>
  <c r="AL21" i="7" s="1"/>
  <c r="AM21" i="7" s="1" a="1"/>
  <c r="AM21" i="7" s="1"/>
  <c r="AN21" i="7" s="1" a="1"/>
  <c r="AN21" i="7" s="1"/>
  <c r="AO21" i="7" s="1" a="1"/>
  <c r="AO21" i="7" s="1"/>
  <c r="AP21" i="7" s="1" a="1"/>
  <c r="AP21" i="7" s="1"/>
  <c r="AQ21" i="7" s="1" a="1"/>
  <c r="AQ21" i="7" s="1"/>
  <c r="AR21" i="7" s="1" a="1"/>
  <c r="AR21" i="7" s="1"/>
  <c r="AS21" i="7" s="1" a="1"/>
  <c r="AS21" i="7" s="1"/>
  <c r="AT21" i="7" s="1" a="1"/>
  <c r="AT21" i="7" s="1"/>
  <c r="AU21" i="7" s="1" a="1"/>
  <c r="AU21" i="7" s="1"/>
  <c r="AV21" i="7" s="1" a="1"/>
  <c r="AV21" i="7" s="1"/>
  <c r="AW21" i="7" s="1" a="1"/>
  <c r="AW21" i="7" s="1"/>
  <c r="AX21" i="7" s="1" a="1"/>
  <c r="AX21" i="7" s="1"/>
  <c r="AY21" i="7" s="1" a="1"/>
  <c r="AY21" i="7" s="1"/>
  <c r="AZ21" i="7" s="1" a="1"/>
  <c r="AZ21" i="7" s="1"/>
  <c r="BA21" i="7" s="1" a="1"/>
  <c r="BA21" i="7" s="1"/>
  <c r="BB21" i="7" s="1" a="1"/>
  <c r="BB21" i="7" s="1"/>
  <c r="BC21" i="7" s="1" a="1"/>
  <c r="BC21" i="7" s="1"/>
  <c r="BD21" i="7" s="1" a="1"/>
  <c r="BD21" i="7" s="1"/>
  <c r="BE21" i="7" s="1" a="1"/>
  <c r="BE21" i="7" s="1"/>
  <c r="BF21" i="7" s="1" a="1"/>
  <c r="BF21" i="7" s="1"/>
  <c r="BG21" i="7" s="1" a="1"/>
  <c r="BG21" i="7" s="1"/>
  <c r="BH21" i="7" s="1" a="1"/>
  <c r="BH21" i="7" s="1"/>
  <c r="BI21" i="7" s="1" a="1"/>
  <c r="BI21" i="7" s="1"/>
  <c r="BJ21" i="7" s="1" a="1"/>
  <c r="BJ21" i="7" s="1"/>
  <c r="BK21" i="7" s="1" a="1"/>
  <c r="BK21" i="7" s="1"/>
  <c r="BL21" i="7" s="1" a="1"/>
  <c r="BL21" i="7" s="1"/>
  <c r="BM21" i="7" s="1" a="1"/>
  <c r="BM21" i="7" s="1"/>
  <c r="S67" i="8"/>
  <c r="T6" i="8" a="1"/>
  <c r="T6" i="8" s="1"/>
  <c r="E22" i="8"/>
  <c r="V21" i="8" a="1"/>
  <c r="V21" i="8" s="1"/>
  <c r="W21" i="8" s="1" a="1"/>
  <c r="W21" i="8" s="1"/>
  <c r="X21" i="8" s="1" a="1"/>
  <c r="X21" i="8" s="1"/>
  <c r="Y21" i="8" s="1" a="1"/>
  <c r="Y21" i="8" s="1"/>
  <c r="Z21" i="8" s="1" a="1"/>
  <c r="Z21" i="8" s="1"/>
  <c r="AA21" i="8" s="1" a="1"/>
  <c r="AA21" i="8" s="1"/>
  <c r="AB21" i="8" s="1" a="1"/>
  <c r="AB21" i="8" s="1"/>
  <c r="AC21" i="8" s="1" a="1"/>
  <c r="AC21" i="8" s="1"/>
  <c r="AD21" i="8" s="1" a="1"/>
  <c r="AD21" i="8" s="1"/>
  <c r="AE21" i="8" s="1" a="1"/>
  <c r="AE21" i="8" s="1"/>
  <c r="AF21" i="8" s="1" a="1"/>
  <c r="AF21" i="8" s="1"/>
  <c r="AG21" i="8" s="1" a="1"/>
  <c r="AG21" i="8" s="1"/>
  <c r="AH21" i="8" s="1" a="1"/>
  <c r="AH21" i="8" s="1"/>
  <c r="AI21" i="8" s="1" a="1"/>
  <c r="AI21" i="8" s="1"/>
  <c r="AJ21" i="8" s="1" a="1"/>
  <c r="AJ21" i="8" s="1"/>
  <c r="AK21" i="8" s="1" a="1"/>
  <c r="AK21" i="8" s="1"/>
  <c r="AL21" i="8" s="1" a="1"/>
  <c r="AL21" i="8" s="1"/>
  <c r="AM21" i="8" s="1" a="1"/>
  <c r="AM21" i="8" s="1"/>
  <c r="AN21" i="8" s="1" a="1"/>
  <c r="AN21" i="8" s="1"/>
  <c r="AO21" i="8" s="1" a="1"/>
  <c r="AO21" i="8" s="1"/>
  <c r="AP21" i="8" s="1" a="1"/>
  <c r="AP21" i="8" s="1"/>
  <c r="AQ21" i="8" s="1" a="1"/>
  <c r="AQ21" i="8" s="1"/>
  <c r="AR21" i="8" s="1" a="1"/>
  <c r="AR21" i="8" s="1"/>
  <c r="AS21" i="8" s="1" a="1"/>
  <c r="AS21" i="8" s="1"/>
  <c r="AT21" i="8" s="1" a="1"/>
  <c r="AT21" i="8" s="1"/>
  <c r="AU21" i="8" s="1" a="1"/>
  <c r="AU21" i="8" s="1"/>
  <c r="AV21" i="8" s="1" a="1"/>
  <c r="AV21" i="8" s="1"/>
  <c r="AW21" i="8" s="1" a="1"/>
  <c r="AW21" i="8" s="1"/>
  <c r="AX21" i="8" s="1" a="1"/>
  <c r="AX21" i="8" s="1"/>
  <c r="AY21" i="8" s="1" a="1"/>
  <c r="AY21" i="8" s="1"/>
  <c r="AZ21" i="8" s="1" a="1"/>
  <c r="AZ21" i="8" s="1"/>
  <c r="BA21" i="8" s="1" a="1"/>
  <c r="BA21" i="8" s="1"/>
  <c r="BB21" i="8" s="1" a="1"/>
  <c r="BB21" i="8" s="1"/>
  <c r="BC21" i="8" s="1" a="1"/>
  <c r="BC21" i="8" s="1"/>
  <c r="BD21" i="8" s="1" a="1"/>
  <c r="BD21" i="8" s="1"/>
  <c r="BE21" i="8" s="1" a="1"/>
  <c r="BE21" i="8" s="1"/>
  <c r="BF21" i="8" s="1" a="1"/>
  <c r="BF21" i="8" s="1"/>
  <c r="BG21" i="8" s="1" a="1"/>
  <c r="BG21" i="8" s="1"/>
  <c r="BH21" i="8" s="1" a="1"/>
  <c r="BH21" i="8" s="1"/>
  <c r="BI21" i="8" s="1" a="1"/>
  <c r="BI21" i="8" s="1"/>
  <c r="BJ21" i="8" s="1" a="1"/>
  <c r="BJ21" i="8" s="1"/>
  <c r="BK21" i="8" s="1" a="1"/>
  <c r="BK21" i="8" s="1"/>
  <c r="BL21" i="8" s="1" a="1"/>
  <c r="BL21" i="8" s="1"/>
  <c r="BM21" i="8" s="1" a="1"/>
  <c r="BM21" i="8" s="1"/>
  <c r="S67" i="9"/>
  <c r="T6" i="9" a="1"/>
  <c r="T6" i="9" s="1"/>
  <c r="E22" i="9"/>
  <c r="V21" i="9" a="1"/>
  <c r="V21" i="9" s="1"/>
  <c r="W21" i="9" s="1" a="1"/>
  <c r="W21" i="9" s="1"/>
  <c r="X21" i="9" s="1" a="1"/>
  <c r="X21" i="9" s="1"/>
  <c r="Y21" i="9" s="1" a="1"/>
  <c r="Y21" i="9" s="1"/>
  <c r="Z21" i="9" s="1" a="1"/>
  <c r="Z21" i="9" s="1"/>
  <c r="AA21" i="9" s="1" a="1"/>
  <c r="AA21" i="9" s="1"/>
  <c r="AB21" i="9" s="1" a="1"/>
  <c r="AB21" i="9" s="1"/>
  <c r="AC21" i="9" s="1" a="1"/>
  <c r="AC21" i="9" s="1"/>
  <c r="AD21" i="9" s="1" a="1"/>
  <c r="AD21" i="9" s="1"/>
  <c r="AE21" i="9" s="1" a="1"/>
  <c r="AE21" i="9" s="1"/>
  <c r="AF21" i="9" s="1" a="1"/>
  <c r="AF21" i="9" s="1"/>
  <c r="AG21" i="9" s="1" a="1"/>
  <c r="AG21" i="9" s="1"/>
  <c r="AH21" i="9" s="1" a="1"/>
  <c r="AH21" i="9" s="1"/>
  <c r="AI21" i="9" s="1" a="1"/>
  <c r="AI21" i="9" s="1"/>
  <c r="AJ21" i="9" s="1" a="1"/>
  <c r="AJ21" i="9" s="1"/>
  <c r="AK21" i="9" s="1" a="1"/>
  <c r="AK21" i="9" s="1"/>
  <c r="AL21" i="9" s="1" a="1"/>
  <c r="AL21" i="9" s="1"/>
  <c r="AM21" i="9" s="1" a="1"/>
  <c r="AM21" i="9" s="1"/>
  <c r="AN21" i="9" s="1" a="1"/>
  <c r="AN21" i="9" s="1"/>
  <c r="AO21" i="9" s="1" a="1"/>
  <c r="AO21" i="9" s="1"/>
  <c r="AP21" i="9" s="1" a="1"/>
  <c r="AP21" i="9" s="1"/>
  <c r="AQ21" i="9" s="1" a="1"/>
  <c r="AQ21" i="9" s="1"/>
  <c r="AR21" i="9" s="1" a="1"/>
  <c r="AR21" i="9" s="1"/>
  <c r="AS21" i="9" s="1" a="1"/>
  <c r="AS21" i="9" s="1"/>
  <c r="AT21" i="9" s="1" a="1"/>
  <c r="AT21" i="9" s="1"/>
  <c r="AU21" i="9" s="1" a="1"/>
  <c r="AU21" i="9" s="1"/>
  <c r="AV21" i="9" s="1" a="1"/>
  <c r="AV21" i="9" s="1"/>
  <c r="AW21" i="9" s="1" a="1"/>
  <c r="AW21" i="9" s="1"/>
  <c r="AX21" i="9" s="1" a="1"/>
  <c r="AX21" i="9" s="1"/>
  <c r="AY21" i="9" s="1" a="1"/>
  <c r="AY21" i="9" s="1"/>
  <c r="AZ21" i="9" s="1" a="1"/>
  <c r="AZ21" i="9" s="1"/>
  <c r="BA21" i="9" s="1" a="1"/>
  <c r="BA21" i="9" s="1"/>
  <c r="BB21" i="9" s="1" a="1"/>
  <c r="BB21" i="9" s="1"/>
  <c r="BC21" i="9" s="1" a="1"/>
  <c r="BC21" i="9" s="1"/>
  <c r="BD21" i="9" s="1" a="1"/>
  <c r="BD21" i="9" s="1"/>
  <c r="BE21" i="9" s="1" a="1"/>
  <c r="BE21" i="9" s="1"/>
  <c r="BF21" i="9" s="1" a="1"/>
  <c r="BF21" i="9" s="1"/>
  <c r="BG21" i="9" s="1" a="1"/>
  <c r="BG21" i="9" s="1"/>
  <c r="BH21" i="9" s="1" a="1"/>
  <c r="BH21" i="9" s="1"/>
  <c r="BI21" i="9" s="1" a="1"/>
  <c r="BI21" i="9" s="1"/>
  <c r="BJ21" i="9" s="1" a="1"/>
  <c r="BJ21" i="9" s="1"/>
  <c r="BK21" i="9" s="1" a="1"/>
  <c r="BK21" i="9" s="1"/>
  <c r="BL21" i="9" s="1" a="1"/>
  <c r="BL21" i="9" s="1"/>
  <c r="BM21" i="9" s="1" a="1"/>
  <c r="BM21" i="9" s="1"/>
  <c r="S7" i="7" l="1" a="1"/>
  <c r="S7" i="7" s="1"/>
  <c r="R67" i="7"/>
  <c r="E23" i="9"/>
  <c r="W22" i="9" a="1"/>
  <c r="W22" i="9" s="1"/>
  <c r="X22" i="9" s="1" a="1"/>
  <c r="X22" i="9" s="1"/>
  <c r="Y22" i="9" s="1" a="1"/>
  <c r="Y22" i="9" s="1"/>
  <c r="Z22" i="9" s="1" a="1"/>
  <c r="Z22" i="9" s="1"/>
  <c r="AA22" i="9" s="1" a="1"/>
  <c r="AA22" i="9" s="1"/>
  <c r="AB22" i="9" s="1" a="1"/>
  <c r="AB22" i="9" s="1"/>
  <c r="AC22" i="9" s="1" a="1"/>
  <c r="AC22" i="9" s="1"/>
  <c r="AD22" i="9" s="1" a="1"/>
  <c r="AD22" i="9" s="1"/>
  <c r="AE22" i="9" s="1" a="1"/>
  <c r="AE22" i="9" s="1"/>
  <c r="AF22" i="9" s="1" a="1"/>
  <c r="AF22" i="9" s="1"/>
  <c r="AG22" i="9" s="1" a="1"/>
  <c r="AG22" i="9" s="1"/>
  <c r="AH22" i="9" s="1" a="1"/>
  <c r="AH22" i="9" s="1"/>
  <c r="AI22" i="9" s="1" a="1"/>
  <c r="AI22" i="9" s="1"/>
  <c r="AJ22" i="9" s="1" a="1"/>
  <c r="AJ22" i="9" s="1"/>
  <c r="AK22" i="9" s="1" a="1"/>
  <c r="AK22" i="9" s="1"/>
  <c r="AL22" i="9" s="1" a="1"/>
  <c r="AL22" i="9" s="1"/>
  <c r="AM22" i="9" s="1" a="1"/>
  <c r="AM22" i="9" s="1"/>
  <c r="AN22" i="9" s="1" a="1"/>
  <c r="AN22" i="9" s="1"/>
  <c r="AO22" i="9" s="1" a="1"/>
  <c r="AO22" i="9" s="1"/>
  <c r="AP22" i="9" s="1" a="1"/>
  <c r="AP22" i="9" s="1"/>
  <c r="AQ22" i="9" s="1" a="1"/>
  <c r="AQ22" i="9" s="1"/>
  <c r="AR22" i="9" s="1" a="1"/>
  <c r="AR22" i="9" s="1"/>
  <c r="AS22" i="9" s="1" a="1"/>
  <c r="AS22" i="9" s="1"/>
  <c r="AT22" i="9" s="1" a="1"/>
  <c r="AT22" i="9" s="1"/>
  <c r="AU22" i="9" s="1" a="1"/>
  <c r="AU22" i="9" s="1"/>
  <c r="AV22" i="9" s="1" a="1"/>
  <c r="AV22" i="9" s="1"/>
  <c r="AW22" i="9" s="1" a="1"/>
  <c r="AW22" i="9" s="1"/>
  <c r="AX22" i="9" s="1" a="1"/>
  <c r="AX22" i="9" s="1"/>
  <c r="AY22" i="9" s="1" a="1"/>
  <c r="AY22" i="9" s="1"/>
  <c r="AZ22" i="9" s="1" a="1"/>
  <c r="AZ22" i="9" s="1"/>
  <c r="BA22" i="9" s="1" a="1"/>
  <c r="BA22" i="9" s="1"/>
  <c r="BB22" i="9" s="1" a="1"/>
  <c r="BB22" i="9" s="1"/>
  <c r="BC22" i="9" s="1" a="1"/>
  <c r="BC22" i="9" s="1"/>
  <c r="BD22" i="9" s="1" a="1"/>
  <c r="BD22" i="9" s="1"/>
  <c r="BE22" i="9" s="1" a="1"/>
  <c r="BE22" i="9" s="1"/>
  <c r="BF22" i="9" s="1" a="1"/>
  <c r="BF22" i="9" s="1"/>
  <c r="BG22" i="9" s="1" a="1"/>
  <c r="BG22" i="9" s="1"/>
  <c r="BH22" i="9" s="1" a="1"/>
  <c r="BH22" i="9" s="1"/>
  <c r="BI22" i="9" s="1" a="1"/>
  <c r="BI22" i="9" s="1"/>
  <c r="BJ22" i="9" s="1" a="1"/>
  <c r="BJ22" i="9" s="1"/>
  <c r="BK22" i="9" s="1" a="1"/>
  <c r="BK22" i="9" s="1"/>
  <c r="BL22" i="9" s="1" a="1"/>
  <c r="BL22" i="9" s="1"/>
  <c r="BM22" i="9" s="1" a="1"/>
  <c r="BM22" i="9" s="1"/>
  <c r="T67" i="9"/>
  <c r="U6" i="9" a="1"/>
  <c r="U6" i="9" s="1"/>
  <c r="E23" i="8"/>
  <c r="W22" i="8" a="1"/>
  <c r="W22" i="8" s="1"/>
  <c r="X22" i="8" s="1" a="1"/>
  <c r="X22" i="8" s="1"/>
  <c r="Y22" i="8" s="1" a="1"/>
  <c r="Y22" i="8" s="1"/>
  <c r="Z22" i="8" s="1" a="1"/>
  <c r="Z22" i="8" s="1"/>
  <c r="AA22" i="8" s="1" a="1"/>
  <c r="AA22" i="8" s="1"/>
  <c r="AB22" i="8" s="1" a="1"/>
  <c r="AB22" i="8" s="1"/>
  <c r="AC22" i="8" s="1" a="1"/>
  <c r="AC22" i="8" s="1"/>
  <c r="AD22" i="8" s="1" a="1"/>
  <c r="AD22" i="8" s="1"/>
  <c r="AE22" i="8" s="1" a="1"/>
  <c r="AE22" i="8" s="1"/>
  <c r="AF22" i="8" s="1" a="1"/>
  <c r="AF22" i="8" s="1"/>
  <c r="AG22" i="8" s="1" a="1"/>
  <c r="AG22" i="8" s="1"/>
  <c r="AH22" i="8" s="1" a="1"/>
  <c r="AH22" i="8" s="1"/>
  <c r="AI22" i="8" s="1" a="1"/>
  <c r="AI22" i="8" s="1"/>
  <c r="AJ22" i="8" s="1" a="1"/>
  <c r="AJ22" i="8" s="1"/>
  <c r="AK22" i="8" s="1" a="1"/>
  <c r="AK22" i="8" s="1"/>
  <c r="AL22" i="8" s="1" a="1"/>
  <c r="AL22" i="8" s="1"/>
  <c r="AM22" i="8" s="1" a="1"/>
  <c r="AM22" i="8" s="1"/>
  <c r="AN22" i="8" s="1" a="1"/>
  <c r="AN22" i="8" s="1"/>
  <c r="AO22" i="8" s="1" a="1"/>
  <c r="AO22" i="8" s="1"/>
  <c r="AP22" i="8" s="1" a="1"/>
  <c r="AP22" i="8" s="1"/>
  <c r="AQ22" i="8" s="1" a="1"/>
  <c r="AQ22" i="8" s="1"/>
  <c r="AR22" i="8" s="1" a="1"/>
  <c r="AR22" i="8" s="1"/>
  <c r="AS22" i="8" s="1" a="1"/>
  <c r="AS22" i="8" s="1"/>
  <c r="AT22" i="8" s="1" a="1"/>
  <c r="AT22" i="8" s="1"/>
  <c r="AU22" i="8" s="1" a="1"/>
  <c r="AU22" i="8" s="1"/>
  <c r="AV22" i="8" s="1" a="1"/>
  <c r="AV22" i="8" s="1"/>
  <c r="AW22" i="8" s="1" a="1"/>
  <c r="AW22" i="8" s="1"/>
  <c r="AX22" i="8" s="1" a="1"/>
  <c r="AX22" i="8" s="1"/>
  <c r="AY22" i="8" s="1" a="1"/>
  <c r="AY22" i="8" s="1"/>
  <c r="AZ22" i="8" s="1" a="1"/>
  <c r="AZ22" i="8" s="1"/>
  <c r="BA22" i="8" s="1" a="1"/>
  <c r="BA22" i="8" s="1"/>
  <c r="BB22" i="8" s="1" a="1"/>
  <c r="BB22" i="8" s="1"/>
  <c r="BC22" i="8" s="1" a="1"/>
  <c r="BC22" i="8" s="1"/>
  <c r="BD22" i="8" s="1" a="1"/>
  <c r="BD22" i="8" s="1"/>
  <c r="BE22" i="8" s="1" a="1"/>
  <c r="BE22" i="8" s="1"/>
  <c r="BF22" i="8" s="1" a="1"/>
  <c r="BF22" i="8" s="1"/>
  <c r="BG22" i="8" s="1" a="1"/>
  <c r="BG22" i="8" s="1"/>
  <c r="BH22" i="8" s="1" a="1"/>
  <c r="BH22" i="8" s="1"/>
  <c r="BI22" i="8" s="1" a="1"/>
  <c r="BI22" i="8" s="1"/>
  <c r="BJ22" i="8" s="1" a="1"/>
  <c r="BJ22" i="8" s="1"/>
  <c r="BK22" i="8" s="1" a="1"/>
  <c r="BK22" i="8" s="1"/>
  <c r="BL22" i="8" s="1" a="1"/>
  <c r="BL22" i="8" s="1"/>
  <c r="BM22" i="8" s="1" a="1"/>
  <c r="BM22" i="8" s="1"/>
  <c r="T67" i="8"/>
  <c r="U6" i="8" a="1"/>
  <c r="U6" i="8" s="1"/>
  <c r="E23" i="7"/>
  <c r="W22" i="7" a="1"/>
  <c r="W22" i="7" s="1"/>
  <c r="X22" i="7" s="1" a="1"/>
  <c r="X22" i="7" s="1"/>
  <c r="Y22" i="7" s="1" a="1"/>
  <c r="Y22" i="7" s="1"/>
  <c r="Z22" i="7" s="1" a="1"/>
  <c r="Z22" i="7" s="1"/>
  <c r="AA22" i="7" s="1" a="1"/>
  <c r="AA22" i="7" s="1"/>
  <c r="AB22" i="7" s="1" a="1"/>
  <c r="AB22" i="7" s="1"/>
  <c r="AC22" i="7" s="1" a="1"/>
  <c r="AC22" i="7" s="1"/>
  <c r="AD22" i="7" s="1" a="1"/>
  <c r="AD22" i="7" s="1"/>
  <c r="AE22" i="7" s="1" a="1"/>
  <c r="AE22" i="7" s="1"/>
  <c r="AF22" i="7" s="1" a="1"/>
  <c r="AF22" i="7" s="1"/>
  <c r="AG22" i="7" s="1" a="1"/>
  <c r="AG22" i="7" s="1"/>
  <c r="AH22" i="7" s="1" a="1"/>
  <c r="AH22" i="7" s="1"/>
  <c r="AI22" i="7" s="1" a="1"/>
  <c r="AI22" i="7" s="1"/>
  <c r="AJ22" i="7" s="1" a="1"/>
  <c r="AJ22" i="7" s="1"/>
  <c r="AK22" i="7" s="1" a="1"/>
  <c r="AK22" i="7" s="1"/>
  <c r="AL22" i="7" s="1" a="1"/>
  <c r="AL22" i="7" s="1"/>
  <c r="AM22" i="7" s="1" a="1"/>
  <c r="AM22" i="7" s="1"/>
  <c r="AN22" i="7" s="1" a="1"/>
  <c r="AN22" i="7" s="1"/>
  <c r="AO22" i="7" s="1" a="1"/>
  <c r="AO22" i="7" s="1"/>
  <c r="AP22" i="7" s="1" a="1"/>
  <c r="AP22" i="7" s="1"/>
  <c r="AQ22" i="7" s="1" a="1"/>
  <c r="AQ22" i="7" s="1"/>
  <c r="AR22" i="7" s="1" a="1"/>
  <c r="AR22" i="7" s="1"/>
  <c r="AS22" i="7" s="1" a="1"/>
  <c r="AS22" i="7" s="1"/>
  <c r="AT22" i="7" s="1" a="1"/>
  <c r="AT22" i="7" s="1"/>
  <c r="AU22" i="7" s="1" a="1"/>
  <c r="AU22" i="7" s="1"/>
  <c r="AV22" i="7" s="1" a="1"/>
  <c r="AV22" i="7" s="1"/>
  <c r="AW22" i="7" s="1" a="1"/>
  <c r="AW22" i="7" s="1"/>
  <c r="AX22" i="7" s="1" a="1"/>
  <c r="AX22" i="7" s="1"/>
  <c r="AY22" i="7" s="1" a="1"/>
  <c r="AY22" i="7" s="1"/>
  <c r="AZ22" i="7" s="1" a="1"/>
  <c r="AZ22" i="7" s="1"/>
  <c r="BA22" i="7" s="1" a="1"/>
  <c r="BA22" i="7" s="1"/>
  <c r="BB22" i="7" s="1" a="1"/>
  <c r="BB22" i="7" s="1"/>
  <c r="BC22" i="7" s="1" a="1"/>
  <c r="BC22" i="7" s="1"/>
  <c r="BD22" i="7" s="1" a="1"/>
  <c r="BD22" i="7" s="1"/>
  <c r="BE22" i="7" s="1" a="1"/>
  <c r="BE22" i="7" s="1"/>
  <c r="BF22" i="7" s="1" a="1"/>
  <c r="BF22" i="7" s="1"/>
  <c r="BG22" i="7" s="1" a="1"/>
  <c r="BG22" i="7" s="1"/>
  <c r="BH22" i="7" s="1" a="1"/>
  <c r="BH22" i="7" s="1"/>
  <c r="BI22" i="7" s="1" a="1"/>
  <c r="BI22" i="7" s="1"/>
  <c r="BJ22" i="7" s="1" a="1"/>
  <c r="BJ22" i="7" s="1"/>
  <c r="BK22" i="7" s="1" a="1"/>
  <c r="BK22" i="7" s="1"/>
  <c r="BL22" i="7" s="1" a="1"/>
  <c r="BL22" i="7" s="1"/>
  <c r="BM22" i="7" s="1" a="1"/>
  <c r="BM22" i="7" s="1"/>
  <c r="U6" i="7" a="1"/>
  <c r="U6" i="7" s="1"/>
  <c r="T7" i="7" l="1" a="1"/>
  <c r="T7" i="7" s="1"/>
  <c r="S67" i="7"/>
  <c r="V6" i="7" a="1"/>
  <c r="V6" i="7" s="1"/>
  <c r="E24" i="7"/>
  <c r="X23" i="7" a="1"/>
  <c r="X23" i="7" s="1"/>
  <c r="Y23" i="7" s="1" a="1"/>
  <c r="Y23" i="7" s="1"/>
  <c r="Z23" i="7" s="1" a="1"/>
  <c r="Z23" i="7" s="1"/>
  <c r="AA23" i="7" s="1" a="1"/>
  <c r="AA23" i="7" s="1"/>
  <c r="AB23" i="7" s="1" a="1"/>
  <c r="AB23" i="7" s="1"/>
  <c r="AC23" i="7" s="1" a="1"/>
  <c r="AC23" i="7" s="1"/>
  <c r="AD23" i="7" s="1" a="1"/>
  <c r="AD23" i="7" s="1"/>
  <c r="AE23" i="7" s="1" a="1"/>
  <c r="AE23" i="7" s="1"/>
  <c r="AF23" i="7" s="1" a="1"/>
  <c r="AF23" i="7" s="1"/>
  <c r="AG23" i="7" s="1" a="1"/>
  <c r="AG23" i="7" s="1"/>
  <c r="AH23" i="7" s="1" a="1"/>
  <c r="AH23" i="7" s="1"/>
  <c r="AI23" i="7" s="1" a="1"/>
  <c r="AI23" i="7" s="1"/>
  <c r="AJ23" i="7" s="1" a="1"/>
  <c r="AJ23" i="7" s="1"/>
  <c r="AK23" i="7" s="1" a="1"/>
  <c r="AK23" i="7" s="1"/>
  <c r="AL23" i="7" s="1" a="1"/>
  <c r="AL23" i="7" s="1"/>
  <c r="AM23" i="7" s="1" a="1"/>
  <c r="AM23" i="7" s="1"/>
  <c r="AN23" i="7" s="1" a="1"/>
  <c r="AN23" i="7" s="1"/>
  <c r="AO23" i="7" s="1" a="1"/>
  <c r="AO23" i="7" s="1"/>
  <c r="AP23" i="7" s="1" a="1"/>
  <c r="AP23" i="7" s="1"/>
  <c r="AQ23" i="7" s="1" a="1"/>
  <c r="AQ23" i="7" s="1"/>
  <c r="AR23" i="7" s="1" a="1"/>
  <c r="AR23" i="7" s="1"/>
  <c r="AS23" i="7" s="1" a="1"/>
  <c r="AS23" i="7" s="1"/>
  <c r="AT23" i="7" s="1" a="1"/>
  <c r="AT23" i="7" s="1"/>
  <c r="AU23" i="7" s="1" a="1"/>
  <c r="AU23" i="7" s="1"/>
  <c r="AV23" i="7" s="1" a="1"/>
  <c r="AV23" i="7" s="1"/>
  <c r="AW23" i="7" s="1" a="1"/>
  <c r="AW23" i="7" s="1"/>
  <c r="AX23" i="7" s="1" a="1"/>
  <c r="AX23" i="7" s="1"/>
  <c r="AY23" i="7" s="1" a="1"/>
  <c r="AY23" i="7" s="1"/>
  <c r="AZ23" i="7" s="1" a="1"/>
  <c r="AZ23" i="7" s="1"/>
  <c r="BA23" i="7" s="1" a="1"/>
  <c r="BA23" i="7" s="1"/>
  <c r="BB23" i="7" s="1" a="1"/>
  <c r="BB23" i="7" s="1"/>
  <c r="BC23" i="7" s="1" a="1"/>
  <c r="BC23" i="7" s="1"/>
  <c r="BD23" i="7" s="1" a="1"/>
  <c r="BD23" i="7" s="1"/>
  <c r="BE23" i="7" s="1" a="1"/>
  <c r="BE23" i="7" s="1"/>
  <c r="BF23" i="7" s="1" a="1"/>
  <c r="BF23" i="7" s="1"/>
  <c r="BG23" i="7" s="1" a="1"/>
  <c r="BG23" i="7" s="1"/>
  <c r="BH23" i="7" s="1" a="1"/>
  <c r="BH23" i="7" s="1"/>
  <c r="BI23" i="7" s="1" a="1"/>
  <c r="BI23" i="7" s="1"/>
  <c r="BJ23" i="7" s="1" a="1"/>
  <c r="BJ23" i="7" s="1"/>
  <c r="BK23" i="7" s="1" a="1"/>
  <c r="BK23" i="7" s="1"/>
  <c r="BL23" i="7" s="1" a="1"/>
  <c r="BL23" i="7" s="1"/>
  <c r="BM23" i="7" s="1" a="1"/>
  <c r="BM23" i="7" s="1"/>
  <c r="U67" i="8"/>
  <c r="V6" i="8" a="1"/>
  <c r="V6" i="8" s="1"/>
  <c r="E24" i="8"/>
  <c r="X23" i="8" a="1"/>
  <c r="X23" i="8" s="1"/>
  <c r="Y23" i="8" s="1" a="1"/>
  <c r="Y23" i="8" s="1"/>
  <c r="Z23" i="8" s="1" a="1"/>
  <c r="Z23" i="8" s="1"/>
  <c r="AA23" i="8" s="1" a="1"/>
  <c r="AA23" i="8" s="1"/>
  <c r="AB23" i="8" s="1" a="1"/>
  <c r="AB23" i="8" s="1"/>
  <c r="AC23" i="8" s="1" a="1"/>
  <c r="AC23" i="8" s="1"/>
  <c r="AD23" i="8" s="1" a="1"/>
  <c r="AD23" i="8" s="1"/>
  <c r="AE23" i="8" s="1" a="1"/>
  <c r="AE23" i="8" s="1"/>
  <c r="AF23" i="8" s="1" a="1"/>
  <c r="AF23" i="8" s="1"/>
  <c r="AG23" i="8" s="1" a="1"/>
  <c r="AG23" i="8" s="1"/>
  <c r="AH23" i="8" s="1" a="1"/>
  <c r="AH23" i="8" s="1"/>
  <c r="AI23" i="8" s="1" a="1"/>
  <c r="AI23" i="8" s="1"/>
  <c r="AJ23" i="8" s="1" a="1"/>
  <c r="AJ23" i="8" s="1"/>
  <c r="AK23" i="8" s="1" a="1"/>
  <c r="AK23" i="8" s="1"/>
  <c r="AL23" i="8" s="1" a="1"/>
  <c r="AL23" i="8" s="1"/>
  <c r="AM23" i="8" s="1" a="1"/>
  <c r="AM23" i="8" s="1"/>
  <c r="AN23" i="8" s="1" a="1"/>
  <c r="AN23" i="8" s="1"/>
  <c r="AO23" i="8" s="1" a="1"/>
  <c r="AO23" i="8" s="1"/>
  <c r="AP23" i="8" s="1" a="1"/>
  <c r="AP23" i="8" s="1"/>
  <c r="AQ23" i="8" s="1" a="1"/>
  <c r="AQ23" i="8" s="1"/>
  <c r="AR23" i="8" s="1" a="1"/>
  <c r="AR23" i="8" s="1"/>
  <c r="AS23" i="8" s="1" a="1"/>
  <c r="AS23" i="8" s="1"/>
  <c r="AT23" i="8" s="1" a="1"/>
  <c r="AT23" i="8" s="1"/>
  <c r="AU23" i="8" s="1" a="1"/>
  <c r="AU23" i="8" s="1"/>
  <c r="AV23" i="8" s="1" a="1"/>
  <c r="AV23" i="8" s="1"/>
  <c r="AW23" i="8" s="1" a="1"/>
  <c r="AW23" i="8" s="1"/>
  <c r="AX23" i="8" s="1" a="1"/>
  <c r="AX23" i="8" s="1"/>
  <c r="AY23" i="8" s="1" a="1"/>
  <c r="AY23" i="8" s="1"/>
  <c r="AZ23" i="8" s="1" a="1"/>
  <c r="AZ23" i="8" s="1"/>
  <c r="BA23" i="8" s="1" a="1"/>
  <c r="BA23" i="8" s="1"/>
  <c r="BB23" i="8" s="1" a="1"/>
  <c r="BB23" i="8" s="1"/>
  <c r="BC23" i="8" s="1" a="1"/>
  <c r="BC23" i="8" s="1"/>
  <c r="BD23" i="8" s="1" a="1"/>
  <c r="BD23" i="8" s="1"/>
  <c r="BE23" i="8" s="1" a="1"/>
  <c r="BE23" i="8" s="1"/>
  <c r="BF23" i="8" s="1" a="1"/>
  <c r="BF23" i="8" s="1"/>
  <c r="BG23" i="8" s="1" a="1"/>
  <c r="BG23" i="8" s="1"/>
  <c r="BH23" i="8" s="1" a="1"/>
  <c r="BH23" i="8" s="1"/>
  <c r="BI23" i="8" s="1" a="1"/>
  <c r="BI23" i="8" s="1"/>
  <c r="BJ23" i="8" s="1" a="1"/>
  <c r="BJ23" i="8" s="1"/>
  <c r="BK23" i="8" s="1" a="1"/>
  <c r="BK23" i="8" s="1"/>
  <c r="BL23" i="8" s="1" a="1"/>
  <c r="BL23" i="8" s="1"/>
  <c r="BM23" i="8" s="1" a="1"/>
  <c r="BM23" i="8" s="1"/>
  <c r="U67" i="9"/>
  <c r="V6" i="9" a="1"/>
  <c r="V6" i="9" s="1"/>
  <c r="E24" i="9"/>
  <c r="X23" i="9" a="1"/>
  <c r="X23" i="9" s="1"/>
  <c r="Y23" i="9" s="1" a="1"/>
  <c r="Y23" i="9" s="1"/>
  <c r="Z23" i="9" s="1" a="1"/>
  <c r="Z23" i="9" s="1"/>
  <c r="AA23" i="9" s="1" a="1"/>
  <c r="AA23" i="9" s="1"/>
  <c r="AB23" i="9" s="1" a="1"/>
  <c r="AB23" i="9" s="1"/>
  <c r="AC23" i="9" s="1" a="1"/>
  <c r="AC23" i="9" s="1"/>
  <c r="AD23" i="9" s="1" a="1"/>
  <c r="AD23" i="9" s="1"/>
  <c r="AE23" i="9" s="1" a="1"/>
  <c r="AE23" i="9" s="1"/>
  <c r="AF23" i="9" s="1" a="1"/>
  <c r="AF23" i="9" s="1"/>
  <c r="AG23" i="9" s="1" a="1"/>
  <c r="AG23" i="9" s="1"/>
  <c r="AH23" i="9" s="1" a="1"/>
  <c r="AH23" i="9" s="1"/>
  <c r="AI23" i="9" s="1" a="1"/>
  <c r="AI23" i="9" s="1"/>
  <c r="AJ23" i="9" s="1" a="1"/>
  <c r="AJ23" i="9" s="1"/>
  <c r="AK23" i="9" s="1" a="1"/>
  <c r="AK23" i="9" s="1"/>
  <c r="AL23" i="9" s="1" a="1"/>
  <c r="AL23" i="9" s="1"/>
  <c r="AM23" i="9" s="1" a="1"/>
  <c r="AM23" i="9" s="1"/>
  <c r="AN23" i="9" s="1" a="1"/>
  <c r="AN23" i="9" s="1"/>
  <c r="AO23" i="9" s="1" a="1"/>
  <c r="AO23" i="9" s="1"/>
  <c r="AP23" i="9" s="1" a="1"/>
  <c r="AP23" i="9" s="1"/>
  <c r="AQ23" i="9" s="1" a="1"/>
  <c r="AQ23" i="9" s="1"/>
  <c r="AR23" i="9" s="1" a="1"/>
  <c r="AR23" i="9" s="1"/>
  <c r="AS23" i="9" s="1" a="1"/>
  <c r="AS23" i="9" s="1"/>
  <c r="AT23" i="9" s="1" a="1"/>
  <c r="AT23" i="9" s="1"/>
  <c r="AU23" i="9" s="1" a="1"/>
  <c r="AU23" i="9" s="1"/>
  <c r="AV23" i="9" s="1" a="1"/>
  <c r="AV23" i="9" s="1"/>
  <c r="AW23" i="9" s="1" a="1"/>
  <c r="AW23" i="9" s="1"/>
  <c r="AX23" i="9" s="1" a="1"/>
  <c r="AX23" i="9" s="1"/>
  <c r="AY23" i="9" s="1" a="1"/>
  <c r="AY23" i="9" s="1"/>
  <c r="AZ23" i="9" s="1" a="1"/>
  <c r="AZ23" i="9" s="1"/>
  <c r="BA23" i="9" s="1" a="1"/>
  <c r="BA23" i="9" s="1"/>
  <c r="BB23" i="9" s="1" a="1"/>
  <c r="BB23" i="9" s="1"/>
  <c r="BC23" i="9" s="1" a="1"/>
  <c r="BC23" i="9" s="1"/>
  <c r="BD23" i="9" s="1" a="1"/>
  <c r="BD23" i="9" s="1"/>
  <c r="BE23" i="9" s="1" a="1"/>
  <c r="BE23" i="9" s="1"/>
  <c r="BF23" i="9" s="1" a="1"/>
  <c r="BF23" i="9" s="1"/>
  <c r="BG23" i="9" s="1" a="1"/>
  <c r="BG23" i="9" s="1"/>
  <c r="BH23" i="9" s="1" a="1"/>
  <c r="BH23" i="9" s="1"/>
  <c r="BI23" i="9" s="1" a="1"/>
  <c r="BI23" i="9" s="1"/>
  <c r="BJ23" i="9" s="1" a="1"/>
  <c r="BJ23" i="9" s="1"/>
  <c r="BK23" i="9" s="1" a="1"/>
  <c r="BK23" i="9" s="1"/>
  <c r="BL23" i="9" s="1" a="1"/>
  <c r="BL23" i="9" s="1"/>
  <c r="BM23" i="9" s="1" a="1"/>
  <c r="BM23" i="9" s="1"/>
  <c r="U7" i="7" l="1" a="1"/>
  <c r="U7" i="7" s="1"/>
  <c r="T67" i="7"/>
  <c r="E25" i="9"/>
  <c r="Y24" i="9" a="1"/>
  <c r="Y24" i="9" s="1"/>
  <c r="Z24" i="9" s="1" a="1"/>
  <c r="Z24" i="9" s="1"/>
  <c r="AA24" i="9" s="1" a="1"/>
  <c r="AA24" i="9" s="1"/>
  <c r="AB24" i="9" s="1" a="1"/>
  <c r="AB24" i="9" s="1"/>
  <c r="AC24" i="9" s="1" a="1"/>
  <c r="AC24" i="9" s="1"/>
  <c r="AD24" i="9" s="1" a="1"/>
  <c r="AD24" i="9" s="1"/>
  <c r="AE24" i="9" s="1" a="1"/>
  <c r="AE24" i="9" s="1"/>
  <c r="AF24" i="9" s="1" a="1"/>
  <c r="AF24" i="9" s="1"/>
  <c r="AG24" i="9" s="1" a="1"/>
  <c r="AG24" i="9" s="1"/>
  <c r="AH24" i="9" s="1" a="1"/>
  <c r="AH24" i="9" s="1"/>
  <c r="AI24" i="9" s="1" a="1"/>
  <c r="AI24" i="9" s="1"/>
  <c r="AJ24" i="9" s="1" a="1"/>
  <c r="AJ24" i="9" s="1"/>
  <c r="AK24" i="9" s="1" a="1"/>
  <c r="AK24" i="9" s="1"/>
  <c r="AL24" i="9" s="1" a="1"/>
  <c r="AL24" i="9" s="1"/>
  <c r="AM24" i="9" s="1" a="1"/>
  <c r="AM24" i="9" s="1"/>
  <c r="AN24" i="9" s="1" a="1"/>
  <c r="AN24" i="9" s="1"/>
  <c r="AO24" i="9" s="1" a="1"/>
  <c r="AO24" i="9" s="1"/>
  <c r="AP24" i="9" s="1" a="1"/>
  <c r="AP24" i="9" s="1"/>
  <c r="AQ24" i="9" s="1" a="1"/>
  <c r="AQ24" i="9" s="1"/>
  <c r="AR24" i="9" s="1" a="1"/>
  <c r="AR24" i="9" s="1"/>
  <c r="AS24" i="9" s="1" a="1"/>
  <c r="AS24" i="9" s="1"/>
  <c r="AT24" i="9" s="1" a="1"/>
  <c r="AT24" i="9" s="1"/>
  <c r="AU24" i="9" s="1" a="1"/>
  <c r="AU24" i="9" s="1"/>
  <c r="AV24" i="9" s="1" a="1"/>
  <c r="AV24" i="9" s="1"/>
  <c r="AW24" i="9" s="1" a="1"/>
  <c r="AW24" i="9" s="1"/>
  <c r="AX24" i="9" s="1" a="1"/>
  <c r="AX24" i="9" s="1"/>
  <c r="AY24" i="9" s="1" a="1"/>
  <c r="AY24" i="9" s="1"/>
  <c r="AZ24" i="9" s="1" a="1"/>
  <c r="AZ24" i="9" s="1"/>
  <c r="BA24" i="9" s="1" a="1"/>
  <c r="BA24" i="9" s="1"/>
  <c r="BB24" i="9" s="1" a="1"/>
  <c r="BB24" i="9" s="1"/>
  <c r="BC24" i="9" s="1" a="1"/>
  <c r="BC24" i="9" s="1"/>
  <c r="BD24" i="9" s="1" a="1"/>
  <c r="BD24" i="9" s="1"/>
  <c r="BE24" i="9" s="1" a="1"/>
  <c r="BE24" i="9" s="1"/>
  <c r="BF24" i="9" s="1" a="1"/>
  <c r="BF24" i="9" s="1"/>
  <c r="BG24" i="9" s="1" a="1"/>
  <c r="BG24" i="9" s="1"/>
  <c r="BH24" i="9" s="1" a="1"/>
  <c r="BH24" i="9" s="1"/>
  <c r="BI24" i="9" s="1" a="1"/>
  <c r="BI24" i="9" s="1"/>
  <c r="BJ24" i="9" s="1" a="1"/>
  <c r="BJ24" i="9" s="1"/>
  <c r="BK24" i="9" s="1" a="1"/>
  <c r="BK24" i="9" s="1"/>
  <c r="BL24" i="9" s="1" a="1"/>
  <c r="BL24" i="9" s="1"/>
  <c r="BM24" i="9" s="1" a="1"/>
  <c r="BM24" i="9" s="1"/>
  <c r="V67" i="9"/>
  <c r="W6" i="9" a="1"/>
  <c r="W6" i="9" s="1"/>
  <c r="E25" i="8"/>
  <c r="Y24" i="8" a="1"/>
  <c r="Y24" i="8" s="1"/>
  <c r="Z24" i="8" s="1" a="1"/>
  <c r="Z24" i="8" s="1"/>
  <c r="AA24" i="8" s="1" a="1"/>
  <c r="AA24" i="8" s="1"/>
  <c r="AB24" i="8" s="1" a="1"/>
  <c r="AB24" i="8" s="1"/>
  <c r="AC24" i="8" s="1" a="1"/>
  <c r="AC24" i="8" s="1"/>
  <c r="AD24" i="8" s="1" a="1"/>
  <c r="AD24" i="8" s="1"/>
  <c r="AE24" i="8" s="1" a="1"/>
  <c r="AE24" i="8" s="1"/>
  <c r="AF24" i="8" s="1" a="1"/>
  <c r="AF24" i="8" s="1"/>
  <c r="AG24" i="8" s="1" a="1"/>
  <c r="AG24" i="8" s="1"/>
  <c r="AH24" i="8" s="1" a="1"/>
  <c r="AH24" i="8" s="1"/>
  <c r="AI24" i="8" s="1" a="1"/>
  <c r="AI24" i="8" s="1"/>
  <c r="AJ24" i="8" s="1" a="1"/>
  <c r="AJ24" i="8" s="1"/>
  <c r="AK24" i="8" s="1" a="1"/>
  <c r="AK24" i="8" s="1"/>
  <c r="AL24" i="8" s="1" a="1"/>
  <c r="AL24" i="8" s="1"/>
  <c r="AM24" i="8" s="1" a="1"/>
  <c r="AM24" i="8" s="1"/>
  <c r="AN24" i="8" s="1" a="1"/>
  <c r="AN24" i="8" s="1"/>
  <c r="AO24" i="8" s="1" a="1"/>
  <c r="AO24" i="8" s="1"/>
  <c r="AP24" i="8" s="1" a="1"/>
  <c r="AP24" i="8" s="1"/>
  <c r="AQ24" i="8" s="1" a="1"/>
  <c r="AQ24" i="8" s="1"/>
  <c r="AR24" i="8" s="1" a="1"/>
  <c r="AR24" i="8" s="1"/>
  <c r="AS24" i="8" s="1" a="1"/>
  <c r="AS24" i="8" s="1"/>
  <c r="AT24" i="8" s="1" a="1"/>
  <c r="AT24" i="8" s="1"/>
  <c r="AU24" i="8" s="1" a="1"/>
  <c r="AU24" i="8" s="1"/>
  <c r="AV24" i="8" s="1" a="1"/>
  <c r="AV24" i="8" s="1"/>
  <c r="AW24" i="8" s="1" a="1"/>
  <c r="AW24" i="8" s="1"/>
  <c r="AX24" i="8" s="1" a="1"/>
  <c r="AX24" i="8" s="1"/>
  <c r="AY24" i="8" s="1" a="1"/>
  <c r="AY24" i="8" s="1"/>
  <c r="AZ24" i="8" s="1" a="1"/>
  <c r="AZ24" i="8" s="1"/>
  <c r="BA24" i="8" s="1" a="1"/>
  <c r="BA24" i="8" s="1"/>
  <c r="BB24" i="8" s="1" a="1"/>
  <c r="BB24" i="8" s="1"/>
  <c r="BC24" i="8" s="1" a="1"/>
  <c r="BC24" i="8" s="1"/>
  <c r="BD24" i="8" s="1" a="1"/>
  <c r="BD24" i="8" s="1"/>
  <c r="BE24" i="8" s="1" a="1"/>
  <c r="BE24" i="8" s="1"/>
  <c r="BF24" i="8" s="1" a="1"/>
  <c r="BF24" i="8" s="1"/>
  <c r="BG24" i="8" s="1" a="1"/>
  <c r="BG24" i="8" s="1"/>
  <c r="BH24" i="8" s="1" a="1"/>
  <c r="BH24" i="8" s="1"/>
  <c r="BI24" i="8" s="1" a="1"/>
  <c r="BI24" i="8" s="1"/>
  <c r="BJ24" i="8" s="1" a="1"/>
  <c r="BJ24" i="8" s="1"/>
  <c r="BK24" i="8" s="1" a="1"/>
  <c r="BK24" i="8" s="1"/>
  <c r="BL24" i="8" s="1" a="1"/>
  <c r="BL24" i="8" s="1"/>
  <c r="BM24" i="8" s="1" a="1"/>
  <c r="BM24" i="8" s="1"/>
  <c r="V67" i="8"/>
  <c r="W6" i="8" a="1"/>
  <c r="W6" i="8" s="1"/>
  <c r="E25" i="7"/>
  <c r="Y24" i="7" a="1"/>
  <c r="Y24" i="7" s="1"/>
  <c r="Z24" i="7" s="1" a="1"/>
  <c r="Z24" i="7" s="1"/>
  <c r="AA24" i="7" s="1" a="1"/>
  <c r="AA24" i="7" s="1"/>
  <c r="AB24" i="7" s="1" a="1"/>
  <c r="AB24" i="7" s="1"/>
  <c r="AC24" i="7" s="1" a="1"/>
  <c r="AC24" i="7" s="1"/>
  <c r="AD24" i="7" s="1" a="1"/>
  <c r="AD24" i="7" s="1"/>
  <c r="AE24" i="7" s="1" a="1"/>
  <c r="AE24" i="7" s="1"/>
  <c r="AF24" i="7" s="1" a="1"/>
  <c r="AF24" i="7" s="1"/>
  <c r="AG24" i="7" s="1" a="1"/>
  <c r="AG24" i="7" s="1"/>
  <c r="AH24" i="7" s="1" a="1"/>
  <c r="AH24" i="7" s="1"/>
  <c r="AI24" i="7" s="1" a="1"/>
  <c r="AI24" i="7" s="1"/>
  <c r="AJ24" i="7" s="1" a="1"/>
  <c r="AJ24" i="7" s="1"/>
  <c r="AK24" i="7" s="1" a="1"/>
  <c r="AK24" i="7" s="1"/>
  <c r="AL24" i="7" s="1" a="1"/>
  <c r="AL24" i="7" s="1"/>
  <c r="AM24" i="7" s="1" a="1"/>
  <c r="AM24" i="7" s="1"/>
  <c r="AN24" i="7" s="1" a="1"/>
  <c r="AN24" i="7" s="1"/>
  <c r="AO24" i="7" s="1" a="1"/>
  <c r="AO24" i="7" s="1"/>
  <c r="AP24" i="7" s="1" a="1"/>
  <c r="AP24" i="7" s="1"/>
  <c r="AQ24" i="7" s="1" a="1"/>
  <c r="AQ24" i="7" s="1"/>
  <c r="AR24" i="7" s="1" a="1"/>
  <c r="AR24" i="7" s="1"/>
  <c r="AS24" i="7" s="1" a="1"/>
  <c r="AS24" i="7" s="1"/>
  <c r="AT24" i="7" s="1" a="1"/>
  <c r="AT24" i="7" s="1"/>
  <c r="AU24" i="7" s="1" a="1"/>
  <c r="AU24" i="7" s="1"/>
  <c r="AV24" i="7" s="1" a="1"/>
  <c r="AV24" i="7" s="1"/>
  <c r="AW24" i="7" s="1" a="1"/>
  <c r="AW24" i="7" s="1"/>
  <c r="AX24" i="7" s="1" a="1"/>
  <c r="AX24" i="7" s="1"/>
  <c r="AY24" i="7" s="1" a="1"/>
  <c r="AY24" i="7" s="1"/>
  <c r="AZ24" i="7" s="1" a="1"/>
  <c r="AZ24" i="7" s="1"/>
  <c r="BA24" i="7" s="1" a="1"/>
  <c r="BA24" i="7" s="1"/>
  <c r="BB24" i="7" s="1" a="1"/>
  <c r="BB24" i="7" s="1"/>
  <c r="BC24" i="7" s="1" a="1"/>
  <c r="BC24" i="7" s="1"/>
  <c r="BD24" i="7" s="1" a="1"/>
  <c r="BD24" i="7" s="1"/>
  <c r="BE24" i="7" s="1" a="1"/>
  <c r="BE24" i="7" s="1"/>
  <c r="BF24" i="7" s="1" a="1"/>
  <c r="BF24" i="7" s="1"/>
  <c r="BG24" i="7" s="1" a="1"/>
  <c r="BG24" i="7" s="1"/>
  <c r="BH24" i="7" s="1" a="1"/>
  <c r="BH24" i="7" s="1"/>
  <c r="BI24" i="7" s="1" a="1"/>
  <c r="BI24" i="7" s="1"/>
  <c r="BJ24" i="7" s="1" a="1"/>
  <c r="BJ24" i="7" s="1"/>
  <c r="BK24" i="7" s="1" a="1"/>
  <c r="BK24" i="7" s="1"/>
  <c r="BL24" i="7" s="1" a="1"/>
  <c r="BL24" i="7" s="1"/>
  <c r="BM24" i="7" s="1" a="1"/>
  <c r="BM24" i="7" s="1"/>
  <c r="W6" i="7" a="1"/>
  <c r="W6" i="7" s="1"/>
  <c r="V7" i="7" l="1" a="1"/>
  <c r="V7" i="7" s="1"/>
  <c r="U67" i="7"/>
  <c r="X6" i="7" a="1"/>
  <c r="X6" i="7" s="1"/>
  <c r="E26" i="7"/>
  <c r="Z25" i="7" a="1"/>
  <c r="Z25" i="7" s="1"/>
  <c r="AA25" i="7" s="1" a="1"/>
  <c r="AA25" i="7" s="1"/>
  <c r="AB25" i="7" s="1" a="1"/>
  <c r="AB25" i="7" s="1"/>
  <c r="AC25" i="7" s="1" a="1"/>
  <c r="AC25" i="7" s="1"/>
  <c r="AD25" i="7" s="1" a="1"/>
  <c r="AD25" i="7" s="1"/>
  <c r="AE25" i="7" s="1" a="1"/>
  <c r="AE25" i="7" s="1"/>
  <c r="AF25" i="7" s="1" a="1"/>
  <c r="AF25" i="7" s="1"/>
  <c r="AG25" i="7" s="1" a="1"/>
  <c r="AG25" i="7" s="1"/>
  <c r="AH25" i="7" s="1" a="1"/>
  <c r="AH25" i="7" s="1"/>
  <c r="AI25" i="7" s="1" a="1"/>
  <c r="AI25" i="7" s="1"/>
  <c r="AJ25" i="7" s="1" a="1"/>
  <c r="AJ25" i="7" s="1"/>
  <c r="AK25" i="7" s="1" a="1"/>
  <c r="AK25" i="7" s="1"/>
  <c r="AL25" i="7" s="1" a="1"/>
  <c r="AL25" i="7" s="1"/>
  <c r="AM25" i="7" s="1" a="1"/>
  <c r="AM25" i="7" s="1"/>
  <c r="AN25" i="7" s="1" a="1"/>
  <c r="AN25" i="7" s="1"/>
  <c r="AO25" i="7" s="1" a="1"/>
  <c r="AO25" i="7" s="1"/>
  <c r="AP25" i="7" s="1" a="1"/>
  <c r="AP25" i="7" s="1"/>
  <c r="AQ25" i="7" s="1" a="1"/>
  <c r="AQ25" i="7" s="1"/>
  <c r="AR25" i="7" s="1" a="1"/>
  <c r="AR25" i="7" s="1"/>
  <c r="AS25" i="7" s="1" a="1"/>
  <c r="AS25" i="7" s="1"/>
  <c r="AT25" i="7" s="1" a="1"/>
  <c r="AT25" i="7" s="1"/>
  <c r="AU25" i="7" s="1" a="1"/>
  <c r="AU25" i="7" s="1"/>
  <c r="AV25" i="7" s="1" a="1"/>
  <c r="AV25" i="7" s="1"/>
  <c r="AW25" i="7" s="1" a="1"/>
  <c r="AW25" i="7" s="1"/>
  <c r="AX25" i="7" s="1" a="1"/>
  <c r="AX25" i="7" s="1"/>
  <c r="AY25" i="7" s="1" a="1"/>
  <c r="AY25" i="7" s="1"/>
  <c r="AZ25" i="7" s="1" a="1"/>
  <c r="AZ25" i="7" s="1"/>
  <c r="BA25" i="7" s="1" a="1"/>
  <c r="BA25" i="7" s="1"/>
  <c r="BB25" i="7" s="1" a="1"/>
  <c r="BB25" i="7" s="1"/>
  <c r="BC25" i="7" s="1" a="1"/>
  <c r="BC25" i="7" s="1"/>
  <c r="BD25" i="7" s="1" a="1"/>
  <c r="BD25" i="7" s="1"/>
  <c r="BE25" i="7" s="1" a="1"/>
  <c r="BE25" i="7" s="1"/>
  <c r="BF25" i="7" s="1" a="1"/>
  <c r="BF25" i="7" s="1"/>
  <c r="BG25" i="7" s="1" a="1"/>
  <c r="BG25" i="7" s="1"/>
  <c r="BH25" i="7" s="1" a="1"/>
  <c r="BH25" i="7" s="1"/>
  <c r="BI25" i="7" s="1" a="1"/>
  <c r="BI25" i="7" s="1"/>
  <c r="BJ25" i="7" s="1" a="1"/>
  <c r="BJ25" i="7" s="1"/>
  <c r="BK25" i="7" s="1" a="1"/>
  <c r="BK25" i="7" s="1"/>
  <c r="BL25" i="7" s="1" a="1"/>
  <c r="BL25" i="7" s="1"/>
  <c r="BM25" i="7" s="1" a="1"/>
  <c r="BM25" i="7" s="1"/>
  <c r="W67" i="8"/>
  <c r="X6" i="8" a="1"/>
  <c r="X6" i="8" s="1"/>
  <c r="E26" i="8"/>
  <c r="Z25" i="8" a="1"/>
  <c r="Z25" i="8" s="1"/>
  <c r="AA25" i="8" s="1" a="1"/>
  <c r="AA25" i="8" s="1"/>
  <c r="AB25" i="8" s="1" a="1"/>
  <c r="AB25" i="8" s="1"/>
  <c r="AC25" i="8" s="1" a="1"/>
  <c r="AC25" i="8" s="1"/>
  <c r="AD25" i="8" s="1" a="1"/>
  <c r="AD25" i="8" s="1"/>
  <c r="AE25" i="8" s="1" a="1"/>
  <c r="AE25" i="8" s="1"/>
  <c r="AF25" i="8" s="1" a="1"/>
  <c r="AF25" i="8" s="1"/>
  <c r="AG25" i="8" s="1" a="1"/>
  <c r="AG25" i="8" s="1"/>
  <c r="AH25" i="8" s="1" a="1"/>
  <c r="AH25" i="8" s="1"/>
  <c r="AI25" i="8" s="1" a="1"/>
  <c r="AI25" i="8" s="1"/>
  <c r="AJ25" i="8" s="1" a="1"/>
  <c r="AJ25" i="8" s="1"/>
  <c r="AK25" i="8" s="1" a="1"/>
  <c r="AK25" i="8" s="1"/>
  <c r="AL25" i="8" s="1" a="1"/>
  <c r="AL25" i="8" s="1"/>
  <c r="AM25" i="8" s="1" a="1"/>
  <c r="AM25" i="8" s="1"/>
  <c r="AN25" i="8" s="1" a="1"/>
  <c r="AN25" i="8" s="1"/>
  <c r="AO25" i="8" s="1" a="1"/>
  <c r="AO25" i="8" s="1"/>
  <c r="AP25" i="8" s="1" a="1"/>
  <c r="AP25" i="8" s="1"/>
  <c r="AQ25" i="8" s="1" a="1"/>
  <c r="AQ25" i="8" s="1"/>
  <c r="AR25" i="8" s="1" a="1"/>
  <c r="AR25" i="8" s="1"/>
  <c r="AS25" i="8" s="1" a="1"/>
  <c r="AS25" i="8" s="1"/>
  <c r="AT25" i="8" s="1" a="1"/>
  <c r="AT25" i="8" s="1"/>
  <c r="AU25" i="8" s="1" a="1"/>
  <c r="AU25" i="8" s="1"/>
  <c r="AV25" i="8" s="1" a="1"/>
  <c r="AV25" i="8" s="1"/>
  <c r="AW25" i="8" s="1" a="1"/>
  <c r="AW25" i="8" s="1"/>
  <c r="AX25" i="8" s="1" a="1"/>
  <c r="AX25" i="8" s="1"/>
  <c r="AY25" i="8" s="1" a="1"/>
  <c r="AY25" i="8" s="1"/>
  <c r="AZ25" i="8" s="1" a="1"/>
  <c r="AZ25" i="8" s="1"/>
  <c r="BA25" i="8" s="1" a="1"/>
  <c r="BA25" i="8" s="1"/>
  <c r="BB25" i="8" s="1" a="1"/>
  <c r="BB25" i="8" s="1"/>
  <c r="BC25" i="8" s="1" a="1"/>
  <c r="BC25" i="8" s="1"/>
  <c r="BD25" i="8" s="1" a="1"/>
  <c r="BD25" i="8" s="1"/>
  <c r="BE25" i="8" s="1" a="1"/>
  <c r="BE25" i="8" s="1"/>
  <c r="BF25" i="8" s="1" a="1"/>
  <c r="BF25" i="8" s="1"/>
  <c r="BG25" i="8" s="1" a="1"/>
  <c r="BG25" i="8" s="1"/>
  <c r="BH25" i="8" s="1" a="1"/>
  <c r="BH25" i="8" s="1"/>
  <c r="BI25" i="8" s="1" a="1"/>
  <c r="BI25" i="8" s="1"/>
  <c r="BJ25" i="8" s="1" a="1"/>
  <c r="BJ25" i="8" s="1"/>
  <c r="BK25" i="8" s="1" a="1"/>
  <c r="BK25" i="8" s="1"/>
  <c r="BL25" i="8" s="1" a="1"/>
  <c r="BL25" i="8" s="1"/>
  <c r="BM25" i="8" s="1" a="1"/>
  <c r="BM25" i="8" s="1"/>
  <c r="W67" i="9"/>
  <c r="X6" i="9" a="1"/>
  <c r="X6" i="9" s="1"/>
  <c r="E26" i="9"/>
  <c r="Z25" i="9" a="1"/>
  <c r="Z25" i="9" s="1"/>
  <c r="AA25" i="9" s="1" a="1"/>
  <c r="AA25" i="9" s="1"/>
  <c r="AB25" i="9" s="1" a="1"/>
  <c r="AB25" i="9" s="1"/>
  <c r="AC25" i="9" s="1" a="1"/>
  <c r="AC25" i="9" s="1"/>
  <c r="AD25" i="9" s="1" a="1"/>
  <c r="AD25" i="9" s="1"/>
  <c r="AE25" i="9" s="1" a="1"/>
  <c r="AE25" i="9" s="1"/>
  <c r="AF25" i="9" s="1" a="1"/>
  <c r="AF25" i="9" s="1"/>
  <c r="AG25" i="9" s="1" a="1"/>
  <c r="AG25" i="9" s="1"/>
  <c r="AH25" i="9" s="1" a="1"/>
  <c r="AH25" i="9" s="1"/>
  <c r="AI25" i="9" s="1" a="1"/>
  <c r="AI25" i="9" s="1"/>
  <c r="AJ25" i="9" s="1" a="1"/>
  <c r="AJ25" i="9" s="1"/>
  <c r="AK25" i="9" s="1" a="1"/>
  <c r="AK25" i="9" s="1"/>
  <c r="AL25" i="9" s="1" a="1"/>
  <c r="AL25" i="9" s="1"/>
  <c r="AM25" i="9" s="1" a="1"/>
  <c r="AM25" i="9" s="1"/>
  <c r="AN25" i="9" s="1" a="1"/>
  <c r="AN25" i="9" s="1"/>
  <c r="AO25" i="9" s="1" a="1"/>
  <c r="AO25" i="9" s="1"/>
  <c r="AP25" i="9" s="1" a="1"/>
  <c r="AP25" i="9" s="1"/>
  <c r="AQ25" i="9" s="1" a="1"/>
  <c r="AQ25" i="9" s="1"/>
  <c r="AR25" i="9" s="1" a="1"/>
  <c r="AR25" i="9" s="1"/>
  <c r="AS25" i="9" s="1" a="1"/>
  <c r="AS25" i="9" s="1"/>
  <c r="AT25" i="9" s="1" a="1"/>
  <c r="AT25" i="9" s="1"/>
  <c r="AU25" i="9" s="1" a="1"/>
  <c r="AU25" i="9" s="1"/>
  <c r="AV25" i="9" s="1" a="1"/>
  <c r="AV25" i="9" s="1"/>
  <c r="AW25" i="9" s="1" a="1"/>
  <c r="AW25" i="9" s="1"/>
  <c r="AX25" i="9" s="1" a="1"/>
  <c r="AX25" i="9" s="1"/>
  <c r="AY25" i="9" s="1" a="1"/>
  <c r="AY25" i="9" s="1"/>
  <c r="AZ25" i="9" s="1" a="1"/>
  <c r="AZ25" i="9" s="1"/>
  <c r="BA25" i="9" s="1" a="1"/>
  <c r="BA25" i="9" s="1"/>
  <c r="BB25" i="9" s="1" a="1"/>
  <c r="BB25" i="9" s="1"/>
  <c r="BC25" i="9" s="1" a="1"/>
  <c r="BC25" i="9" s="1"/>
  <c r="BD25" i="9" s="1" a="1"/>
  <c r="BD25" i="9" s="1"/>
  <c r="BE25" i="9" s="1" a="1"/>
  <c r="BE25" i="9" s="1"/>
  <c r="BF25" i="9" s="1" a="1"/>
  <c r="BF25" i="9" s="1"/>
  <c r="BG25" i="9" s="1" a="1"/>
  <c r="BG25" i="9" s="1"/>
  <c r="BH25" i="9" s="1" a="1"/>
  <c r="BH25" i="9" s="1"/>
  <c r="BI25" i="9" s="1" a="1"/>
  <c r="BI25" i="9" s="1"/>
  <c r="BJ25" i="9" s="1" a="1"/>
  <c r="BJ25" i="9" s="1"/>
  <c r="BK25" i="9" s="1" a="1"/>
  <c r="BK25" i="9" s="1"/>
  <c r="BL25" i="9" s="1" a="1"/>
  <c r="BL25" i="9" s="1"/>
  <c r="BM25" i="9" s="1" a="1"/>
  <c r="BM25" i="9" s="1"/>
  <c r="W7" i="7" l="1" a="1"/>
  <c r="W7" i="7" s="1"/>
  <c r="V67" i="7"/>
  <c r="E27" i="9"/>
  <c r="AA26" i="9" a="1"/>
  <c r="AA26" i="9" s="1"/>
  <c r="AB26" i="9" s="1" a="1"/>
  <c r="AB26" i="9" s="1"/>
  <c r="AC26" i="9" s="1" a="1"/>
  <c r="AC26" i="9" s="1"/>
  <c r="AD26" i="9" s="1" a="1"/>
  <c r="AD26" i="9" s="1"/>
  <c r="AE26" i="9" s="1" a="1"/>
  <c r="AE26" i="9" s="1"/>
  <c r="AF26" i="9" s="1" a="1"/>
  <c r="AF26" i="9" s="1"/>
  <c r="AG26" i="9" s="1" a="1"/>
  <c r="AG26" i="9" s="1"/>
  <c r="AH26" i="9" s="1" a="1"/>
  <c r="AH26" i="9" s="1"/>
  <c r="AI26" i="9" s="1" a="1"/>
  <c r="AI26" i="9" s="1"/>
  <c r="AJ26" i="9" s="1" a="1"/>
  <c r="AJ26" i="9" s="1"/>
  <c r="AK26" i="9" s="1" a="1"/>
  <c r="AK26" i="9" s="1"/>
  <c r="AL26" i="9" s="1" a="1"/>
  <c r="AL26" i="9" s="1"/>
  <c r="AM26" i="9" s="1" a="1"/>
  <c r="AM26" i="9" s="1"/>
  <c r="AN26" i="9" s="1" a="1"/>
  <c r="AN26" i="9" s="1"/>
  <c r="AO26" i="9" s="1" a="1"/>
  <c r="AO26" i="9" s="1"/>
  <c r="AP26" i="9" s="1" a="1"/>
  <c r="AP26" i="9" s="1"/>
  <c r="AQ26" i="9" s="1" a="1"/>
  <c r="AQ26" i="9" s="1"/>
  <c r="AR26" i="9" s="1" a="1"/>
  <c r="AR26" i="9" s="1"/>
  <c r="AS26" i="9" s="1" a="1"/>
  <c r="AS26" i="9" s="1"/>
  <c r="AT26" i="9" s="1" a="1"/>
  <c r="AT26" i="9" s="1"/>
  <c r="AU26" i="9" s="1" a="1"/>
  <c r="AU26" i="9" s="1"/>
  <c r="AV26" i="9" s="1" a="1"/>
  <c r="AV26" i="9" s="1"/>
  <c r="AW26" i="9" s="1" a="1"/>
  <c r="AW26" i="9" s="1"/>
  <c r="AX26" i="9" s="1" a="1"/>
  <c r="AX26" i="9" s="1"/>
  <c r="AY26" i="9" s="1" a="1"/>
  <c r="AY26" i="9" s="1"/>
  <c r="AZ26" i="9" s="1" a="1"/>
  <c r="AZ26" i="9" s="1"/>
  <c r="BA26" i="9" s="1" a="1"/>
  <c r="BA26" i="9" s="1"/>
  <c r="BB26" i="9" s="1" a="1"/>
  <c r="BB26" i="9" s="1"/>
  <c r="BC26" i="9" s="1" a="1"/>
  <c r="BC26" i="9" s="1"/>
  <c r="BD26" i="9" s="1" a="1"/>
  <c r="BD26" i="9" s="1"/>
  <c r="BE26" i="9" s="1" a="1"/>
  <c r="BE26" i="9" s="1"/>
  <c r="BF26" i="9" s="1" a="1"/>
  <c r="BF26" i="9" s="1"/>
  <c r="BG26" i="9" s="1" a="1"/>
  <c r="BG26" i="9" s="1"/>
  <c r="BH26" i="9" s="1" a="1"/>
  <c r="BH26" i="9" s="1"/>
  <c r="BI26" i="9" s="1" a="1"/>
  <c r="BI26" i="9" s="1"/>
  <c r="BJ26" i="9" s="1" a="1"/>
  <c r="BJ26" i="9" s="1"/>
  <c r="BK26" i="9" s="1" a="1"/>
  <c r="BK26" i="9" s="1"/>
  <c r="BL26" i="9" s="1" a="1"/>
  <c r="BL26" i="9" s="1"/>
  <c r="BM26" i="9" s="1" a="1"/>
  <c r="BM26" i="9" s="1"/>
  <c r="X67" i="9"/>
  <c r="Y6" i="9" a="1"/>
  <c r="Y6" i="9" s="1"/>
  <c r="E27" i="8"/>
  <c r="AA26" i="8" a="1"/>
  <c r="AA26" i="8" s="1"/>
  <c r="AB26" i="8" s="1" a="1"/>
  <c r="AB26" i="8" s="1"/>
  <c r="AC26" i="8" s="1" a="1"/>
  <c r="AC26" i="8" s="1"/>
  <c r="AD26" i="8" s="1" a="1"/>
  <c r="AD26" i="8" s="1"/>
  <c r="AE26" i="8" s="1" a="1"/>
  <c r="AE26" i="8" s="1"/>
  <c r="AF26" i="8" s="1" a="1"/>
  <c r="AF26" i="8" s="1"/>
  <c r="AG26" i="8" s="1" a="1"/>
  <c r="AG26" i="8" s="1"/>
  <c r="AH26" i="8" s="1" a="1"/>
  <c r="AH26" i="8" s="1"/>
  <c r="AI26" i="8" s="1" a="1"/>
  <c r="AI26" i="8" s="1"/>
  <c r="AJ26" i="8" s="1" a="1"/>
  <c r="AJ26" i="8" s="1"/>
  <c r="AK26" i="8" s="1" a="1"/>
  <c r="AK26" i="8" s="1"/>
  <c r="AL26" i="8" s="1" a="1"/>
  <c r="AL26" i="8" s="1"/>
  <c r="AM26" i="8" s="1" a="1"/>
  <c r="AM26" i="8" s="1"/>
  <c r="AN26" i="8" s="1" a="1"/>
  <c r="AN26" i="8" s="1"/>
  <c r="AO26" i="8" s="1" a="1"/>
  <c r="AO26" i="8" s="1"/>
  <c r="AP26" i="8" s="1" a="1"/>
  <c r="AP26" i="8" s="1"/>
  <c r="AQ26" i="8" s="1" a="1"/>
  <c r="AQ26" i="8" s="1"/>
  <c r="AR26" i="8" s="1" a="1"/>
  <c r="AR26" i="8" s="1"/>
  <c r="AS26" i="8" s="1" a="1"/>
  <c r="AS26" i="8" s="1"/>
  <c r="AT26" i="8" s="1" a="1"/>
  <c r="AT26" i="8" s="1"/>
  <c r="AU26" i="8" s="1" a="1"/>
  <c r="AU26" i="8" s="1"/>
  <c r="AV26" i="8" s="1" a="1"/>
  <c r="AV26" i="8" s="1"/>
  <c r="AW26" i="8" s="1" a="1"/>
  <c r="AW26" i="8" s="1"/>
  <c r="AX26" i="8" s="1" a="1"/>
  <c r="AX26" i="8" s="1"/>
  <c r="AY26" i="8" s="1" a="1"/>
  <c r="AY26" i="8" s="1"/>
  <c r="AZ26" i="8" s="1" a="1"/>
  <c r="AZ26" i="8" s="1"/>
  <c r="BA26" i="8" s="1" a="1"/>
  <c r="BA26" i="8" s="1"/>
  <c r="BB26" i="8" s="1" a="1"/>
  <c r="BB26" i="8" s="1"/>
  <c r="BC26" i="8" s="1" a="1"/>
  <c r="BC26" i="8" s="1"/>
  <c r="BD26" i="8" s="1" a="1"/>
  <c r="BD26" i="8" s="1"/>
  <c r="BE26" i="8" s="1" a="1"/>
  <c r="BE26" i="8" s="1"/>
  <c r="BF26" i="8" s="1" a="1"/>
  <c r="BF26" i="8" s="1"/>
  <c r="BG26" i="8" s="1" a="1"/>
  <c r="BG26" i="8" s="1"/>
  <c r="BH26" i="8" s="1" a="1"/>
  <c r="BH26" i="8" s="1"/>
  <c r="BI26" i="8" s="1" a="1"/>
  <c r="BI26" i="8" s="1"/>
  <c r="BJ26" i="8" s="1" a="1"/>
  <c r="BJ26" i="8" s="1"/>
  <c r="BK26" i="8" s="1" a="1"/>
  <c r="BK26" i="8" s="1"/>
  <c r="BL26" i="8" s="1" a="1"/>
  <c r="BL26" i="8" s="1"/>
  <c r="BM26" i="8" s="1" a="1"/>
  <c r="BM26" i="8" s="1"/>
  <c r="X67" i="8"/>
  <c r="Y6" i="8" a="1"/>
  <c r="Y6" i="8" s="1"/>
  <c r="E27" i="7"/>
  <c r="AA26" i="7" a="1"/>
  <c r="AA26" i="7" s="1"/>
  <c r="AB26" i="7" s="1" a="1"/>
  <c r="AB26" i="7" s="1"/>
  <c r="AC26" i="7" s="1" a="1"/>
  <c r="AC26" i="7" s="1"/>
  <c r="AD26" i="7" s="1" a="1"/>
  <c r="AD26" i="7" s="1"/>
  <c r="AE26" i="7" s="1" a="1"/>
  <c r="AE26" i="7" s="1"/>
  <c r="AF26" i="7" s="1" a="1"/>
  <c r="AF26" i="7" s="1"/>
  <c r="AG26" i="7" s="1" a="1"/>
  <c r="AG26" i="7" s="1"/>
  <c r="AH26" i="7" s="1" a="1"/>
  <c r="AH26" i="7" s="1"/>
  <c r="AI26" i="7" s="1" a="1"/>
  <c r="AI26" i="7" s="1"/>
  <c r="AJ26" i="7" s="1" a="1"/>
  <c r="AJ26" i="7" s="1"/>
  <c r="AK26" i="7" s="1" a="1"/>
  <c r="AK26" i="7" s="1"/>
  <c r="AL26" i="7" s="1" a="1"/>
  <c r="AL26" i="7" s="1"/>
  <c r="AM26" i="7" s="1" a="1"/>
  <c r="AM26" i="7" s="1"/>
  <c r="AN26" i="7" s="1" a="1"/>
  <c r="AN26" i="7" s="1"/>
  <c r="AO26" i="7" s="1" a="1"/>
  <c r="AO26" i="7" s="1"/>
  <c r="AP26" i="7" s="1" a="1"/>
  <c r="AP26" i="7" s="1"/>
  <c r="AQ26" i="7" s="1" a="1"/>
  <c r="AQ26" i="7" s="1"/>
  <c r="AR26" i="7" s="1" a="1"/>
  <c r="AR26" i="7" s="1"/>
  <c r="AS26" i="7" s="1" a="1"/>
  <c r="AS26" i="7" s="1"/>
  <c r="AT26" i="7" s="1" a="1"/>
  <c r="AT26" i="7" s="1"/>
  <c r="AU26" i="7" s="1" a="1"/>
  <c r="AU26" i="7" s="1"/>
  <c r="AV26" i="7" s="1" a="1"/>
  <c r="AV26" i="7" s="1"/>
  <c r="AW26" i="7" s="1" a="1"/>
  <c r="AW26" i="7" s="1"/>
  <c r="AX26" i="7" s="1" a="1"/>
  <c r="AX26" i="7" s="1"/>
  <c r="AY26" i="7" s="1" a="1"/>
  <c r="AY26" i="7" s="1"/>
  <c r="AZ26" i="7" s="1" a="1"/>
  <c r="AZ26" i="7" s="1"/>
  <c r="BA26" i="7" s="1" a="1"/>
  <c r="BA26" i="7" s="1"/>
  <c r="BB26" i="7" s="1" a="1"/>
  <c r="BB26" i="7" s="1"/>
  <c r="BC26" i="7" s="1" a="1"/>
  <c r="BC26" i="7" s="1"/>
  <c r="BD26" i="7" s="1" a="1"/>
  <c r="BD26" i="7" s="1"/>
  <c r="BE26" i="7" s="1" a="1"/>
  <c r="BE26" i="7" s="1"/>
  <c r="BF26" i="7" s="1" a="1"/>
  <c r="BF26" i="7" s="1"/>
  <c r="BG26" i="7" s="1" a="1"/>
  <c r="BG26" i="7" s="1"/>
  <c r="BH26" i="7" s="1" a="1"/>
  <c r="BH26" i="7" s="1"/>
  <c r="BI26" i="7" s="1" a="1"/>
  <c r="BI26" i="7" s="1"/>
  <c r="BJ26" i="7" s="1" a="1"/>
  <c r="BJ26" i="7" s="1"/>
  <c r="BK26" i="7" s="1" a="1"/>
  <c r="BK26" i="7" s="1"/>
  <c r="BL26" i="7" s="1" a="1"/>
  <c r="BL26" i="7" s="1"/>
  <c r="BM26" i="7" s="1" a="1"/>
  <c r="BM26" i="7" s="1"/>
  <c r="Y6" i="7" a="1"/>
  <c r="Y6" i="7" s="1"/>
  <c r="X7" i="7" l="1" a="1"/>
  <c r="X7" i="7" s="1"/>
  <c r="W67" i="7"/>
  <c r="Z6" i="7" a="1"/>
  <c r="Z6" i="7" s="1"/>
  <c r="E28" i="7"/>
  <c r="AB27" i="7" a="1"/>
  <c r="AB27" i="7" s="1"/>
  <c r="AC27" i="7" s="1" a="1"/>
  <c r="AC27" i="7" s="1"/>
  <c r="AD27" i="7" s="1" a="1"/>
  <c r="AD27" i="7" s="1"/>
  <c r="AE27" i="7" s="1" a="1"/>
  <c r="AE27" i="7" s="1"/>
  <c r="AF27" i="7" s="1" a="1"/>
  <c r="AF27" i="7" s="1"/>
  <c r="AG27" i="7" s="1" a="1"/>
  <c r="AG27" i="7" s="1"/>
  <c r="AH27" i="7" s="1" a="1"/>
  <c r="AH27" i="7" s="1"/>
  <c r="AI27" i="7" s="1" a="1"/>
  <c r="AI27" i="7" s="1"/>
  <c r="AJ27" i="7" s="1" a="1"/>
  <c r="AJ27" i="7" s="1"/>
  <c r="AK27" i="7" s="1" a="1"/>
  <c r="AK27" i="7" s="1"/>
  <c r="AL27" i="7" s="1" a="1"/>
  <c r="AL27" i="7" s="1"/>
  <c r="AM27" i="7" s="1" a="1"/>
  <c r="AM27" i="7" s="1"/>
  <c r="AN27" i="7" s="1" a="1"/>
  <c r="AN27" i="7" s="1"/>
  <c r="AO27" i="7" s="1" a="1"/>
  <c r="AO27" i="7" s="1"/>
  <c r="AP27" i="7" s="1" a="1"/>
  <c r="AP27" i="7" s="1"/>
  <c r="AQ27" i="7" s="1" a="1"/>
  <c r="AQ27" i="7" s="1"/>
  <c r="AR27" i="7" s="1" a="1"/>
  <c r="AR27" i="7" s="1"/>
  <c r="AS27" i="7" s="1" a="1"/>
  <c r="AS27" i="7" s="1"/>
  <c r="AT27" i="7" s="1" a="1"/>
  <c r="AT27" i="7" s="1"/>
  <c r="AU27" i="7" s="1" a="1"/>
  <c r="AU27" i="7" s="1"/>
  <c r="AV27" i="7" s="1" a="1"/>
  <c r="AV27" i="7" s="1"/>
  <c r="AW27" i="7" s="1" a="1"/>
  <c r="AW27" i="7" s="1"/>
  <c r="AX27" i="7" s="1" a="1"/>
  <c r="AX27" i="7" s="1"/>
  <c r="AY27" i="7" s="1" a="1"/>
  <c r="AY27" i="7" s="1"/>
  <c r="AZ27" i="7" s="1" a="1"/>
  <c r="AZ27" i="7" s="1"/>
  <c r="BA27" i="7" s="1" a="1"/>
  <c r="BA27" i="7" s="1"/>
  <c r="BB27" i="7" s="1" a="1"/>
  <c r="BB27" i="7" s="1"/>
  <c r="BC27" i="7" s="1" a="1"/>
  <c r="BC27" i="7" s="1"/>
  <c r="BD27" i="7" s="1" a="1"/>
  <c r="BD27" i="7" s="1"/>
  <c r="BE27" i="7" s="1" a="1"/>
  <c r="BE27" i="7" s="1"/>
  <c r="BF27" i="7" s="1" a="1"/>
  <c r="BF27" i="7" s="1"/>
  <c r="BG27" i="7" s="1" a="1"/>
  <c r="BG27" i="7" s="1"/>
  <c r="BH27" i="7" s="1" a="1"/>
  <c r="BH27" i="7" s="1"/>
  <c r="BI27" i="7" s="1" a="1"/>
  <c r="BI27" i="7" s="1"/>
  <c r="BJ27" i="7" s="1" a="1"/>
  <c r="BJ27" i="7" s="1"/>
  <c r="BK27" i="7" s="1" a="1"/>
  <c r="BK27" i="7" s="1"/>
  <c r="BL27" i="7" s="1" a="1"/>
  <c r="BL27" i="7" s="1"/>
  <c r="BM27" i="7" s="1" a="1"/>
  <c r="BM27" i="7" s="1"/>
  <c r="Y67" i="8"/>
  <c r="Z6" i="8" a="1"/>
  <c r="Z6" i="8" s="1"/>
  <c r="E28" i="8"/>
  <c r="AB27" i="8" a="1"/>
  <c r="AB27" i="8" s="1"/>
  <c r="AC27" i="8" s="1" a="1"/>
  <c r="AC27" i="8" s="1"/>
  <c r="AD27" i="8" s="1" a="1"/>
  <c r="AD27" i="8" s="1"/>
  <c r="AE27" i="8" s="1" a="1"/>
  <c r="AE27" i="8" s="1"/>
  <c r="AF27" i="8" s="1" a="1"/>
  <c r="AF27" i="8" s="1"/>
  <c r="AG27" i="8" s="1" a="1"/>
  <c r="AG27" i="8" s="1"/>
  <c r="AH27" i="8" s="1" a="1"/>
  <c r="AH27" i="8" s="1"/>
  <c r="AI27" i="8" s="1" a="1"/>
  <c r="AI27" i="8" s="1"/>
  <c r="AJ27" i="8" s="1" a="1"/>
  <c r="AJ27" i="8" s="1"/>
  <c r="AK27" i="8" s="1" a="1"/>
  <c r="AK27" i="8" s="1"/>
  <c r="AL27" i="8" s="1" a="1"/>
  <c r="AL27" i="8" s="1"/>
  <c r="AM27" i="8" s="1" a="1"/>
  <c r="AM27" i="8" s="1"/>
  <c r="AN27" i="8" s="1" a="1"/>
  <c r="AN27" i="8" s="1"/>
  <c r="AO27" i="8" s="1" a="1"/>
  <c r="AO27" i="8" s="1"/>
  <c r="AP27" i="8" s="1" a="1"/>
  <c r="AP27" i="8" s="1"/>
  <c r="AQ27" i="8" s="1" a="1"/>
  <c r="AQ27" i="8" s="1"/>
  <c r="AR27" i="8" s="1" a="1"/>
  <c r="AR27" i="8" s="1"/>
  <c r="AS27" i="8" s="1" a="1"/>
  <c r="AS27" i="8" s="1"/>
  <c r="AT27" i="8" s="1" a="1"/>
  <c r="AT27" i="8" s="1"/>
  <c r="AU27" i="8" s="1" a="1"/>
  <c r="AU27" i="8" s="1"/>
  <c r="AV27" i="8" s="1" a="1"/>
  <c r="AV27" i="8" s="1"/>
  <c r="AW27" i="8" s="1" a="1"/>
  <c r="AW27" i="8" s="1"/>
  <c r="AX27" i="8" s="1" a="1"/>
  <c r="AX27" i="8" s="1"/>
  <c r="AY27" i="8" s="1" a="1"/>
  <c r="AY27" i="8" s="1"/>
  <c r="AZ27" i="8" s="1" a="1"/>
  <c r="AZ27" i="8" s="1"/>
  <c r="BA27" i="8" s="1" a="1"/>
  <c r="BA27" i="8" s="1"/>
  <c r="BB27" i="8" s="1" a="1"/>
  <c r="BB27" i="8" s="1"/>
  <c r="BC27" i="8" s="1" a="1"/>
  <c r="BC27" i="8" s="1"/>
  <c r="BD27" i="8" s="1" a="1"/>
  <c r="BD27" i="8" s="1"/>
  <c r="BE27" i="8" s="1" a="1"/>
  <c r="BE27" i="8" s="1"/>
  <c r="BF27" i="8" s="1" a="1"/>
  <c r="BF27" i="8" s="1"/>
  <c r="BG27" i="8" s="1" a="1"/>
  <c r="BG27" i="8" s="1"/>
  <c r="BH27" i="8" s="1" a="1"/>
  <c r="BH27" i="8" s="1"/>
  <c r="BI27" i="8" s="1" a="1"/>
  <c r="BI27" i="8" s="1"/>
  <c r="BJ27" i="8" s="1" a="1"/>
  <c r="BJ27" i="8" s="1"/>
  <c r="BK27" i="8" s="1" a="1"/>
  <c r="BK27" i="8" s="1"/>
  <c r="BL27" i="8" s="1" a="1"/>
  <c r="BL27" i="8" s="1"/>
  <c r="BM27" i="8" s="1" a="1"/>
  <c r="BM27" i="8" s="1"/>
  <c r="Y67" i="9"/>
  <c r="Z6" i="9" a="1"/>
  <c r="Z6" i="9" s="1"/>
  <c r="E28" i="9"/>
  <c r="AC28" i="9" s="1" a="1"/>
  <c r="AC28" i="9" s="1"/>
  <c r="AB27" i="9" a="1"/>
  <c r="AB27" i="9" s="1"/>
  <c r="AC27" i="9" s="1" a="1"/>
  <c r="AC27" i="9" s="1"/>
  <c r="AD27" i="9" s="1" a="1"/>
  <c r="AD27" i="9" s="1"/>
  <c r="AE27" i="9" s="1" a="1"/>
  <c r="AE27" i="9" s="1"/>
  <c r="AF27" i="9" s="1" a="1"/>
  <c r="AF27" i="9" s="1"/>
  <c r="AG27" i="9" s="1" a="1"/>
  <c r="AG27" i="9" s="1"/>
  <c r="AH27" i="9" s="1" a="1"/>
  <c r="AH27" i="9" s="1"/>
  <c r="AI27" i="9" s="1" a="1"/>
  <c r="AI27" i="9" s="1"/>
  <c r="AJ27" i="9" s="1" a="1"/>
  <c r="AJ27" i="9" s="1"/>
  <c r="AK27" i="9" s="1" a="1"/>
  <c r="AK27" i="9" s="1"/>
  <c r="AL27" i="9" s="1" a="1"/>
  <c r="AL27" i="9" s="1"/>
  <c r="AM27" i="9" s="1" a="1"/>
  <c r="AM27" i="9" s="1"/>
  <c r="AN27" i="9" s="1" a="1"/>
  <c r="AN27" i="9" s="1"/>
  <c r="AO27" i="9" s="1" a="1"/>
  <c r="AO27" i="9" s="1"/>
  <c r="AP27" i="9" s="1" a="1"/>
  <c r="AP27" i="9" s="1"/>
  <c r="AQ27" i="9" s="1" a="1"/>
  <c r="AQ27" i="9" s="1"/>
  <c r="AR27" i="9" s="1" a="1"/>
  <c r="AR27" i="9" s="1"/>
  <c r="AS27" i="9" s="1" a="1"/>
  <c r="AS27" i="9" s="1"/>
  <c r="AT27" i="9" s="1" a="1"/>
  <c r="AT27" i="9" s="1"/>
  <c r="AU27" i="9" s="1" a="1"/>
  <c r="AU27" i="9" s="1"/>
  <c r="AV27" i="9" s="1" a="1"/>
  <c r="AV27" i="9" s="1"/>
  <c r="AW27" i="9" s="1" a="1"/>
  <c r="AW27" i="9" s="1"/>
  <c r="AX27" i="9" s="1" a="1"/>
  <c r="AX27" i="9" s="1"/>
  <c r="AY27" i="9" s="1" a="1"/>
  <c r="AY27" i="9" s="1"/>
  <c r="AZ27" i="9" s="1" a="1"/>
  <c r="AZ27" i="9" s="1"/>
  <c r="BA27" i="9" s="1" a="1"/>
  <c r="BA27" i="9" s="1"/>
  <c r="BB27" i="9" s="1" a="1"/>
  <c r="BB27" i="9" s="1"/>
  <c r="BC27" i="9" s="1" a="1"/>
  <c r="BC27" i="9" s="1"/>
  <c r="BD27" i="9" s="1" a="1"/>
  <c r="BD27" i="9" s="1"/>
  <c r="BE27" i="9" s="1" a="1"/>
  <c r="BE27" i="9" s="1"/>
  <c r="BF27" i="9" s="1" a="1"/>
  <c r="BF27" i="9" s="1"/>
  <c r="BG27" i="9" s="1" a="1"/>
  <c r="BG27" i="9" s="1"/>
  <c r="BH27" i="9" s="1" a="1"/>
  <c r="BH27" i="9" s="1"/>
  <c r="BI27" i="9" s="1" a="1"/>
  <c r="BI27" i="9" s="1"/>
  <c r="BJ27" i="9" s="1" a="1"/>
  <c r="BJ27" i="9" s="1"/>
  <c r="BK27" i="9" s="1" a="1"/>
  <c r="BK27" i="9" s="1"/>
  <c r="BL27" i="9" s="1" a="1"/>
  <c r="BL27" i="9" s="1"/>
  <c r="BM27" i="9" s="1" a="1"/>
  <c r="BM27" i="9" s="1"/>
  <c r="Y7" i="7" l="1" a="1"/>
  <c r="Y7" i="7" s="1"/>
  <c r="X67" i="7"/>
  <c r="E29" i="9"/>
  <c r="AD28" i="9" a="1"/>
  <c r="AD28" i="9" s="1"/>
  <c r="AE28" i="9" s="1" a="1"/>
  <c r="AE28" i="9" s="1"/>
  <c r="AF28" i="9" s="1" a="1"/>
  <c r="AF28" i="9" s="1"/>
  <c r="AG28" i="9" s="1" a="1"/>
  <c r="AG28" i="9" s="1"/>
  <c r="AH28" i="9" s="1" a="1"/>
  <c r="AH28" i="9" s="1"/>
  <c r="AI28" i="9" s="1" a="1"/>
  <c r="AI28" i="9" s="1"/>
  <c r="AJ28" i="9" s="1" a="1"/>
  <c r="AJ28" i="9" s="1"/>
  <c r="AK28" i="9" s="1" a="1"/>
  <c r="AK28" i="9" s="1"/>
  <c r="AL28" i="9" s="1" a="1"/>
  <c r="AL28" i="9" s="1"/>
  <c r="AM28" i="9" s="1" a="1"/>
  <c r="AM28" i="9" s="1"/>
  <c r="AN28" i="9" s="1" a="1"/>
  <c r="AN28" i="9" s="1"/>
  <c r="AO28" i="9" s="1" a="1"/>
  <c r="AO28" i="9" s="1"/>
  <c r="AP28" i="9" s="1" a="1"/>
  <c r="AP28" i="9" s="1"/>
  <c r="AQ28" i="9" s="1" a="1"/>
  <c r="AQ28" i="9" s="1"/>
  <c r="AR28" i="9" s="1" a="1"/>
  <c r="AR28" i="9" s="1"/>
  <c r="AS28" i="9" s="1" a="1"/>
  <c r="AS28" i="9" s="1"/>
  <c r="AT28" i="9" s="1" a="1"/>
  <c r="AT28" i="9" s="1"/>
  <c r="AU28" i="9" s="1" a="1"/>
  <c r="AU28" i="9" s="1"/>
  <c r="AV28" i="9" s="1" a="1"/>
  <c r="AV28" i="9" s="1"/>
  <c r="AW28" i="9" s="1" a="1"/>
  <c r="AW28" i="9" s="1"/>
  <c r="AX28" i="9" s="1" a="1"/>
  <c r="AX28" i="9" s="1"/>
  <c r="AY28" i="9" s="1" a="1"/>
  <c r="AY28" i="9" s="1"/>
  <c r="AZ28" i="9" s="1" a="1"/>
  <c r="AZ28" i="9" s="1"/>
  <c r="BA28" i="9" s="1" a="1"/>
  <c r="BA28" i="9" s="1"/>
  <c r="BB28" i="9" s="1" a="1"/>
  <c r="BB28" i="9" s="1"/>
  <c r="BC28" i="9" s="1" a="1"/>
  <c r="BC28" i="9" s="1"/>
  <c r="BD28" i="9" s="1" a="1"/>
  <c r="BD28" i="9" s="1"/>
  <c r="BE28" i="9" s="1" a="1"/>
  <c r="BE28" i="9" s="1"/>
  <c r="BF28" i="9" s="1" a="1"/>
  <c r="BF28" i="9" s="1"/>
  <c r="BG28" i="9" s="1" a="1"/>
  <c r="BG28" i="9" s="1"/>
  <c r="BH28" i="9" s="1" a="1"/>
  <c r="BH28" i="9" s="1"/>
  <c r="BI28" i="9" s="1" a="1"/>
  <c r="BI28" i="9" s="1"/>
  <c r="BJ28" i="9" s="1" a="1"/>
  <c r="BJ28" i="9" s="1"/>
  <c r="BK28" i="9" s="1" a="1"/>
  <c r="BK28" i="9" s="1"/>
  <c r="BL28" i="9" s="1" a="1"/>
  <c r="BL28" i="9" s="1"/>
  <c r="BM28" i="9" s="1" a="1"/>
  <c r="BM28" i="9" s="1"/>
  <c r="Z67" i="9"/>
  <c r="AA6" i="9" a="1"/>
  <c r="AA6" i="9" s="1"/>
  <c r="E29" i="8"/>
  <c r="AC28" i="8" a="1"/>
  <c r="AC28" i="8" s="1"/>
  <c r="AD28" i="8" s="1" a="1"/>
  <c r="AD28" i="8" s="1"/>
  <c r="AE28" i="8" s="1" a="1"/>
  <c r="AE28" i="8" s="1"/>
  <c r="AF28" i="8" s="1" a="1"/>
  <c r="AF28" i="8" s="1"/>
  <c r="AG28" i="8" s="1" a="1"/>
  <c r="AG28" i="8" s="1"/>
  <c r="AH28" i="8" s="1" a="1"/>
  <c r="AH28" i="8" s="1"/>
  <c r="AI28" i="8" s="1" a="1"/>
  <c r="AI28" i="8" s="1"/>
  <c r="AJ28" i="8" s="1" a="1"/>
  <c r="AJ28" i="8" s="1"/>
  <c r="AK28" i="8" s="1" a="1"/>
  <c r="AK28" i="8" s="1"/>
  <c r="AL28" i="8" s="1" a="1"/>
  <c r="AL28" i="8" s="1"/>
  <c r="AM28" i="8" s="1" a="1"/>
  <c r="AM28" i="8" s="1"/>
  <c r="AN28" i="8" s="1" a="1"/>
  <c r="AN28" i="8" s="1"/>
  <c r="AO28" i="8" s="1" a="1"/>
  <c r="AO28" i="8" s="1"/>
  <c r="AP28" i="8" s="1" a="1"/>
  <c r="AP28" i="8" s="1"/>
  <c r="AQ28" i="8" s="1" a="1"/>
  <c r="AQ28" i="8" s="1"/>
  <c r="AR28" i="8" s="1" a="1"/>
  <c r="AR28" i="8" s="1"/>
  <c r="AS28" i="8" s="1" a="1"/>
  <c r="AS28" i="8" s="1"/>
  <c r="AT28" i="8" s="1" a="1"/>
  <c r="AT28" i="8" s="1"/>
  <c r="AU28" i="8" s="1" a="1"/>
  <c r="AU28" i="8" s="1"/>
  <c r="AV28" i="8" s="1" a="1"/>
  <c r="AV28" i="8" s="1"/>
  <c r="AW28" i="8" s="1" a="1"/>
  <c r="AW28" i="8" s="1"/>
  <c r="AX28" i="8" s="1" a="1"/>
  <c r="AX28" i="8" s="1"/>
  <c r="AY28" i="8" s="1" a="1"/>
  <c r="AY28" i="8" s="1"/>
  <c r="AZ28" i="8" s="1" a="1"/>
  <c r="AZ28" i="8" s="1"/>
  <c r="BA28" i="8" s="1" a="1"/>
  <c r="BA28" i="8" s="1"/>
  <c r="BB28" i="8" s="1" a="1"/>
  <c r="BB28" i="8" s="1"/>
  <c r="BC28" i="8" s="1" a="1"/>
  <c r="BC28" i="8" s="1"/>
  <c r="BD28" i="8" s="1" a="1"/>
  <c r="BD28" i="8" s="1"/>
  <c r="BE28" i="8" s="1" a="1"/>
  <c r="BE28" i="8" s="1"/>
  <c r="BF28" i="8" s="1" a="1"/>
  <c r="BF28" i="8" s="1"/>
  <c r="BG28" i="8" s="1" a="1"/>
  <c r="BG28" i="8" s="1"/>
  <c r="BH28" i="8" s="1" a="1"/>
  <c r="BH28" i="8" s="1"/>
  <c r="BI28" i="8" s="1" a="1"/>
  <c r="BI28" i="8" s="1"/>
  <c r="BJ28" i="8" s="1" a="1"/>
  <c r="BJ28" i="8" s="1"/>
  <c r="BK28" i="8" s="1" a="1"/>
  <c r="BK28" i="8" s="1"/>
  <c r="BL28" i="8" s="1" a="1"/>
  <c r="BL28" i="8" s="1"/>
  <c r="BM28" i="8" s="1" a="1"/>
  <c r="BM28" i="8" s="1"/>
  <c r="Z67" i="8"/>
  <c r="AA6" i="8" a="1"/>
  <c r="AA6" i="8" s="1"/>
  <c r="E29" i="7"/>
  <c r="AC28" i="7" a="1"/>
  <c r="AC28" i="7" s="1"/>
  <c r="AD28" i="7" s="1" a="1"/>
  <c r="AD28" i="7" s="1"/>
  <c r="AE28" i="7" s="1" a="1"/>
  <c r="AE28" i="7" s="1"/>
  <c r="AF28" i="7" s="1" a="1"/>
  <c r="AF28" i="7" s="1"/>
  <c r="AG28" i="7" s="1" a="1"/>
  <c r="AG28" i="7" s="1"/>
  <c r="AH28" i="7" s="1" a="1"/>
  <c r="AH28" i="7" s="1"/>
  <c r="AI28" i="7" s="1" a="1"/>
  <c r="AI28" i="7" s="1"/>
  <c r="AJ28" i="7" s="1" a="1"/>
  <c r="AJ28" i="7" s="1"/>
  <c r="AK28" i="7" s="1" a="1"/>
  <c r="AK28" i="7" s="1"/>
  <c r="AL28" i="7" s="1" a="1"/>
  <c r="AL28" i="7" s="1"/>
  <c r="AM28" i="7" s="1" a="1"/>
  <c r="AM28" i="7" s="1"/>
  <c r="AN28" i="7" s="1" a="1"/>
  <c r="AN28" i="7" s="1"/>
  <c r="AO28" i="7" s="1" a="1"/>
  <c r="AO28" i="7" s="1"/>
  <c r="AP28" i="7" s="1" a="1"/>
  <c r="AP28" i="7" s="1"/>
  <c r="AQ28" i="7" s="1" a="1"/>
  <c r="AQ28" i="7" s="1"/>
  <c r="AR28" i="7" s="1" a="1"/>
  <c r="AR28" i="7" s="1"/>
  <c r="AS28" i="7" s="1" a="1"/>
  <c r="AS28" i="7" s="1"/>
  <c r="AT28" i="7" s="1" a="1"/>
  <c r="AT28" i="7" s="1"/>
  <c r="AU28" i="7" s="1" a="1"/>
  <c r="AU28" i="7" s="1"/>
  <c r="AV28" i="7" s="1" a="1"/>
  <c r="AV28" i="7" s="1"/>
  <c r="AW28" i="7" s="1" a="1"/>
  <c r="AW28" i="7" s="1"/>
  <c r="AX28" i="7" s="1" a="1"/>
  <c r="AX28" i="7" s="1"/>
  <c r="AY28" i="7" s="1" a="1"/>
  <c r="AY28" i="7" s="1"/>
  <c r="AZ28" i="7" s="1" a="1"/>
  <c r="AZ28" i="7" s="1"/>
  <c r="BA28" i="7" s="1" a="1"/>
  <c r="BA28" i="7" s="1"/>
  <c r="BB28" i="7" s="1" a="1"/>
  <c r="BB28" i="7" s="1"/>
  <c r="BC28" i="7" s="1" a="1"/>
  <c r="BC28" i="7" s="1"/>
  <c r="BD28" i="7" s="1" a="1"/>
  <c r="BD28" i="7" s="1"/>
  <c r="BE28" i="7" s="1" a="1"/>
  <c r="BE28" i="7" s="1"/>
  <c r="BF28" i="7" s="1" a="1"/>
  <c r="BF28" i="7" s="1"/>
  <c r="BG28" i="7" s="1" a="1"/>
  <c r="BG28" i="7" s="1"/>
  <c r="BH28" i="7" s="1" a="1"/>
  <c r="BH28" i="7" s="1"/>
  <c r="BI28" i="7" s="1" a="1"/>
  <c r="BI28" i="7" s="1"/>
  <c r="BJ28" i="7" s="1" a="1"/>
  <c r="BJ28" i="7" s="1"/>
  <c r="BK28" i="7" s="1" a="1"/>
  <c r="BK28" i="7" s="1"/>
  <c r="BL28" i="7" s="1" a="1"/>
  <c r="BL28" i="7" s="1"/>
  <c r="BM28" i="7" s="1" a="1"/>
  <c r="BM28" i="7" s="1"/>
  <c r="AA6" i="7" a="1"/>
  <c r="AA6" i="7" s="1"/>
  <c r="Z7" i="7" l="1" a="1"/>
  <c r="Z7" i="7" s="1"/>
  <c r="Y67" i="7"/>
  <c r="AB6" i="7" a="1"/>
  <c r="AB6" i="7" s="1"/>
  <c r="E30" i="7"/>
  <c r="AD29" i="7" a="1"/>
  <c r="AD29" i="7" s="1"/>
  <c r="AE29" i="7" s="1" a="1"/>
  <c r="AE29" i="7" s="1"/>
  <c r="AF29" i="7" s="1" a="1"/>
  <c r="AF29" i="7" s="1"/>
  <c r="AG29" i="7" s="1" a="1"/>
  <c r="AG29" i="7" s="1"/>
  <c r="AH29" i="7" s="1" a="1"/>
  <c r="AH29" i="7" s="1"/>
  <c r="AI29" i="7" s="1" a="1"/>
  <c r="AI29" i="7" s="1"/>
  <c r="AJ29" i="7" s="1" a="1"/>
  <c r="AJ29" i="7" s="1"/>
  <c r="AK29" i="7" s="1" a="1"/>
  <c r="AK29" i="7" s="1"/>
  <c r="AL29" i="7" s="1" a="1"/>
  <c r="AL29" i="7" s="1"/>
  <c r="AM29" i="7" s="1" a="1"/>
  <c r="AM29" i="7" s="1"/>
  <c r="AN29" i="7" s="1" a="1"/>
  <c r="AN29" i="7" s="1"/>
  <c r="AO29" i="7" s="1" a="1"/>
  <c r="AO29" i="7" s="1"/>
  <c r="AP29" i="7" s="1" a="1"/>
  <c r="AP29" i="7" s="1"/>
  <c r="AQ29" i="7" s="1" a="1"/>
  <c r="AQ29" i="7" s="1"/>
  <c r="AR29" i="7" s="1" a="1"/>
  <c r="AR29" i="7" s="1"/>
  <c r="AS29" i="7" s="1" a="1"/>
  <c r="AS29" i="7" s="1"/>
  <c r="AT29" i="7" s="1" a="1"/>
  <c r="AT29" i="7" s="1"/>
  <c r="AU29" i="7" s="1" a="1"/>
  <c r="AU29" i="7" s="1"/>
  <c r="AV29" i="7" s="1" a="1"/>
  <c r="AV29" i="7" s="1"/>
  <c r="AW29" i="7" s="1" a="1"/>
  <c r="AW29" i="7" s="1"/>
  <c r="AX29" i="7" s="1" a="1"/>
  <c r="AX29" i="7" s="1"/>
  <c r="AY29" i="7" s="1" a="1"/>
  <c r="AY29" i="7" s="1"/>
  <c r="AZ29" i="7" s="1" a="1"/>
  <c r="AZ29" i="7" s="1"/>
  <c r="BA29" i="7" s="1" a="1"/>
  <c r="BA29" i="7" s="1"/>
  <c r="BB29" i="7" s="1" a="1"/>
  <c r="BB29" i="7" s="1"/>
  <c r="BC29" i="7" s="1" a="1"/>
  <c r="BC29" i="7" s="1"/>
  <c r="BD29" i="7" s="1" a="1"/>
  <c r="BD29" i="7" s="1"/>
  <c r="BE29" i="7" s="1" a="1"/>
  <c r="BE29" i="7" s="1"/>
  <c r="BF29" i="7" s="1" a="1"/>
  <c r="BF29" i="7" s="1"/>
  <c r="BG29" i="7" s="1" a="1"/>
  <c r="BG29" i="7" s="1"/>
  <c r="BH29" i="7" s="1" a="1"/>
  <c r="BH29" i="7" s="1"/>
  <c r="BI29" i="7" s="1" a="1"/>
  <c r="BI29" i="7" s="1"/>
  <c r="BJ29" i="7" s="1" a="1"/>
  <c r="BJ29" i="7" s="1"/>
  <c r="BK29" i="7" s="1" a="1"/>
  <c r="BK29" i="7" s="1"/>
  <c r="BL29" i="7" s="1" a="1"/>
  <c r="BL29" i="7" s="1"/>
  <c r="BM29" i="7" s="1" a="1"/>
  <c r="BM29" i="7" s="1"/>
  <c r="AA67" i="8"/>
  <c r="AB6" i="8" a="1"/>
  <c r="AB6" i="8" s="1"/>
  <c r="E30" i="8"/>
  <c r="AD29" i="8" a="1"/>
  <c r="AD29" i="8" s="1"/>
  <c r="AE29" i="8" s="1" a="1"/>
  <c r="AE29" i="8" s="1"/>
  <c r="AF29" i="8" s="1" a="1"/>
  <c r="AF29" i="8" s="1"/>
  <c r="AG29" i="8" s="1" a="1"/>
  <c r="AG29" i="8" s="1"/>
  <c r="AH29" i="8" s="1" a="1"/>
  <c r="AH29" i="8" s="1"/>
  <c r="AI29" i="8" s="1" a="1"/>
  <c r="AI29" i="8" s="1"/>
  <c r="AJ29" i="8" s="1" a="1"/>
  <c r="AJ29" i="8" s="1"/>
  <c r="AK29" i="8" s="1" a="1"/>
  <c r="AK29" i="8" s="1"/>
  <c r="AL29" i="8" s="1" a="1"/>
  <c r="AL29" i="8" s="1"/>
  <c r="AM29" i="8" s="1" a="1"/>
  <c r="AM29" i="8" s="1"/>
  <c r="AN29" i="8" s="1" a="1"/>
  <c r="AN29" i="8" s="1"/>
  <c r="AO29" i="8" s="1" a="1"/>
  <c r="AO29" i="8" s="1"/>
  <c r="AP29" i="8" s="1" a="1"/>
  <c r="AP29" i="8" s="1"/>
  <c r="AQ29" i="8" s="1" a="1"/>
  <c r="AQ29" i="8" s="1"/>
  <c r="AR29" i="8" s="1" a="1"/>
  <c r="AR29" i="8" s="1"/>
  <c r="AS29" i="8" s="1" a="1"/>
  <c r="AS29" i="8" s="1"/>
  <c r="AT29" i="8" s="1" a="1"/>
  <c r="AT29" i="8" s="1"/>
  <c r="AU29" i="8" s="1" a="1"/>
  <c r="AU29" i="8" s="1"/>
  <c r="AV29" i="8" s="1" a="1"/>
  <c r="AV29" i="8" s="1"/>
  <c r="AW29" i="8" s="1" a="1"/>
  <c r="AW29" i="8" s="1"/>
  <c r="AX29" i="8" s="1" a="1"/>
  <c r="AX29" i="8" s="1"/>
  <c r="AY29" i="8" s="1" a="1"/>
  <c r="AY29" i="8" s="1"/>
  <c r="AZ29" i="8" s="1" a="1"/>
  <c r="AZ29" i="8" s="1"/>
  <c r="BA29" i="8" s="1" a="1"/>
  <c r="BA29" i="8" s="1"/>
  <c r="BB29" i="8" s="1" a="1"/>
  <c r="BB29" i="8" s="1"/>
  <c r="BC29" i="8" s="1" a="1"/>
  <c r="BC29" i="8" s="1"/>
  <c r="BD29" i="8" s="1" a="1"/>
  <c r="BD29" i="8" s="1"/>
  <c r="BE29" i="8" s="1" a="1"/>
  <c r="BE29" i="8" s="1"/>
  <c r="BF29" i="8" s="1" a="1"/>
  <c r="BF29" i="8" s="1"/>
  <c r="BG29" i="8" s="1" a="1"/>
  <c r="BG29" i="8" s="1"/>
  <c r="BH29" i="8" s="1" a="1"/>
  <c r="BH29" i="8" s="1"/>
  <c r="BI29" i="8" s="1" a="1"/>
  <c r="BI29" i="8" s="1"/>
  <c r="BJ29" i="8" s="1" a="1"/>
  <c r="BJ29" i="8" s="1"/>
  <c r="BK29" i="8" s="1" a="1"/>
  <c r="BK29" i="8" s="1"/>
  <c r="BL29" i="8" s="1" a="1"/>
  <c r="BL29" i="8" s="1"/>
  <c r="BM29" i="8" s="1" a="1"/>
  <c r="BM29" i="8" s="1"/>
  <c r="AA67" i="9"/>
  <c r="AB6" i="9" a="1"/>
  <c r="AB6" i="9" s="1"/>
  <c r="E30" i="9"/>
  <c r="AD29" i="9" a="1"/>
  <c r="AD29" i="9" s="1"/>
  <c r="AE29" i="9" s="1" a="1"/>
  <c r="AE29" i="9" s="1"/>
  <c r="AF29" i="9" s="1" a="1"/>
  <c r="AF29" i="9" s="1"/>
  <c r="AG29" i="9" s="1" a="1"/>
  <c r="AG29" i="9" s="1"/>
  <c r="AH29" i="9" s="1" a="1"/>
  <c r="AH29" i="9" s="1"/>
  <c r="AI29" i="9" s="1" a="1"/>
  <c r="AI29" i="9" s="1"/>
  <c r="AJ29" i="9" s="1" a="1"/>
  <c r="AJ29" i="9" s="1"/>
  <c r="AK29" i="9" s="1" a="1"/>
  <c r="AK29" i="9" s="1"/>
  <c r="AL29" i="9" s="1" a="1"/>
  <c r="AL29" i="9" s="1"/>
  <c r="AM29" i="9" s="1" a="1"/>
  <c r="AM29" i="9" s="1"/>
  <c r="AN29" i="9" s="1" a="1"/>
  <c r="AN29" i="9" s="1"/>
  <c r="AO29" i="9" s="1" a="1"/>
  <c r="AO29" i="9" s="1"/>
  <c r="AP29" i="9" s="1" a="1"/>
  <c r="AP29" i="9" s="1"/>
  <c r="AQ29" i="9" s="1" a="1"/>
  <c r="AQ29" i="9" s="1"/>
  <c r="AR29" i="9" s="1" a="1"/>
  <c r="AR29" i="9" s="1"/>
  <c r="AS29" i="9" s="1" a="1"/>
  <c r="AS29" i="9" s="1"/>
  <c r="AT29" i="9" s="1" a="1"/>
  <c r="AT29" i="9" s="1"/>
  <c r="AU29" i="9" s="1" a="1"/>
  <c r="AU29" i="9" s="1"/>
  <c r="AV29" i="9" s="1" a="1"/>
  <c r="AV29" i="9" s="1"/>
  <c r="AW29" i="9" s="1" a="1"/>
  <c r="AW29" i="9" s="1"/>
  <c r="AX29" i="9" s="1" a="1"/>
  <c r="AX29" i="9" s="1"/>
  <c r="AY29" i="9" s="1" a="1"/>
  <c r="AY29" i="9" s="1"/>
  <c r="AZ29" i="9" s="1" a="1"/>
  <c r="AZ29" i="9" s="1"/>
  <c r="BA29" i="9" s="1" a="1"/>
  <c r="BA29" i="9" s="1"/>
  <c r="BB29" i="9" s="1" a="1"/>
  <c r="BB29" i="9" s="1"/>
  <c r="BC29" i="9" s="1" a="1"/>
  <c r="BC29" i="9" s="1"/>
  <c r="BD29" i="9" s="1" a="1"/>
  <c r="BD29" i="9" s="1"/>
  <c r="BE29" i="9" s="1" a="1"/>
  <c r="BE29" i="9" s="1"/>
  <c r="BF29" i="9" s="1" a="1"/>
  <c r="BF29" i="9" s="1"/>
  <c r="BG29" i="9" s="1" a="1"/>
  <c r="BG29" i="9" s="1"/>
  <c r="BH29" i="9" s="1" a="1"/>
  <c r="BH29" i="9" s="1"/>
  <c r="BI29" i="9" s="1" a="1"/>
  <c r="BI29" i="9" s="1"/>
  <c r="BJ29" i="9" s="1" a="1"/>
  <c r="BJ29" i="9" s="1"/>
  <c r="BK29" i="9" s="1" a="1"/>
  <c r="BK29" i="9" s="1"/>
  <c r="BL29" i="9" s="1" a="1"/>
  <c r="BL29" i="9" s="1"/>
  <c r="BM29" i="9" s="1" a="1"/>
  <c r="BM29" i="9" s="1"/>
  <c r="AA7" i="7" l="1" a="1"/>
  <c r="AA7" i="7" s="1"/>
  <c r="Z67" i="7"/>
  <c r="E31" i="9"/>
  <c r="AE30" i="9" a="1"/>
  <c r="AE30" i="9" s="1"/>
  <c r="AF30" i="9" s="1" a="1"/>
  <c r="AF30" i="9" s="1"/>
  <c r="AG30" i="9" s="1" a="1"/>
  <c r="AG30" i="9" s="1"/>
  <c r="AH30" i="9" s="1" a="1"/>
  <c r="AH30" i="9" s="1"/>
  <c r="AI30" i="9" s="1" a="1"/>
  <c r="AI30" i="9" s="1"/>
  <c r="AJ30" i="9" s="1" a="1"/>
  <c r="AJ30" i="9" s="1"/>
  <c r="AK30" i="9" s="1" a="1"/>
  <c r="AK30" i="9" s="1"/>
  <c r="AL30" i="9" s="1" a="1"/>
  <c r="AL30" i="9" s="1"/>
  <c r="AM30" i="9" s="1" a="1"/>
  <c r="AM30" i="9" s="1"/>
  <c r="AN30" i="9" s="1" a="1"/>
  <c r="AN30" i="9" s="1"/>
  <c r="AO30" i="9" s="1" a="1"/>
  <c r="AO30" i="9" s="1"/>
  <c r="AP30" i="9" s="1" a="1"/>
  <c r="AP30" i="9" s="1"/>
  <c r="AQ30" i="9" s="1" a="1"/>
  <c r="AQ30" i="9" s="1"/>
  <c r="AR30" i="9" s="1" a="1"/>
  <c r="AR30" i="9" s="1"/>
  <c r="AS30" i="9" s="1" a="1"/>
  <c r="AS30" i="9" s="1"/>
  <c r="AT30" i="9" s="1" a="1"/>
  <c r="AT30" i="9" s="1"/>
  <c r="AU30" i="9" s="1" a="1"/>
  <c r="AU30" i="9" s="1"/>
  <c r="AV30" i="9" s="1" a="1"/>
  <c r="AV30" i="9" s="1"/>
  <c r="AW30" i="9" s="1" a="1"/>
  <c r="AW30" i="9" s="1"/>
  <c r="AX30" i="9" s="1" a="1"/>
  <c r="AX30" i="9" s="1"/>
  <c r="AY30" i="9" s="1" a="1"/>
  <c r="AY30" i="9" s="1"/>
  <c r="AZ30" i="9" s="1" a="1"/>
  <c r="AZ30" i="9" s="1"/>
  <c r="BA30" i="9" s="1" a="1"/>
  <c r="BA30" i="9" s="1"/>
  <c r="BB30" i="9" s="1" a="1"/>
  <c r="BB30" i="9" s="1"/>
  <c r="BC30" i="9" s="1" a="1"/>
  <c r="BC30" i="9" s="1"/>
  <c r="BD30" i="9" s="1" a="1"/>
  <c r="BD30" i="9" s="1"/>
  <c r="BE30" i="9" s="1" a="1"/>
  <c r="BE30" i="9" s="1"/>
  <c r="BF30" i="9" s="1" a="1"/>
  <c r="BF30" i="9" s="1"/>
  <c r="BG30" i="9" s="1" a="1"/>
  <c r="BG30" i="9" s="1"/>
  <c r="BH30" i="9" s="1" a="1"/>
  <c r="BH30" i="9" s="1"/>
  <c r="BI30" i="9" s="1" a="1"/>
  <c r="BI30" i="9" s="1"/>
  <c r="BJ30" i="9" s="1" a="1"/>
  <c r="BJ30" i="9" s="1"/>
  <c r="BK30" i="9" s="1" a="1"/>
  <c r="BK30" i="9" s="1"/>
  <c r="BL30" i="9" s="1" a="1"/>
  <c r="BL30" i="9" s="1"/>
  <c r="BM30" i="9" s="1" a="1"/>
  <c r="BM30" i="9" s="1"/>
  <c r="AB67" i="9"/>
  <c r="AC6" i="9" a="1"/>
  <c r="AC6" i="9" s="1"/>
  <c r="E31" i="8"/>
  <c r="AE30" i="8" a="1"/>
  <c r="AE30" i="8" s="1"/>
  <c r="AF30" i="8" s="1" a="1"/>
  <c r="AF30" i="8" s="1"/>
  <c r="AG30" i="8" s="1" a="1"/>
  <c r="AG30" i="8" s="1"/>
  <c r="AH30" i="8" s="1" a="1"/>
  <c r="AH30" i="8" s="1"/>
  <c r="AI30" i="8" s="1" a="1"/>
  <c r="AI30" i="8" s="1"/>
  <c r="AJ30" i="8" s="1" a="1"/>
  <c r="AJ30" i="8" s="1"/>
  <c r="AK30" i="8" s="1" a="1"/>
  <c r="AK30" i="8" s="1"/>
  <c r="AL30" i="8" s="1" a="1"/>
  <c r="AL30" i="8" s="1"/>
  <c r="AM30" i="8" s="1" a="1"/>
  <c r="AM30" i="8" s="1"/>
  <c r="AN30" i="8" s="1" a="1"/>
  <c r="AN30" i="8" s="1"/>
  <c r="AO30" i="8" s="1" a="1"/>
  <c r="AO30" i="8" s="1"/>
  <c r="AP30" i="8" s="1" a="1"/>
  <c r="AP30" i="8" s="1"/>
  <c r="AQ30" i="8" s="1" a="1"/>
  <c r="AQ30" i="8" s="1"/>
  <c r="AR30" i="8" s="1" a="1"/>
  <c r="AR30" i="8" s="1"/>
  <c r="AS30" i="8" s="1" a="1"/>
  <c r="AS30" i="8" s="1"/>
  <c r="AT30" i="8" s="1" a="1"/>
  <c r="AT30" i="8" s="1"/>
  <c r="AU30" i="8" s="1" a="1"/>
  <c r="AU30" i="8" s="1"/>
  <c r="AV30" i="8" s="1" a="1"/>
  <c r="AV30" i="8" s="1"/>
  <c r="AW30" i="8" s="1" a="1"/>
  <c r="AW30" i="8" s="1"/>
  <c r="AX30" i="8" s="1" a="1"/>
  <c r="AX30" i="8" s="1"/>
  <c r="AY30" i="8" s="1" a="1"/>
  <c r="AY30" i="8" s="1"/>
  <c r="AZ30" i="8" s="1" a="1"/>
  <c r="AZ30" i="8" s="1"/>
  <c r="BA30" i="8" s="1" a="1"/>
  <c r="BA30" i="8" s="1"/>
  <c r="BB30" i="8" s="1" a="1"/>
  <c r="BB30" i="8" s="1"/>
  <c r="BC30" i="8" s="1" a="1"/>
  <c r="BC30" i="8" s="1"/>
  <c r="BD30" i="8" s="1" a="1"/>
  <c r="BD30" i="8" s="1"/>
  <c r="BE30" i="8" s="1" a="1"/>
  <c r="BE30" i="8" s="1"/>
  <c r="BF30" i="8" s="1" a="1"/>
  <c r="BF30" i="8" s="1"/>
  <c r="BG30" i="8" s="1" a="1"/>
  <c r="BG30" i="8" s="1"/>
  <c r="BH30" i="8" s="1" a="1"/>
  <c r="BH30" i="8" s="1"/>
  <c r="BI30" i="8" s="1" a="1"/>
  <c r="BI30" i="8" s="1"/>
  <c r="BJ30" i="8" s="1" a="1"/>
  <c r="BJ30" i="8" s="1"/>
  <c r="BK30" i="8" s="1" a="1"/>
  <c r="BK30" i="8" s="1"/>
  <c r="BL30" i="8" s="1" a="1"/>
  <c r="BL30" i="8" s="1"/>
  <c r="BM30" i="8" s="1" a="1"/>
  <c r="BM30" i="8" s="1"/>
  <c r="AB67" i="8"/>
  <c r="AC6" i="8" a="1"/>
  <c r="AC6" i="8" s="1"/>
  <c r="E31" i="7"/>
  <c r="AE30" i="7" a="1"/>
  <c r="AE30" i="7" s="1"/>
  <c r="AF30" i="7" s="1" a="1"/>
  <c r="AF30" i="7" s="1"/>
  <c r="AG30" i="7" s="1" a="1"/>
  <c r="AG30" i="7" s="1"/>
  <c r="AH30" i="7" s="1" a="1"/>
  <c r="AH30" i="7" s="1"/>
  <c r="AI30" i="7" s="1" a="1"/>
  <c r="AI30" i="7" s="1"/>
  <c r="AJ30" i="7" s="1" a="1"/>
  <c r="AJ30" i="7" s="1"/>
  <c r="AK30" i="7" s="1" a="1"/>
  <c r="AK30" i="7" s="1"/>
  <c r="AL30" i="7" s="1" a="1"/>
  <c r="AL30" i="7" s="1"/>
  <c r="AM30" i="7" s="1" a="1"/>
  <c r="AM30" i="7" s="1"/>
  <c r="AN30" i="7" s="1" a="1"/>
  <c r="AN30" i="7" s="1"/>
  <c r="AO30" i="7" s="1" a="1"/>
  <c r="AO30" i="7" s="1"/>
  <c r="AP30" i="7" s="1" a="1"/>
  <c r="AP30" i="7" s="1"/>
  <c r="AQ30" i="7" s="1" a="1"/>
  <c r="AQ30" i="7" s="1"/>
  <c r="AR30" i="7" s="1" a="1"/>
  <c r="AR30" i="7" s="1"/>
  <c r="AS30" i="7" s="1" a="1"/>
  <c r="AS30" i="7" s="1"/>
  <c r="AT30" i="7" s="1" a="1"/>
  <c r="AT30" i="7" s="1"/>
  <c r="AU30" i="7" s="1" a="1"/>
  <c r="AU30" i="7" s="1"/>
  <c r="AV30" i="7" s="1" a="1"/>
  <c r="AV30" i="7" s="1"/>
  <c r="AW30" i="7" s="1" a="1"/>
  <c r="AW30" i="7" s="1"/>
  <c r="AX30" i="7" s="1" a="1"/>
  <c r="AX30" i="7" s="1"/>
  <c r="AY30" i="7" s="1" a="1"/>
  <c r="AY30" i="7" s="1"/>
  <c r="AZ30" i="7" s="1" a="1"/>
  <c r="AZ30" i="7" s="1"/>
  <c r="BA30" i="7" s="1" a="1"/>
  <c r="BA30" i="7" s="1"/>
  <c r="BB30" i="7" s="1" a="1"/>
  <c r="BB30" i="7" s="1"/>
  <c r="BC30" i="7" s="1" a="1"/>
  <c r="BC30" i="7" s="1"/>
  <c r="BD30" i="7" s="1" a="1"/>
  <c r="BD30" i="7" s="1"/>
  <c r="BE30" i="7" s="1" a="1"/>
  <c r="BE30" i="7" s="1"/>
  <c r="BF30" i="7" s="1" a="1"/>
  <c r="BF30" i="7" s="1"/>
  <c r="BG30" i="7" s="1" a="1"/>
  <c r="BG30" i="7" s="1"/>
  <c r="BH30" i="7" s="1" a="1"/>
  <c r="BH30" i="7" s="1"/>
  <c r="BI30" i="7" s="1" a="1"/>
  <c r="BI30" i="7" s="1"/>
  <c r="BJ30" i="7" s="1" a="1"/>
  <c r="BJ30" i="7" s="1"/>
  <c r="BK30" i="7" s="1" a="1"/>
  <c r="BK30" i="7" s="1"/>
  <c r="BL30" i="7" s="1" a="1"/>
  <c r="BL30" i="7" s="1"/>
  <c r="BM30" i="7" s="1" a="1"/>
  <c r="BM30" i="7" s="1"/>
  <c r="AC6" i="7" a="1"/>
  <c r="AC6" i="7" s="1"/>
  <c r="AB7" i="7" l="1" a="1"/>
  <c r="AB7" i="7" s="1"/>
  <c r="AA67" i="7"/>
  <c r="AD6" i="7" a="1"/>
  <c r="AD6" i="7" s="1"/>
  <c r="E32" i="7"/>
  <c r="AF31" i="7" a="1"/>
  <c r="AF31" i="7" s="1"/>
  <c r="AG31" i="7" s="1" a="1"/>
  <c r="AG31" i="7" s="1"/>
  <c r="AH31" i="7" s="1" a="1"/>
  <c r="AH31" i="7" s="1"/>
  <c r="AI31" i="7" s="1" a="1"/>
  <c r="AI31" i="7" s="1"/>
  <c r="AJ31" i="7" s="1" a="1"/>
  <c r="AJ31" i="7" s="1"/>
  <c r="AK31" i="7" s="1" a="1"/>
  <c r="AK31" i="7" s="1"/>
  <c r="AL31" i="7" s="1" a="1"/>
  <c r="AL31" i="7" s="1"/>
  <c r="AM31" i="7" s="1" a="1"/>
  <c r="AM31" i="7" s="1"/>
  <c r="AN31" i="7" s="1" a="1"/>
  <c r="AN31" i="7" s="1"/>
  <c r="AO31" i="7" s="1" a="1"/>
  <c r="AO31" i="7" s="1"/>
  <c r="AP31" i="7" s="1" a="1"/>
  <c r="AP31" i="7" s="1"/>
  <c r="AQ31" i="7" s="1" a="1"/>
  <c r="AQ31" i="7" s="1"/>
  <c r="AR31" i="7" s="1" a="1"/>
  <c r="AR31" i="7" s="1"/>
  <c r="AS31" i="7" s="1" a="1"/>
  <c r="AS31" i="7" s="1"/>
  <c r="AT31" i="7" s="1" a="1"/>
  <c r="AT31" i="7" s="1"/>
  <c r="AU31" i="7" s="1" a="1"/>
  <c r="AU31" i="7" s="1"/>
  <c r="AV31" i="7" s="1" a="1"/>
  <c r="AV31" i="7" s="1"/>
  <c r="AW31" i="7" s="1" a="1"/>
  <c r="AW31" i="7" s="1"/>
  <c r="AX31" i="7" s="1" a="1"/>
  <c r="AX31" i="7" s="1"/>
  <c r="AY31" i="7" s="1" a="1"/>
  <c r="AY31" i="7" s="1"/>
  <c r="AZ31" i="7" s="1" a="1"/>
  <c r="AZ31" i="7" s="1"/>
  <c r="BA31" i="7" s="1" a="1"/>
  <c r="BA31" i="7" s="1"/>
  <c r="BB31" i="7" s="1" a="1"/>
  <c r="BB31" i="7" s="1"/>
  <c r="BC31" i="7" s="1" a="1"/>
  <c r="BC31" i="7" s="1"/>
  <c r="BD31" i="7" s="1" a="1"/>
  <c r="BD31" i="7" s="1"/>
  <c r="BE31" i="7" s="1" a="1"/>
  <c r="BE31" i="7" s="1"/>
  <c r="BF31" i="7" s="1" a="1"/>
  <c r="BF31" i="7" s="1"/>
  <c r="BG31" i="7" s="1" a="1"/>
  <c r="BG31" i="7" s="1"/>
  <c r="BH31" i="7" s="1" a="1"/>
  <c r="BH31" i="7" s="1"/>
  <c r="BI31" i="7" s="1" a="1"/>
  <c r="BI31" i="7" s="1"/>
  <c r="BJ31" i="7" s="1" a="1"/>
  <c r="BJ31" i="7" s="1"/>
  <c r="BK31" i="7" s="1" a="1"/>
  <c r="BK31" i="7" s="1"/>
  <c r="BL31" i="7" s="1" a="1"/>
  <c r="BL31" i="7" s="1"/>
  <c r="BM31" i="7" s="1" a="1"/>
  <c r="BM31" i="7" s="1"/>
  <c r="AC67" i="8"/>
  <c r="AD6" i="8" a="1"/>
  <c r="AD6" i="8" s="1"/>
  <c r="E32" i="8"/>
  <c r="AF31" i="8" a="1"/>
  <c r="AF31" i="8" s="1"/>
  <c r="AG31" i="8" s="1" a="1"/>
  <c r="AG31" i="8" s="1"/>
  <c r="AH31" i="8" s="1" a="1"/>
  <c r="AH31" i="8" s="1"/>
  <c r="AI31" i="8" s="1" a="1"/>
  <c r="AI31" i="8" s="1"/>
  <c r="AJ31" i="8" s="1" a="1"/>
  <c r="AJ31" i="8" s="1"/>
  <c r="AK31" i="8" s="1" a="1"/>
  <c r="AK31" i="8" s="1"/>
  <c r="AL31" i="8" s="1" a="1"/>
  <c r="AL31" i="8" s="1"/>
  <c r="AM31" i="8" s="1" a="1"/>
  <c r="AM31" i="8" s="1"/>
  <c r="AN31" i="8" s="1" a="1"/>
  <c r="AN31" i="8" s="1"/>
  <c r="AO31" i="8" s="1" a="1"/>
  <c r="AO31" i="8" s="1"/>
  <c r="AP31" i="8" s="1" a="1"/>
  <c r="AP31" i="8" s="1"/>
  <c r="AQ31" i="8" s="1" a="1"/>
  <c r="AQ31" i="8" s="1"/>
  <c r="AR31" i="8" s="1" a="1"/>
  <c r="AR31" i="8" s="1"/>
  <c r="AS31" i="8" s="1" a="1"/>
  <c r="AS31" i="8" s="1"/>
  <c r="AT31" i="8" s="1" a="1"/>
  <c r="AT31" i="8" s="1"/>
  <c r="AU31" i="8" s="1" a="1"/>
  <c r="AU31" i="8" s="1"/>
  <c r="AV31" i="8" s="1" a="1"/>
  <c r="AV31" i="8" s="1"/>
  <c r="AW31" i="8" s="1" a="1"/>
  <c r="AW31" i="8" s="1"/>
  <c r="AX31" i="8" s="1" a="1"/>
  <c r="AX31" i="8" s="1"/>
  <c r="AY31" i="8" s="1" a="1"/>
  <c r="AY31" i="8" s="1"/>
  <c r="AZ31" i="8" s="1" a="1"/>
  <c r="AZ31" i="8" s="1"/>
  <c r="BA31" i="8" s="1" a="1"/>
  <c r="BA31" i="8" s="1"/>
  <c r="BB31" i="8" s="1" a="1"/>
  <c r="BB31" i="8" s="1"/>
  <c r="BC31" i="8" s="1" a="1"/>
  <c r="BC31" i="8" s="1"/>
  <c r="BD31" i="8" s="1" a="1"/>
  <c r="BD31" i="8" s="1"/>
  <c r="BE31" i="8" s="1" a="1"/>
  <c r="BE31" i="8" s="1"/>
  <c r="BF31" i="8" s="1" a="1"/>
  <c r="BF31" i="8" s="1"/>
  <c r="BG31" i="8" s="1" a="1"/>
  <c r="BG31" i="8" s="1"/>
  <c r="BH31" i="8" s="1" a="1"/>
  <c r="BH31" i="8" s="1"/>
  <c r="BI31" i="8" s="1" a="1"/>
  <c r="BI31" i="8" s="1"/>
  <c r="BJ31" i="8" s="1" a="1"/>
  <c r="BJ31" i="8" s="1"/>
  <c r="BK31" i="8" s="1" a="1"/>
  <c r="BK31" i="8" s="1"/>
  <c r="BL31" i="8" s="1" a="1"/>
  <c r="BL31" i="8" s="1"/>
  <c r="BM31" i="8" s="1" a="1"/>
  <c r="BM31" i="8" s="1"/>
  <c r="AC67" i="9"/>
  <c r="AD6" i="9" a="1"/>
  <c r="AD6" i="9" s="1"/>
  <c r="E32" i="9"/>
  <c r="AF31" i="9" a="1"/>
  <c r="AF31" i="9" s="1"/>
  <c r="AG31" i="9" s="1" a="1"/>
  <c r="AG31" i="9" s="1"/>
  <c r="AH31" i="9" s="1" a="1"/>
  <c r="AH31" i="9" s="1"/>
  <c r="AI31" i="9" s="1" a="1"/>
  <c r="AI31" i="9" s="1"/>
  <c r="AJ31" i="9" s="1" a="1"/>
  <c r="AJ31" i="9" s="1"/>
  <c r="AK31" i="9" s="1" a="1"/>
  <c r="AK31" i="9" s="1"/>
  <c r="AL31" i="9" s="1" a="1"/>
  <c r="AL31" i="9" s="1"/>
  <c r="AM31" i="9" s="1" a="1"/>
  <c r="AM31" i="9" s="1"/>
  <c r="AN31" i="9" s="1" a="1"/>
  <c r="AN31" i="9" s="1"/>
  <c r="AO31" i="9" s="1" a="1"/>
  <c r="AO31" i="9" s="1"/>
  <c r="AP31" i="9" s="1" a="1"/>
  <c r="AP31" i="9" s="1"/>
  <c r="AQ31" i="9" s="1" a="1"/>
  <c r="AQ31" i="9" s="1"/>
  <c r="AR31" i="9" s="1" a="1"/>
  <c r="AR31" i="9" s="1"/>
  <c r="AS31" i="9" s="1" a="1"/>
  <c r="AS31" i="9" s="1"/>
  <c r="AT31" i="9" s="1" a="1"/>
  <c r="AT31" i="9" s="1"/>
  <c r="AU31" i="9" s="1" a="1"/>
  <c r="AU31" i="9" s="1"/>
  <c r="AV31" i="9" s="1" a="1"/>
  <c r="AV31" i="9" s="1"/>
  <c r="AW31" i="9" s="1" a="1"/>
  <c r="AW31" i="9" s="1"/>
  <c r="AX31" i="9" s="1" a="1"/>
  <c r="AX31" i="9" s="1"/>
  <c r="AY31" i="9" s="1" a="1"/>
  <c r="AY31" i="9" s="1"/>
  <c r="AZ31" i="9" s="1" a="1"/>
  <c r="AZ31" i="9" s="1"/>
  <c r="BA31" i="9" s="1" a="1"/>
  <c r="BA31" i="9" s="1"/>
  <c r="BB31" i="9" s="1" a="1"/>
  <c r="BB31" i="9" s="1"/>
  <c r="BC31" i="9" s="1" a="1"/>
  <c r="BC31" i="9" s="1"/>
  <c r="BD31" i="9" s="1" a="1"/>
  <c r="BD31" i="9" s="1"/>
  <c r="BE31" i="9" s="1" a="1"/>
  <c r="BE31" i="9" s="1"/>
  <c r="BF31" i="9" s="1" a="1"/>
  <c r="BF31" i="9" s="1"/>
  <c r="BG31" i="9" s="1" a="1"/>
  <c r="BG31" i="9" s="1"/>
  <c r="BH31" i="9" s="1" a="1"/>
  <c r="BH31" i="9" s="1"/>
  <c r="BI31" i="9" s="1" a="1"/>
  <c r="BI31" i="9" s="1"/>
  <c r="BJ31" i="9" s="1" a="1"/>
  <c r="BJ31" i="9" s="1"/>
  <c r="BK31" i="9" s="1" a="1"/>
  <c r="BK31" i="9" s="1"/>
  <c r="BL31" i="9" s="1" a="1"/>
  <c r="BL31" i="9" s="1"/>
  <c r="BM31" i="9" s="1" a="1"/>
  <c r="BM31" i="9" s="1"/>
  <c r="AC7" i="7" l="1" a="1"/>
  <c r="AC7" i="7" s="1"/>
  <c r="AB67" i="7"/>
  <c r="E33" i="9"/>
  <c r="AG32" i="9" a="1"/>
  <c r="AG32" i="9" s="1"/>
  <c r="AH32" i="9" s="1" a="1"/>
  <c r="AH32" i="9" s="1"/>
  <c r="AI32" i="9" s="1" a="1"/>
  <c r="AI32" i="9" s="1"/>
  <c r="AJ32" i="9" s="1" a="1"/>
  <c r="AJ32" i="9" s="1"/>
  <c r="AK32" i="9" s="1" a="1"/>
  <c r="AK32" i="9" s="1"/>
  <c r="AL32" i="9" s="1" a="1"/>
  <c r="AL32" i="9" s="1"/>
  <c r="AM32" i="9" s="1" a="1"/>
  <c r="AM32" i="9" s="1"/>
  <c r="AN32" i="9" s="1" a="1"/>
  <c r="AN32" i="9" s="1"/>
  <c r="AO32" i="9" s="1" a="1"/>
  <c r="AO32" i="9" s="1"/>
  <c r="AP32" i="9" s="1" a="1"/>
  <c r="AP32" i="9" s="1"/>
  <c r="AQ32" i="9" s="1" a="1"/>
  <c r="AQ32" i="9" s="1"/>
  <c r="AR32" i="9" s="1" a="1"/>
  <c r="AR32" i="9" s="1"/>
  <c r="AS32" i="9" s="1" a="1"/>
  <c r="AS32" i="9" s="1"/>
  <c r="AT32" i="9" s="1" a="1"/>
  <c r="AT32" i="9" s="1"/>
  <c r="AU32" i="9" s="1" a="1"/>
  <c r="AU32" i="9" s="1"/>
  <c r="AV32" i="9" s="1" a="1"/>
  <c r="AV32" i="9" s="1"/>
  <c r="AW32" i="9" s="1" a="1"/>
  <c r="AW32" i="9" s="1"/>
  <c r="AX32" i="9" s="1" a="1"/>
  <c r="AX32" i="9" s="1"/>
  <c r="AY32" i="9" s="1" a="1"/>
  <c r="AY32" i="9" s="1"/>
  <c r="AZ32" i="9" s="1" a="1"/>
  <c r="AZ32" i="9" s="1"/>
  <c r="BA32" i="9" s="1" a="1"/>
  <c r="BA32" i="9" s="1"/>
  <c r="BB32" i="9" s="1" a="1"/>
  <c r="BB32" i="9" s="1"/>
  <c r="BC32" i="9" s="1" a="1"/>
  <c r="BC32" i="9" s="1"/>
  <c r="BD32" i="9" s="1" a="1"/>
  <c r="BD32" i="9" s="1"/>
  <c r="BE32" i="9" s="1" a="1"/>
  <c r="BE32" i="9" s="1"/>
  <c r="BF32" i="9" s="1" a="1"/>
  <c r="BF32" i="9" s="1"/>
  <c r="BG32" i="9" s="1" a="1"/>
  <c r="BG32" i="9" s="1"/>
  <c r="BH32" i="9" s="1" a="1"/>
  <c r="BH32" i="9" s="1"/>
  <c r="BI32" i="9" s="1" a="1"/>
  <c r="BI32" i="9" s="1"/>
  <c r="BJ32" i="9" s="1" a="1"/>
  <c r="BJ32" i="9" s="1"/>
  <c r="BK32" i="9" s="1" a="1"/>
  <c r="BK32" i="9" s="1"/>
  <c r="BL32" i="9" s="1" a="1"/>
  <c r="BL32" i="9" s="1"/>
  <c r="BM32" i="9" s="1" a="1"/>
  <c r="BM32" i="9" s="1"/>
  <c r="AD67" i="9"/>
  <c r="AE6" i="9" a="1"/>
  <c r="AE6" i="9" s="1"/>
  <c r="E33" i="8"/>
  <c r="AG32" i="8" a="1"/>
  <c r="AG32" i="8" s="1"/>
  <c r="AH32" i="8" s="1" a="1"/>
  <c r="AH32" i="8" s="1"/>
  <c r="AI32" i="8" s="1" a="1"/>
  <c r="AI32" i="8" s="1"/>
  <c r="AJ32" i="8" s="1" a="1"/>
  <c r="AJ32" i="8" s="1"/>
  <c r="AK32" i="8" s="1" a="1"/>
  <c r="AK32" i="8" s="1"/>
  <c r="AL32" i="8" s="1" a="1"/>
  <c r="AL32" i="8" s="1"/>
  <c r="AM32" i="8" s="1" a="1"/>
  <c r="AM32" i="8" s="1"/>
  <c r="AN32" i="8" s="1" a="1"/>
  <c r="AN32" i="8" s="1"/>
  <c r="AO32" i="8" s="1" a="1"/>
  <c r="AO32" i="8" s="1"/>
  <c r="AP32" i="8" s="1" a="1"/>
  <c r="AP32" i="8" s="1"/>
  <c r="AQ32" i="8" s="1" a="1"/>
  <c r="AQ32" i="8" s="1"/>
  <c r="AR32" i="8" s="1" a="1"/>
  <c r="AR32" i="8" s="1"/>
  <c r="AS32" i="8" s="1" a="1"/>
  <c r="AS32" i="8" s="1"/>
  <c r="AT32" i="8" s="1" a="1"/>
  <c r="AT32" i="8" s="1"/>
  <c r="AU32" i="8" s="1" a="1"/>
  <c r="AU32" i="8" s="1"/>
  <c r="AV32" i="8" s="1" a="1"/>
  <c r="AV32" i="8" s="1"/>
  <c r="AW32" i="8" s="1" a="1"/>
  <c r="AW32" i="8" s="1"/>
  <c r="AX32" i="8" s="1" a="1"/>
  <c r="AX32" i="8" s="1"/>
  <c r="AY32" i="8" s="1" a="1"/>
  <c r="AY32" i="8" s="1"/>
  <c r="AZ32" i="8" s="1" a="1"/>
  <c r="AZ32" i="8" s="1"/>
  <c r="BA32" i="8" s="1" a="1"/>
  <c r="BA32" i="8" s="1"/>
  <c r="BB32" i="8" s="1" a="1"/>
  <c r="BB32" i="8" s="1"/>
  <c r="BC32" i="8" s="1" a="1"/>
  <c r="BC32" i="8" s="1"/>
  <c r="BD32" i="8" s="1" a="1"/>
  <c r="BD32" i="8" s="1"/>
  <c r="BE32" i="8" s="1" a="1"/>
  <c r="BE32" i="8" s="1"/>
  <c r="BF32" i="8" s="1" a="1"/>
  <c r="BF32" i="8" s="1"/>
  <c r="BG32" i="8" s="1" a="1"/>
  <c r="BG32" i="8" s="1"/>
  <c r="BH32" i="8" s="1" a="1"/>
  <c r="BH32" i="8" s="1"/>
  <c r="BI32" i="8" s="1" a="1"/>
  <c r="BI32" i="8" s="1"/>
  <c r="BJ32" i="8" s="1" a="1"/>
  <c r="BJ32" i="8" s="1"/>
  <c r="BK32" i="8" s="1" a="1"/>
  <c r="BK32" i="8" s="1"/>
  <c r="BL32" i="8" s="1" a="1"/>
  <c r="BL32" i="8" s="1"/>
  <c r="BM32" i="8" s="1" a="1"/>
  <c r="BM32" i="8" s="1"/>
  <c r="AD67" i="8"/>
  <c r="AE6" i="8" a="1"/>
  <c r="AE6" i="8" s="1"/>
  <c r="E33" i="7"/>
  <c r="AG32" i="7" a="1"/>
  <c r="AG32" i="7" s="1"/>
  <c r="AH32" i="7" s="1" a="1"/>
  <c r="AH32" i="7" s="1"/>
  <c r="AI32" i="7" s="1" a="1"/>
  <c r="AI32" i="7" s="1"/>
  <c r="AJ32" i="7" s="1" a="1"/>
  <c r="AJ32" i="7" s="1"/>
  <c r="AK32" i="7" s="1" a="1"/>
  <c r="AK32" i="7" s="1"/>
  <c r="AL32" i="7" s="1" a="1"/>
  <c r="AL32" i="7" s="1"/>
  <c r="AM32" i="7" s="1" a="1"/>
  <c r="AM32" i="7" s="1"/>
  <c r="AN32" i="7" s="1" a="1"/>
  <c r="AN32" i="7" s="1"/>
  <c r="AO32" i="7" s="1" a="1"/>
  <c r="AO32" i="7" s="1"/>
  <c r="AP32" i="7" s="1" a="1"/>
  <c r="AP32" i="7" s="1"/>
  <c r="AQ32" i="7" s="1" a="1"/>
  <c r="AQ32" i="7" s="1"/>
  <c r="AR32" i="7" s="1" a="1"/>
  <c r="AR32" i="7" s="1"/>
  <c r="AS32" i="7" s="1" a="1"/>
  <c r="AS32" i="7" s="1"/>
  <c r="AT32" i="7" s="1" a="1"/>
  <c r="AT32" i="7" s="1"/>
  <c r="AU32" i="7" s="1" a="1"/>
  <c r="AU32" i="7" s="1"/>
  <c r="AV32" i="7" s="1" a="1"/>
  <c r="AV32" i="7" s="1"/>
  <c r="AW32" i="7" s="1" a="1"/>
  <c r="AW32" i="7" s="1"/>
  <c r="AX32" i="7" s="1" a="1"/>
  <c r="AX32" i="7" s="1"/>
  <c r="AY32" i="7" s="1" a="1"/>
  <c r="AY32" i="7" s="1"/>
  <c r="AZ32" i="7" s="1" a="1"/>
  <c r="AZ32" i="7" s="1"/>
  <c r="BA32" i="7" s="1" a="1"/>
  <c r="BA32" i="7" s="1"/>
  <c r="BB32" i="7" s="1" a="1"/>
  <c r="BB32" i="7" s="1"/>
  <c r="BC32" i="7" s="1" a="1"/>
  <c r="BC32" i="7" s="1"/>
  <c r="BD32" i="7" s="1" a="1"/>
  <c r="BD32" i="7" s="1"/>
  <c r="BE32" i="7" s="1" a="1"/>
  <c r="BE32" i="7" s="1"/>
  <c r="BF32" i="7" s="1" a="1"/>
  <c r="BF32" i="7" s="1"/>
  <c r="BG32" i="7" s="1" a="1"/>
  <c r="BG32" i="7" s="1"/>
  <c r="BH32" i="7" s="1" a="1"/>
  <c r="BH32" i="7" s="1"/>
  <c r="BI32" i="7" s="1" a="1"/>
  <c r="BI32" i="7" s="1"/>
  <c r="BJ32" i="7" s="1" a="1"/>
  <c r="BJ32" i="7" s="1"/>
  <c r="BK32" i="7" s="1" a="1"/>
  <c r="BK32" i="7" s="1"/>
  <c r="BL32" i="7" s="1" a="1"/>
  <c r="BL32" i="7" s="1"/>
  <c r="BM32" i="7" s="1" a="1"/>
  <c r="BM32" i="7" s="1"/>
  <c r="AE6" i="7" a="1"/>
  <c r="AE6" i="7" s="1"/>
  <c r="AD7" i="7" l="1" a="1"/>
  <c r="AD7" i="7" s="1"/>
  <c r="AC67" i="7"/>
  <c r="AF6" i="7" a="1"/>
  <c r="AF6" i="7" s="1"/>
  <c r="E34" i="7"/>
  <c r="AH33" i="7" a="1"/>
  <c r="AH33" i="7" s="1"/>
  <c r="AI33" i="7" s="1" a="1"/>
  <c r="AI33" i="7" s="1"/>
  <c r="AJ33" i="7" s="1" a="1"/>
  <c r="AJ33" i="7" s="1"/>
  <c r="AK33" i="7" s="1" a="1"/>
  <c r="AK33" i="7" s="1"/>
  <c r="AL33" i="7" s="1" a="1"/>
  <c r="AL33" i="7" s="1"/>
  <c r="AM33" i="7" s="1" a="1"/>
  <c r="AM33" i="7" s="1"/>
  <c r="AN33" i="7" s="1" a="1"/>
  <c r="AN33" i="7" s="1"/>
  <c r="AO33" i="7" s="1" a="1"/>
  <c r="AO33" i="7" s="1"/>
  <c r="AP33" i="7" s="1" a="1"/>
  <c r="AP33" i="7" s="1"/>
  <c r="AQ33" i="7" s="1" a="1"/>
  <c r="AQ33" i="7" s="1"/>
  <c r="AR33" i="7" s="1" a="1"/>
  <c r="AR33" i="7" s="1"/>
  <c r="AS33" i="7" s="1" a="1"/>
  <c r="AS33" i="7" s="1"/>
  <c r="AT33" i="7" s="1" a="1"/>
  <c r="AT33" i="7" s="1"/>
  <c r="AU33" i="7" s="1" a="1"/>
  <c r="AU33" i="7" s="1"/>
  <c r="AV33" i="7" s="1" a="1"/>
  <c r="AV33" i="7" s="1"/>
  <c r="AW33" i="7" s="1" a="1"/>
  <c r="AW33" i="7" s="1"/>
  <c r="AX33" i="7" s="1" a="1"/>
  <c r="AX33" i="7" s="1"/>
  <c r="AY33" i="7" s="1" a="1"/>
  <c r="AY33" i="7" s="1"/>
  <c r="AZ33" i="7" s="1" a="1"/>
  <c r="AZ33" i="7" s="1"/>
  <c r="BA33" i="7" s="1" a="1"/>
  <c r="BA33" i="7" s="1"/>
  <c r="BB33" i="7" s="1" a="1"/>
  <c r="BB33" i="7" s="1"/>
  <c r="BC33" i="7" s="1" a="1"/>
  <c r="BC33" i="7" s="1"/>
  <c r="BD33" i="7" s="1" a="1"/>
  <c r="BD33" i="7" s="1"/>
  <c r="BE33" i="7" s="1" a="1"/>
  <c r="BE33" i="7" s="1"/>
  <c r="BF33" i="7" s="1" a="1"/>
  <c r="BF33" i="7" s="1"/>
  <c r="BG33" i="7" s="1" a="1"/>
  <c r="BG33" i="7" s="1"/>
  <c r="BH33" i="7" s="1" a="1"/>
  <c r="BH33" i="7" s="1"/>
  <c r="BI33" i="7" s="1" a="1"/>
  <c r="BI33" i="7" s="1"/>
  <c r="BJ33" i="7" s="1" a="1"/>
  <c r="BJ33" i="7" s="1"/>
  <c r="BK33" i="7" s="1" a="1"/>
  <c r="BK33" i="7" s="1"/>
  <c r="BL33" i="7" s="1" a="1"/>
  <c r="BL33" i="7" s="1"/>
  <c r="BM33" i="7" s="1" a="1"/>
  <c r="BM33" i="7" s="1"/>
  <c r="AE67" i="8"/>
  <c r="AF6" i="8" a="1"/>
  <c r="AF6" i="8" s="1"/>
  <c r="E34" i="8"/>
  <c r="AH33" i="8" a="1"/>
  <c r="AH33" i="8" s="1"/>
  <c r="AI33" i="8" s="1" a="1"/>
  <c r="AI33" i="8" s="1"/>
  <c r="AJ33" i="8" s="1" a="1"/>
  <c r="AJ33" i="8" s="1"/>
  <c r="AK33" i="8" s="1" a="1"/>
  <c r="AK33" i="8" s="1"/>
  <c r="AL33" i="8" s="1" a="1"/>
  <c r="AL33" i="8" s="1"/>
  <c r="AM33" i="8" s="1" a="1"/>
  <c r="AM33" i="8" s="1"/>
  <c r="AN33" i="8" s="1" a="1"/>
  <c r="AN33" i="8" s="1"/>
  <c r="AO33" i="8" s="1" a="1"/>
  <c r="AO33" i="8" s="1"/>
  <c r="AP33" i="8" s="1" a="1"/>
  <c r="AP33" i="8" s="1"/>
  <c r="AQ33" i="8" s="1" a="1"/>
  <c r="AQ33" i="8" s="1"/>
  <c r="AR33" i="8" s="1" a="1"/>
  <c r="AR33" i="8" s="1"/>
  <c r="AS33" i="8" s="1" a="1"/>
  <c r="AS33" i="8" s="1"/>
  <c r="AT33" i="8" s="1" a="1"/>
  <c r="AT33" i="8" s="1"/>
  <c r="AU33" i="8" s="1" a="1"/>
  <c r="AU33" i="8" s="1"/>
  <c r="AV33" i="8" s="1" a="1"/>
  <c r="AV33" i="8" s="1"/>
  <c r="AW33" i="8" s="1" a="1"/>
  <c r="AW33" i="8" s="1"/>
  <c r="AX33" i="8" s="1" a="1"/>
  <c r="AX33" i="8" s="1"/>
  <c r="AY33" i="8" s="1" a="1"/>
  <c r="AY33" i="8" s="1"/>
  <c r="AZ33" i="8" s="1" a="1"/>
  <c r="AZ33" i="8" s="1"/>
  <c r="BA33" i="8" s="1" a="1"/>
  <c r="BA33" i="8" s="1"/>
  <c r="BB33" i="8" s="1" a="1"/>
  <c r="BB33" i="8" s="1"/>
  <c r="BC33" i="8" s="1" a="1"/>
  <c r="BC33" i="8" s="1"/>
  <c r="BD33" i="8" s="1" a="1"/>
  <c r="BD33" i="8" s="1"/>
  <c r="BE33" i="8" s="1" a="1"/>
  <c r="BE33" i="8" s="1"/>
  <c r="BF33" i="8" s="1" a="1"/>
  <c r="BF33" i="8" s="1"/>
  <c r="BG33" i="8" s="1" a="1"/>
  <c r="BG33" i="8" s="1"/>
  <c r="BH33" i="8" s="1" a="1"/>
  <c r="BH33" i="8" s="1"/>
  <c r="BI33" i="8" s="1" a="1"/>
  <c r="BI33" i="8" s="1"/>
  <c r="BJ33" i="8" s="1" a="1"/>
  <c r="BJ33" i="8" s="1"/>
  <c r="BK33" i="8" s="1" a="1"/>
  <c r="BK33" i="8" s="1"/>
  <c r="BL33" i="8" s="1" a="1"/>
  <c r="BL33" i="8" s="1"/>
  <c r="BM33" i="8" s="1" a="1"/>
  <c r="BM33" i="8" s="1"/>
  <c r="AE67" i="9"/>
  <c r="AF6" i="9" a="1"/>
  <c r="AF6" i="9" s="1"/>
  <c r="E34" i="9"/>
  <c r="AH33" i="9" a="1"/>
  <c r="AH33" i="9" s="1"/>
  <c r="AI33" i="9" s="1" a="1"/>
  <c r="AI33" i="9" s="1"/>
  <c r="AJ33" i="9" s="1" a="1"/>
  <c r="AJ33" i="9" s="1"/>
  <c r="AK33" i="9" s="1" a="1"/>
  <c r="AK33" i="9" s="1"/>
  <c r="AL33" i="9" s="1" a="1"/>
  <c r="AL33" i="9" s="1"/>
  <c r="AM33" i="9" s="1" a="1"/>
  <c r="AM33" i="9" s="1"/>
  <c r="AN33" i="9" s="1" a="1"/>
  <c r="AN33" i="9" s="1"/>
  <c r="AO33" i="9" s="1" a="1"/>
  <c r="AO33" i="9" s="1"/>
  <c r="AP33" i="9" s="1" a="1"/>
  <c r="AP33" i="9" s="1"/>
  <c r="AQ33" i="9" s="1" a="1"/>
  <c r="AQ33" i="9" s="1"/>
  <c r="AR33" i="9" s="1" a="1"/>
  <c r="AR33" i="9" s="1"/>
  <c r="AS33" i="9" s="1" a="1"/>
  <c r="AS33" i="9" s="1"/>
  <c r="AT33" i="9" s="1" a="1"/>
  <c r="AT33" i="9" s="1"/>
  <c r="AU33" i="9" s="1" a="1"/>
  <c r="AU33" i="9" s="1"/>
  <c r="AV33" i="9" s="1" a="1"/>
  <c r="AV33" i="9" s="1"/>
  <c r="AW33" i="9" s="1" a="1"/>
  <c r="AW33" i="9" s="1"/>
  <c r="AX33" i="9" s="1" a="1"/>
  <c r="AX33" i="9" s="1"/>
  <c r="AY33" i="9" s="1" a="1"/>
  <c r="AY33" i="9" s="1"/>
  <c r="AZ33" i="9" s="1" a="1"/>
  <c r="AZ33" i="9" s="1"/>
  <c r="BA33" i="9" s="1" a="1"/>
  <c r="BA33" i="9" s="1"/>
  <c r="BB33" i="9" s="1" a="1"/>
  <c r="BB33" i="9" s="1"/>
  <c r="BC33" i="9" s="1" a="1"/>
  <c r="BC33" i="9" s="1"/>
  <c r="BD33" i="9" s="1" a="1"/>
  <c r="BD33" i="9" s="1"/>
  <c r="BE33" i="9" s="1" a="1"/>
  <c r="BE33" i="9" s="1"/>
  <c r="BF33" i="9" s="1" a="1"/>
  <c r="BF33" i="9" s="1"/>
  <c r="BG33" i="9" s="1" a="1"/>
  <c r="BG33" i="9" s="1"/>
  <c r="BH33" i="9" s="1" a="1"/>
  <c r="BH33" i="9" s="1"/>
  <c r="BI33" i="9" s="1" a="1"/>
  <c r="BI33" i="9" s="1"/>
  <c r="BJ33" i="9" s="1" a="1"/>
  <c r="BJ33" i="9" s="1"/>
  <c r="BK33" i="9" s="1" a="1"/>
  <c r="BK33" i="9" s="1"/>
  <c r="BL33" i="9" s="1" a="1"/>
  <c r="BL33" i="9" s="1"/>
  <c r="BM33" i="9" s="1" a="1"/>
  <c r="BM33" i="9" s="1"/>
  <c r="AE7" i="7" l="1" a="1"/>
  <c r="AE7" i="7" s="1"/>
  <c r="AD67" i="7"/>
  <c r="E35" i="9"/>
  <c r="AI34" i="9" a="1"/>
  <c r="AI34" i="9" s="1"/>
  <c r="AJ34" i="9" s="1" a="1"/>
  <c r="AJ34" i="9" s="1"/>
  <c r="AK34" i="9" s="1" a="1"/>
  <c r="AK34" i="9" s="1"/>
  <c r="AL34" i="9" s="1" a="1"/>
  <c r="AL34" i="9" s="1"/>
  <c r="AM34" i="9" s="1" a="1"/>
  <c r="AM34" i="9" s="1"/>
  <c r="AN34" i="9" s="1" a="1"/>
  <c r="AN34" i="9" s="1"/>
  <c r="AO34" i="9" s="1" a="1"/>
  <c r="AO34" i="9" s="1"/>
  <c r="AP34" i="9" s="1" a="1"/>
  <c r="AP34" i="9" s="1"/>
  <c r="AQ34" i="9" s="1" a="1"/>
  <c r="AQ34" i="9" s="1"/>
  <c r="AR34" i="9" s="1" a="1"/>
  <c r="AR34" i="9" s="1"/>
  <c r="AS34" i="9" s="1" a="1"/>
  <c r="AS34" i="9" s="1"/>
  <c r="AT34" i="9" s="1" a="1"/>
  <c r="AT34" i="9" s="1"/>
  <c r="AU34" i="9" s="1" a="1"/>
  <c r="AU34" i="9" s="1"/>
  <c r="AV34" i="9" s="1" a="1"/>
  <c r="AV34" i="9" s="1"/>
  <c r="AW34" i="9" s="1" a="1"/>
  <c r="AW34" i="9" s="1"/>
  <c r="AX34" i="9" s="1" a="1"/>
  <c r="AX34" i="9" s="1"/>
  <c r="AY34" i="9" s="1" a="1"/>
  <c r="AY34" i="9" s="1"/>
  <c r="AZ34" i="9" s="1" a="1"/>
  <c r="AZ34" i="9" s="1"/>
  <c r="BA34" i="9" s="1" a="1"/>
  <c r="BA34" i="9" s="1"/>
  <c r="BB34" i="9" s="1" a="1"/>
  <c r="BB34" i="9" s="1"/>
  <c r="BC34" i="9" s="1" a="1"/>
  <c r="BC34" i="9" s="1"/>
  <c r="BD34" i="9" s="1" a="1"/>
  <c r="BD34" i="9" s="1"/>
  <c r="BE34" i="9" s="1" a="1"/>
  <c r="BE34" i="9" s="1"/>
  <c r="BF34" i="9" s="1" a="1"/>
  <c r="BF34" i="9" s="1"/>
  <c r="BG34" i="9" s="1" a="1"/>
  <c r="BG34" i="9" s="1"/>
  <c r="BH34" i="9" s="1" a="1"/>
  <c r="BH34" i="9" s="1"/>
  <c r="BI34" i="9" s="1" a="1"/>
  <c r="BI34" i="9" s="1"/>
  <c r="BJ34" i="9" s="1" a="1"/>
  <c r="BJ34" i="9" s="1"/>
  <c r="BK34" i="9" s="1" a="1"/>
  <c r="BK34" i="9" s="1"/>
  <c r="BL34" i="9" s="1" a="1"/>
  <c r="BL34" i="9" s="1"/>
  <c r="BM34" i="9" s="1" a="1"/>
  <c r="BM34" i="9" s="1"/>
  <c r="AF67" i="9"/>
  <c r="AG6" i="9" a="1"/>
  <c r="AG6" i="9" s="1"/>
  <c r="E35" i="8"/>
  <c r="AI34" i="8" a="1"/>
  <c r="AI34" i="8" s="1"/>
  <c r="AJ34" i="8" s="1" a="1"/>
  <c r="AJ34" i="8" s="1"/>
  <c r="AK34" i="8" s="1" a="1"/>
  <c r="AK34" i="8" s="1"/>
  <c r="AL34" i="8" s="1" a="1"/>
  <c r="AL34" i="8" s="1"/>
  <c r="AM34" i="8" s="1" a="1"/>
  <c r="AM34" i="8" s="1"/>
  <c r="AN34" i="8" s="1" a="1"/>
  <c r="AN34" i="8" s="1"/>
  <c r="AO34" i="8" s="1" a="1"/>
  <c r="AO34" i="8" s="1"/>
  <c r="AP34" i="8" s="1" a="1"/>
  <c r="AP34" i="8" s="1"/>
  <c r="AQ34" i="8" s="1" a="1"/>
  <c r="AQ34" i="8" s="1"/>
  <c r="AR34" i="8" s="1" a="1"/>
  <c r="AR34" i="8" s="1"/>
  <c r="AS34" i="8" s="1" a="1"/>
  <c r="AS34" i="8" s="1"/>
  <c r="AT34" i="8" s="1" a="1"/>
  <c r="AT34" i="8" s="1"/>
  <c r="AU34" i="8" s="1" a="1"/>
  <c r="AU34" i="8" s="1"/>
  <c r="AV34" i="8" s="1" a="1"/>
  <c r="AV34" i="8" s="1"/>
  <c r="AW34" i="8" s="1" a="1"/>
  <c r="AW34" i="8" s="1"/>
  <c r="AX34" i="8" s="1" a="1"/>
  <c r="AX34" i="8" s="1"/>
  <c r="AY34" i="8" s="1" a="1"/>
  <c r="AY34" i="8" s="1"/>
  <c r="AZ34" i="8" s="1" a="1"/>
  <c r="AZ34" i="8" s="1"/>
  <c r="BA34" i="8" s="1" a="1"/>
  <c r="BA34" i="8" s="1"/>
  <c r="BB34" i="8" s="1" a="1"/>
  <c r="BB34" i="8" s="1"/>
  <c r="BC34" i="8" s="1" a="1"/>
  <c r="BC34" i="8" s="1"/>
  <c r="BD34" i="8" s="1" a="1"/>
  <c r="BD34" i="8" s="1"/>
  <c r="BE34" i="8" s="1" a="1"/>
  <c r="BE34" i="8" s="1"/>
  <c r="BF34" i="8" s="1" a="1"/>
  <c r="BF34" i="8" s="1"/>
  <c r="BG34" i="8" s="1" a="1"/>
  <c r="BG34" i="8" s="1"/>
  <c r="BH34" i="8" s="1" a="1"/>
  <c r="BH34" i="8" s="1"/>
  <c r="BI34" i="8" s="1" a="1"/>
  <c r="BI34" i="8" s="1"/>
  <c r="BJ34" i="8" s="1" a="1"/>
  <c r="BJ34" i="8" s="1"/>
  <c r="BK34" i="8" s="1" a="1"/>
  <c r="BK34" i="8" s="1"/>
  <c r="BL34" i="8" s="1" a="1"/>
  <c r="BL34" i="8" s="1"/>
  <c r="BM34" i="8" s="1" a="1"/>
  <c r="BM34" i="8" s="1"/>
  <c r="AF67" i="8"/>
  <c r="AG6" i="8" a="1"/>
  <c r="AG6" i="8" s="1"/>
  <c r="E35" i="7"/>
  <c r="AI34" i="7" a="1"/>
  <c r="AI34" i="7" s="1"/>
  <c r="AJ34" i="7" s="1" a="1"/>
  <c r="AJ34" i="7" s="1"/>
  <c r="AK34" i="7" s="1" a="1"/>
  <c r="AK34" i="7" s="1"/>
  <c r="AL34" i="7" s="1" a="1"/>
  <c r="AL34" i="7" s="1"/>
  <c r="AM34" i="7" s="1" a="1"/>
  <c r="AM34" i="7" s="1"/>
  <c r="AN34" i="7" s="1" a="1"/>
  <c r="AN34" i="7" s="1"/>
  <c r="AO34" i="7" s="1" a="1"/>
  <c r="AO34" i="7" s="1"/>
  <c r="AP34" i="7" s="1" a="1"/>
  <c r="AP34" i="7" s="1"/>
  <c r="AQ34" i="7" s="1" a="1"/>
  <c r="AQ34" i="7" s="1"/>
  <c r="AR34" i="7" s="1" a="1"/>
  <c r="AR34" i="7" s="1"/>
  <c r="AS34" i="7" s="1" a="1"/>
  <c r="AS34" i="7" s="1"/>
  <c r="AT34" i="7" s="1" a="1"/>
  <c r="AT34" i="7" s="1"/>
  <c r="AU34" i="7" s="1" a="1"/>
  <c r="AU34" i="7" s="1"/>
  <c r="AV34" i="7" s="1" a="1"/>
  <c r="AV34" i="7" s="1"/>
  <c r="AW34" i="7" s="1" a="1"/>
  <c r="AW34" i="7" s="1"/>
  <c r="AX34" i="7" s="1" a="1"/>
  <c r="AX34" i="7" s="1"/>
  <c r="AY34" i="7" s="1" a="1"/>
  <c r="AY34" i="7" s="1"/>
  <c r="AZ34" i="7" s="1" a="1"/>
  <c r="AZ34" i="7" s="1"/>
  <c r="BA34" i="7" s="1" a="1"/>
  <c r="BA34" i="7" s="1"/>
  <c r="BB34" i="7" s="1" a="1"/>
  <c r="BB34" i="7" s="1"/>
  <c r="BC34" i="7" s="1" a="1"/>
  <c r="BC34" i="7" s="1"/>
  <c r="BD34" i="7" s="1" a="1"/>
  <c r="BD34" i="7" s="1"/>
  <c r="BE34" i="7" s="1" a="1"/>
  <c r="BE34" i="7" s="1"/>
  <c r="BF34" i="7" s="1" a="1"/>
  <c r="BF34" i="7" s="1"/>
  <c r="BG34" i="7" s="1" a="1"/>
  <c r="BG34" i="7" s="1"/>
  <c r="BH34" i="7" s="1" a="1"/>
  <c r="BH34" i="7" s="1"/>
  <c r="BI34" i="7" s="1" a="1"/>
  <c r="BI34" i="7" s="1"/>
  <c r="BJ34" i="7" s="1" a="1"/>
  <c r="BJ34" i="7" s="1"/>
  <c r="BK34" i="7" s="1" a="1"/>
  <c r="BK34" i="7" s="1"/>
  <c r="BL34" i="7" s="1" a="1"/>
  <c r="BL34" i="7" s="1"/>
  <c r="BM34" i="7" s="1" a="1"/>
  <c r="BM34" i="7" s="1"/>
  <c r="AG6" i="7" a="1"/>
  <c r="AG6" i="7" s="1"/>
  <c r="AF7" i="7" l="1" a="1"/>
  <c r="AF7" i="7" s="1"/>
  <c r="AE67" i="7"/>
  <c r="AH6" i="7" a="1"/>
  <c r="AH6" i="7" s="1"/>
  <c r="E36" i="7"/>
  <c r="AJ35" i="7" a="1"/>
  <c r="AJ35" i="7" s="1"/>
  <c r="AK35" i="7" s="1" a="1"/>
  <c r="AK35" i="7" s="1"/>
  <c r="AL35" i="7" s="1" a="1"/>
  <c r="AL35" i="7" s="1"/>
  <c r="AM35" i="7" s="1" a="1"/>
  <c r="AM35" i="7" s="1"/>
  <c r="AN35" i="7" s="1" a="1"/>
  <c r="AN35" i="7" s="1"/>
  <c r="AO35" i="7" s="1" a="1"/>
  <c r="AO35" i="7" s="1"/>
  <c r="AP35" i="7" s="1" a="1"/>
  <c r="AP35" i="7" s="1"/>
  <c r="AQ35" i="7" s="1" a="1"/>
  <c r="AQ35" i="7" s="1"/>
  <c r="AR35" i="7" s="1" a="1"/>
  <c r="AR35" i="7" s="1"/>
  <c r="AS35" i="7" s="1" a="1"/>
  <c r="AS35" i="7" s="1"/>
  <c r="AT35" i="7" s="1" a="1"/>
  <c r="AT35" i="7" s="1"/>
  <c r="AU35" i="7" s="1" a="1"/>
  <c r="AU35" i="7" s="1"/>
  <c r="AV35" i="7" s="1" a="1"/>
  <c r="AV35" i="7" s="1"/>
  <c r="AW35" i="7" s="1" a="1"/>
  <c r="AW35" i="7" s="1"/>
  <c r="AX35" i="7" s="1" a="1"/>
  <c r="AX35" i="7" s="1"/>
  <c r="AY35" i="7" s="1" a="1"/>
  <c r="AY35" i="7" s="1"/>
  <c r="AZ35" i="7" s="1" a="1"/>
  <c r="AZ35" i="7" s="1"/>
  <c r="BA35" i="7" s="1" a="1"/>
  <c r="BA35" i="7" s="1"/>
  <c r="BB35" i="7" s="1" a="1"/>
  <c r="BB35" i="7" s="1"/>
  <c r="BC35" i="7" s="1" a="1"/>
  <c r="BC35" i="7" s="1"/>
  <c r="BD35" i="7" s="1" a="1"/>
  <c r="BD35" i="7" s="1"/>
  <c r="BE35" i="7" s="1" a="1"/>
  <c r="BE35" i="7" s="1"/>
  <c r="BF35" i="7" s="1" a="1"/>
  <c r="BF35" i="7" s="1"/>
  <c r="BG35" i="7" s="1" a="1"/>
  <c r="BG35" i="7" s="1"/>
  <c r="BH35" i="7" s="1" a="1"/>
  <c r="BH35" i="7" s="1"/>
  <c r="BI35" i="7" s="1" a="1"/>
  <c r="BI35" i="7" s="1"/>
  <c r="BJ35" i="7" s="1" a="1"/>
  <c r="BJ35" i="7" s="1"/>
  <c r="BK35" i="7" s="1" a="1"/>
  <c r="BK35" i="7" s="1"/>
  <c r="BL35" i="7" s="1" a="1"/>
  <c r="BL35" i="7" s="1"/>
  <c r="BM35" i="7" s="1" a="1"/>
  <c r="BM35" i="7" s="1"/>
  <c r="AG67" i="8"/>
  <c r="AH6" i="8" a="1"/>
  <c r="AH6" i="8" s="1"/>
  <c r="E36" i="8"/>
  <c r="AJ35" i="8" a="1"/>
  <c r="AJ35" i="8" s="1"/>
  <c r="AK35" i="8" s="1" a="1"/>
  <c r="AK35" i="8" s="1"/>
  <c r="AL35" i="8" s="1" a="1"/>
  <c r="AL35" i="8" s="1"/>
  <c r="AM35" i="8" s="1" a="1"/>
  <c r="AM35" i="8" s="1"/>
  <c r="AN35" i="8" s="1" a="1"/>
  <c r="AN35" i="8" s="1"/>
  <c r="AO35" i="8" s="1" a="1"/>
  <c r="AO35" i="8" s="1"/>
  <c r="AP35" i="8" s="1" a="1"/>
  <c r="AP35" i="8" s="1"/>
  <c r="AQ35" i="8" s="1" a="1"/>
  <c r="AQ35" i="8" s="1"/>
  <c r="AR35" i="8" s="1" a="1"/>
  <c r="AR35" i="8" s="1"/>
  <c r="AS35" i="8" s="1" a="1"/>
  <c r="AS35" i="8" s="1"/>
  <c r="AT35" i="8" s="1" a="1"/>
  <c r="AT35" i="8" s="1"/>
  <c r="AU35" i="8" s="1" a="1"/>
  <c r="AU35" i="8" s="1"/>
  <c r="AV35" i="8" s="1" a="1"/>
  <c r="AV35" i="8" s="1"/>
  <c r="AW35" i="8" s="1" a="1"/>
  <c r="AW35" i="8" s="1"/>
  <c r="AX35" i="8" s="1" a="1"/>
  <c r="AX35" i="8" s="1"/>
  <c r="AY35" i="8" s="1" a="1"/>
  <c r="AY35" i="8" s="1"/>
  <c r="AZ35" i="8" s="1" a="1"/>
  <c r="AZ35" i="8" s="1"/>
  <c r="BA35" i="8" s="1" a="1"/>
  <c r="BA35" i="8" s="1"/>
  <c r="BB35" i="8" s="1" a="1"/>
  <c r="BB35" i="8" s="1"/>
  <c r="BC35" i="8" s="1" a="1"/>
  <c r="BC35" i="8" s="1"/>
  <c r="BD35" i="8" s="1" a="1"/>
  <c r="BD35" i="8" s="1"/>
  <c r="BE35" i="8" s="1" a="1"/>
  <c r="BE35" i="8" s="1"/>
  <c r="BF35" i="8" s="1" a="1"/>
  <c r="BF35" i="8" s="1"/>
  <c r="BG35" i="8" s="1" a="1"/>
  <c r="BG35" i="8" s="1"/>
  <c r="BH35" i="8" s="1" a="1"/>
  <c r="BH35" i="8" s="1"/>
  <c r="BI35" i="8" s="1" a="1"/>
  <c r="BI35" i="8" s="1"/>
  <c r="BJ35" i="8" s="1" a="1"/>
  <c r="BJ35" i="8" s="1"/>
  <c r="BK35" i="8" s="1" a="1"/>
  <c r="BK35" i="8" s="1"/>
  <c r="BL35" i="8" s="1" a="1"/>
  <c r="BL35" i="8" s="1"/>
  <c r="BM35" i="8" s="1" a="1"/>
  <c r="BM35" i="8" s="1"/>
  <c r="AG67" i="9"/>
  <c r="AH6" i="9" a="1"/>
  <c r="AH6" i="9" s="1"/>
  <c r="E36" i="9"/>
  <c r="AJ35" i="9" a="1"/>
  <c r="AJ35" i="9" s="1"/>
  <c r="AK35" i="9" s="1" a="1"/>
  <c r="AK35" i="9" s="1"/>
  <c r="AL35" i="9" s="1" a="1"/>
  <c r="AL35" i="9" s="1"/>
  <c r="AM35" i="9" s="1" a="1"/>
  <c r="AM35" i="9" s="1"/>
  <c r="AN35" i="9" s="1" a="1"/>
  <c r="AN35" i="9" s="1"/>
  <c r="AO35" i="9" s="1" a="1"/>
  <c r="AO35" i="9" s="1"/>
  <c r="AP35" i="9" s="1" a="1"/>
  <c r="AP35" i="9" s="1"/>
  <c r="AQ35" i="9" s="1" a="1"/>
  <c r="AQ35" i="9" s="1"/>
  <c r="AR35" i="9" s="1" a="1"/>
  <c r="AR35" i="9" s="1"/>
  <c r="AS35" i="9" s="1" a="1"/>
  <c r="AS35" i="9" s="1"/>
  <c r="AT35" i="9" s="1" a="1"/>
  <c r="AT35" i="9" s="1"/>
  <c r="AU35" i="9" s="1" a="1"/>
  <c r="AU35" i="9" s="1"/>
  <c r="AV35" i="9" s="1" a="1"/>
  <c r="AV35" i="9" s="1"/>
  <c r="AW35" i="9" s="1" a="1"/>
  <c r="AW35" i="9" s="1"/>
  <c r="AX35" i="9" s="1" a="1"/>
  <c r="AX35" i="9" s="1"/>
  <c r="AY35" i="9" s="1" a="1"/>
  <c r="AY35" i="9" s="1"/>
  <c r="AZ35" i="9" s="1" a="1"/>
  <c r="AZ35" i="9" s="1"/>
  <c r="BA35" i="9" s="1" a="1"/>
  <c r="BA35" i="9" s="1"/>
  <c r="BB35" i="9" s="1" a="1"/>
  <c r="BB35" i="9" s="1"/>
  <c r="BC35" i="9" s="1" a="1"/>
  <c r="BC35" i="9" s="1"/>
  <c r="BD35" i="9" s="1" a="1"/>
  <c r="BD35" i="9" s="1"/>
  <c r="BE35" i="9" s="1" a="1"/>
  <c r="BE35" i="9" s="1"/>
  <c r="BF35" i="9" s="1" a="1"/>
  <c r="BF35" i="9" s="1"/>
  <c r="BG35" i="9" s="1" a="1"/>
  <c r="BG35" i="9" s="1"/>
  <c r="BH35" i="9" s="1" a="1"/>
  <c r="BH35" i="9" s="1"/>
  <c r="BI35" i="9" s="1" a="1"/>
  <c r="BI35" i="9" s="1"/>
  <c r="BJ35" i="9" s="1" a="1"/>
  <c r="BJ35" i="9" s="1"/>
  <c r="BK35" i="9" s="1" a="1"/>
  <c r="BK35" i="9" s="1"/>
  <c r="BL35" i="9" s="1" a="1"/>
  <c r="BL35" i="9" s="1"/>
  <c r="BM35" i="9" s="1" a="1"/>
  <c r="BM35" i="9" s="1"/>
  <c r="AG7" i="7" l="1" a="1"/>
  <c r="AG7" i="7" s="1"/>
  <c r="AF67" i="7"/>
  <c r="E37" i="9"/>
  <c r="AK36" i="9" a="1"/>
  <c r="AK36" i="9" s="1"/>
  <c r="AL36" i="9" s="1" a="1"/>
  <c r="AL36" i="9" s="1"/>
  <c r="AM36" i="9" s="1" a="1"/>
  <c r="AM36" i="9" s="1"/>
  <c r="AN36" i="9" s="1" a="1"/>
  <c r="AN36" i="9" s="1"/>
  <c r="AO36" i="9" s="1" a="1"/>
  <c r="AO36" i="9" s="1"/>
  <c r="AP36" i="9" s="1" a="1"/>
  <c r="AP36" i="9" s="1"/>
  <c r="AQ36" i="9" s="1" a="1"/>
  <c r="AQ36" i="9" s="1"/>
  <c r="AR36" i="9" s="1" a="1"/>
  <c r="AR36" i="9" s="1"/>
  <c r="AS36" i="9" s="1" a="1"/>
  <c r="AS36" i="9" s="1"/>
  <c r="AT36" i="9" s="1" a="1"/>
  <c r="AT36" i="9" s="1"/>
  <c r="AU36" i="9" s="1" a="1"/>
  <c r="AU36" i="9" s="1"/>
  <c r="AV36" i="9" s="1" a="1"/>
  <c r="AV36" i="9" s="1"/>
  <c r="AW36" i="9" s="1" a="1"/>
  <c r="AW36" i="9" s="1"/>
  <c r="AX36" i="9" s="1" a="1"/>
  <c r="AX36" i="9" s="1"/>
  <c r="AY36" i="9" s="1" a="1"/>
  <c r="AY36" i="9" s="1"/>
  <c r="AZ36" i="9" s="1" a="1"/>
  <c r="AZ36" i="9" s="1"/>
  <c r="BA36" i="9" s="1" a="1"/>
  <c r="BA36" i="9" s="1"/>
  <c r="BB36" i="9" s="1" a="1"/>
  <c r="BB36" i="9" s="1"/>
  <c r="BC36" i="9" s="1" a="1"/>
  <c r="BC36" i="9" s="1"/>
  <c r="BD36" i="9" s="1" a="1"/>
  <c r="BD36" i="9" s="1"/>
  <c r="BE36" i="9" s="1" a="1"/>
  <c r="BE36" i="9" s="1"/>
  <c r="BF36" i="9" s="1" a="1"/>
  <c r="BF36" i="9" s="1"/>
  <c r="BG36" i="9" s="1" a="1"/>
  <c r="BG36" i="9" s="1"/>
  <c r="BH36" i="9" s="1" a="1"/>
  <c r="BH36" i="9" s="1"/>
  <c r="BI36" i="9" s="1" a="1"/>
  <c r="BI36" i="9" s="1"/>
  <c r="BJ36" i="9" s="1" a="1"/>
  <c r="BJ36" i="9" s="1"/>
  <c r="BK36" i="9" s="1" a="1"/>
  <c r="BK36" i="9" s="1"/>
  <c r="BL36" i="9" s="1" a="1"/>
  <c r="BL36" i="9" s="1"/>
  <c r="BM36" i="9" s="1" a="1"/>
  <c r="BM36" i="9" s="1"/>
  <c r="AH67" i="9"/>
  <c r="AI6" i="9" a="1"/>
  <c r="AI6" i="9" s="1"/>
  <c r="E37" i="8"/>
  <c r="AK36" i="8" a="1"/>
  <c r="AK36" i="8" s="1"/>
  <c r="AL36" i="8" s="1" a="1"/>
  <c r="AL36" i="8" s="1"/>
  <c r="AM36" i="8" s="1" a="1"/>
  <c r="AM36" i="8" s="1"/>
  <c r="AN36" i="8" s="1" a="1"/>
  <c r="AN36" i="8" s="1"/>
  <c r="AO36" i="8" s="1" a="1"/>
  <c r="AO36" i="8" s="1"/>
  <c r="AP36" i="8" s="1" a="1"/>
  <c r="AP36" i="8" s="1"/>
  <c r="AQ36" i="8" s="1" a="1"/>
  <c r="AQ36" i="8" s="1"/>
  <c r="AR36" i="8" s="1" a="1"/>
  <c r="AR36" i="8" s="1"/>
  <c r="AS36" i="8" s="1" a="1"/>
  <c r="AS36" i="8" s="1"/>
  <c r="AT36" i="8" s="1" a="1"/>
  <c r="AT36" i="8" s="1"/>
  <c r="AU36" i="8" s="1" a="1"/>
  <c r="AU36" i="8" s="1"/>
  <c r="AV36" i="8" s="1" a="1"/>
  <c r="AV36" i="8" s="1"/>
  <c r="AW36" i="8" s="1" a="1"/>
  <c r="AW36" i="8" s="1"/>
  <c r="AX36" i="8" s="1" a="1"/>
  <c r="AX36" i="8" s="1"/>
  <c r="AY36" i="8" s="1" a="1"/>
  <c r="AY36" i="8" s="1"/>
  <c r="AZ36" i="8" s="1" a="1"/>
  <c r="AZ36" i="8" s="1"/>
  <c r="BA36" i="8" s="1" a="1"/>
  <c r="BA36" i="8" s="1"/>
  <c r="BB36" i="8" s="1" a="1"/>
  <c r="BB36" i="8" s="1"/>
  <c r="BC36" i="8" s="1" a="1"/>
  <c r="BC36" i="8" s="1"/>
  <c r="BD36" i="8" s="1" a="1"/>
  <c r="BD36" i="8" s="1"/>
  <c r="BE36" i="8" s="1" a="1"/>
  <c r="BE36" i="8" s="1"/>
  <c r="BF36" i="8" s="1" a="1"/>
  <c r="BF36" i="8" s="1"/>
  <c r="BG36" i="8" s="1" a="1"/>
  <c r="BG36" i="8" s="1"/>
  <c r="BH36" i="8" s="1" a="1"/>
  <c r="BH36" i="8" s="1"/>
  <c r="BI36" i="8" s="1" a="1"/>
  <c r="BI36" i="8" s="1"/>
  <c r="BJ36" i="8" s="1" a="1"/>
  <c r="BJ36" i="8" s="1"/>
  <c r="BK36" i="8" s="1" a="1"/>
  <c r="BK36" i="8" s="1"/>
  <c r="BL36" i="8" s="1" a="1"/>
  <c r="BL36" i="8" s="1"/>
  <c r="BM36" i="8" s="1" a="1"/>
  <c r="BM36" i="8" s="1"/>
  <c r="AH67" i="8"/>
  <c r="AI6" i="8" a="1"/>
  <c r="AI6" i="8" s="1"/>
  <c r="E37" i="7"/>
  <c r="AK36" i="7" a="1"/>
  <c r="AK36" i="7" s="1"/>
  <c r="AL36" i="7" s="1" a="1"/>
  <c r="AL36" i="7" s="1"/>
  <c r="AM36" i="7" s="1" a="1"/>
  <c r="AM36" i="7" s="1"/>
  <c r="AN36" i="7" s="1" a="1"/>
  <c r="AN36" i="7" s="1"/>
  <c r="AO36" i="7" s="1" a="1"/>
  <c r="AO36" i="7" s="1"/>
  <c r="AP36" i="7" s="1" a="1"/>
  <c r="AP36" i="7" s="1"/>
  <c r="AQ36" i="7" s="1" a="1"/>
  <c r="AQ36" i="7" s="1"/>
  <c r="AR36" i="7" s="1" a="1"/>
  <c r="AR36" i="7" s="1"/>
  <c r="AS36" i="7" s="1" a="1"/>
  <c r="AS36" i="7" s="1"/>
  <c r="AT36" i="7" s="1" a="1"/>
  <c r="AT36" i="7" s="1"/>
  <c r="AU36" i="7" s="1" a="1"/>
  <c r="AU36" i="7" s="1"/>
  <c r="AV36" i="7" s="1" a="1"/>
  <c r="AV36" i="7" s="1"/>
  <c r="AW36" i="7" s="1" a="1"/>
  <c r="AW36" i="7" s="1"/>
  <c r="AX36" i="7" s="1" a="1"/>
  <c r="AX36" i="7" s="1"/>
  <c r="AY36" i="7" s="1" a="1"/>
  <c r="AY36" i="7" s="1"/>
  <c r="AZ36" i="7" s="1" a="1"/>
  <c r="AZ36" i="7" s="1"/>
  <c r="BA36" i="7" s="1" a="1"/>
  <c r="BA36" i="7" s="1"/>
  <c r="BB36" i="7" s="1" a="1"/>
  <c r="BB36" i="7" s="1"/>
  <c r="BC36" i="7" s="1" a="1"/>
  <c r="BC36" i="7" s="1"/>
  <c r="BD36" i="7" s="1" a="1"/>
  <c r="BD36" i="7" s="1"/>
  <c r="BE36" i="7" s="1" a="1"/>
  <c r="BE36" i="7" s="1"/>
  <c r="BF36" i="7" s="1" a="1"/>
  <c r="BF36" i="7" s="1"/>
  <c r="BG36" i="7" s="1" a="1"/>
  <c r="BG36" i="7" s="1"/>
  <c r="BH36" i="7" s="1" a="1"/>
  <c r="BH36" i="7" s="1"/>
  <c r="BI36" i="7" s="1" a="1"/>
  <c r="BI36" i="7" s="1"/>
  <c r="BJ36" i="7" s="1" a="1"/>
  <c r="BJ36" i="7" s="1"/>
  <c r="BK36" i="7" s="1" a="1"/>
  <c r="BK36" i="7" s="1"/>
  <c r="BL36" i="7" s="1" a="1"/>
  <c r="BL36" i="7" s="1"/>
  <c r="BM36" i="7" s="1" a="1"/>
  <c r="BM36" i="7" s="1"/>
  <c r="AI6" i="7" a="1"/>
  <c r="AI6" i="7" s="1"/>
  <c r="AH7" i="7" l="1" a="1"/>
  <c r="AH7" i="7" s="1"/>
  <c r="AG67" i="7"/>
  <c r="AJ6" i="7" a="1"/>
  <c r="AJ6" i="7" s="1"/>
  <c r="E38" i="7"/>
  <c r="AL37" i="7" a="1"/>
  <c r="AL37" i="7" s="1"/>
  <c r="AM37" i="7" s="1" a="1"/>
  <c r="AM37" i="7" s="1"/>
  <c r="AN37" i="7" s="1" a="1"/>
  <c r="AN37" i="7" s="1"/>
  <c r="AO37" i="7" s="1" a="1"/>
  <c r="AO37" i="7" s="1"/>
  <c r="AP37" i="7" s="1" a="1"/>
  <c r="AP37" i="7" s="1"/>
  <c r="AQ37" i="7" s="1" a="1"/>
  <c r="AQ37" i="7" s="1"/>
  <c r="AR37" i="7" s="1" a="1"/>
  <c r="AR37" i="7" s="1"/>
  <c r="AS37" i="7" s="1" a="1"/>
  <c r="AS37" i="7" s="1"/>
  <c r="AT37" i="7" s="1" a="1"/>
  <c r="AT37" i="7" s="1"/>
  <c r="AU37" i="7" s="1" a="1"/>
  <c r="AU37" i="7" s="1"/>
  <c r="AV37" i="7" s="1" a="1"/>
  <c r="AV37" i="7" s="1"/>
  <c r="AW37" i="7" s="1" a="1"/>
  <c r="AW37" i="7" s="1"/>
  <c r="AX37" i="7" s="1" a="1"/>
  <c r="AX37" i="7" s="1"/>
  <c r="AY37" i="7" s="1" a="1"/>
  <c r="AY37" i="7" s="1"/>
  <c r="AZ37" i="7" s="1" a="1"/>
  <c r="AZ37" i="7" s="1"/>
  <c r="BA37" i="7" s="1" a="1"/>
  <c r="BA37" i="7" s="1"/>
  <c r="BB37" i="7" s="1" a="1"/>
  <c r="BB37" i="7" s="1"/>
  <c r="BC37" i="7" s="1" a="1"/>
  <c r="BC37" i="7" s="1"/>
  <c r="BD37" i="7" s="1" a="1"/>
  <c r="BD37" i="7" s="1"/>
  <c r="BE37" i="7" s="1" a="1"/>
  <c r="BE37" i="7" s="1"/>
  <c r="BF37" i="7" s="1" a="1"/>
  <c r="BF37" i="7" s="1"/>
  <c r="BG37" i="7" s="1" a="1"/>
  <c r="BG37" i="7" s="1"/>
  <c r="BH37" i="7" s="1" a="1"/>
  <c r="BH37" i="7" s="1"/>
  <c r="BI37" i="7" s="1" a="1"/>
  <c r="BI37" i="7" s="1"/>
  <c r="BJ37" i="7" s="1" a="1"/>
  <c r="BJ37" i="7" s="1"/>
  <c r="BK37" i="7" s="1" a="1"/>
  <c r="BK37" i="7" s="1"/>
  <c r="BL37" i="7" s="1" a="1"/>
  <c r="BL37" i="7" s="1"/>
  <c r="BM37" i="7" s="1" a="1"/>
  <c r="BM37" i="7" s="1"/>
  <c r="AI67" i="8"/>
  <c r="AJ6" i="8" a="1"/>
  <c r="AJ6" i="8" s="1"/>
  <c r="E38" i="8"/>
  <c r="AL37" i="8" a="1"/>
  <c r="AL37" i="8" s="1"/>
  <c r="AM37" i="8" s="1" a="1"/>
  <c r="AM37" i="8" s="1"/>
  <c r="AN37" i="8" s="1" a="1"/>
  <c r="AN37" i="8" s="1"/>
  <c r="AO37" i="8" s="1" a="1"/>
  <c r="AO37" i="8" s="1"/>
  <c r="AP37" i="8" s="1" a="1"/>
  <c r="AP37" i="8" s="1"/>
  <c r="AQ37" i="8" s="1" a="1"/>
  <c r="AQ37" i="8" s="1"/>
  <c r="AR37" i="8" s="1" a="1"/>
  <c r="AR37" i="8" s="1"/>
  <c r="AS37" i="8" s="1" a="1"/>
  <c r="AS37" i="8" s="1"/>
  <c r="AT37" i="8" s="1" a="1"/>
  <c r="AT37" i="8" s="1"/>
  <c r="AU37" i="8" s="1" a="1"/>
  <c r="AU37" i="8" s="1"/>
  <c r="AV37" i="8" s="1" a="1"/>
  <c r="AV37" i="8" s="1"/>
  <c r="AW37" i="8" s="1" a="1"/>
  <c r="AW37" i="8" s="1"/>
  <c r="AX37" i="8" s="1" a="1"/>
  <c r="AX37" i="8" s="1"/>
  <c r="AY37" i="8" s="1" a="1"/>
  <c r="AY37" i="8" s="1"/>
  <c r="AZ37" i="8" s="1" a="1"/>
  <c r="AZ37" i="8" s="1"/>
  <c r="BA37" i="8" s="1" a="1"/>
  <c r="BA37" i="8" s="1"/>
  <c r="BB37" i="8" s="1" a="1"/>
  <c r="BB37" i="8" s="1"/>
  <c r="BC37" i="8" s="1" a="1"/>
  <c r="BC37" i="8" s="1"/>
  <c r="BD37" i="8" s="1" a="1"/>
  <c r="BD37" i="8" s="1"/>
  <c r="BE37" i="8" s="1" a="1"/>
  <c r="BE37" i="8" s="1"/>
  <c r="BF37" i="8" s="1" a="1"/>
  <c r="BF37" i="8" s="1"/>
  <c r="BG37" i="8" s="1" a="1"/>
  <c r="BG37" i="8" s="1"/>
  <c r="BH37" i="8" s="1" a="1"/>
  <c r="BH37" i="8" s="1"/>
  <c r="BI37" i="8" s="1" a="1"/>
  <c r="BI37" i="8" s="1"/>
  <c r="BJ37" i="8" s="1" a="1"/>
  <c r="BJ37" i="8" s="1"/>
  <c r="BK37" i="8" s="1" a="1"/>
  <c r="BK37" i="8" s="1"/>
  <c r="BL37" i="8" s="1" a="1"/>
  <c r="BL37" i="8" s="1"/>
  <c r="BM37" i="8" s="1" a="1"/>
  <c r="BM37" i="8" s="1"/>
  <c r="AI67" i="9"/>
  <c r="AJ6" i="9" a="1"/>
  <c r="AJ6" i="9" s="1"/>
  <c r="E38" i="9"/>
  <c r="AL37" i="9" a="1"/>
  <c r="AL37" i="9" s="1"/>
  <c r="AM37" i="9" s="1" a="1"/>
  <c r="AM37" i="9" s="1"/>
  <c r="AN37" i="9" s="1" a="1"/>
  <c r="AN37" i="9" s="1"/>
  <c r="AO37" i="9" s="1" a="1"/>
  <c r="AO37" i="9" s="1"/>
  <c r="AP37" i="9" s="1" a="1"/>
  <c r="AP37" i="9" s="1"/>
  <c r="AQ37" i="9" s="1" a="1"/>
  <c r="AQ37" i="9" s="1"/>
  <c r="AR37" i="9" s="1" a="1"/>
  <c r="AR37" i="9" s="1"/>
  <c r="AS37" i="9" s="1" a="1"/>
  <c r="AS37" i="9" s="1"/>
  <c r="AT37" i="9" s="1" a="1"/>
  <c r="AT37" i="9" s="1"/>
  <c r="AU37" i="9" s="1" a="1"/>
  <c r="AU37" i="9" s="1"/>
  <c r="AV37" i="9" s="1" a="1"/>
  <c r="AV37" i="9" s="1"/>
  <c r="AW37" i="9" s="1" a="1"/>
  <c r="AW37" i="9" s="1"/>
  <c r="AX37" i="9" s="1" a="1"/>
  <c r="AX37" i="9" s="1"/>
  <c r="AY37" i="9" s="1" a="1"/>
  <c r="AY37" i="9" s="1"/>
  <c r="AZ37" i="9" s="1" a="1"/>
  <c r="AZ37" i="9" s="1"/>
  <c r="BA37" i="9" s="1" a="1"/>
  <c r="BA37" i="9" s="1"/>
  <c r="BB37" i="9" s="1" a="1"/>
  <c r="BB37" i="9" s="1"/>
  <c r="BC37" i="9" s="1" a="1"/>
  <c r="BC37" i="9" s="1"/>
  <c r="BD37" i="9" s="1" a="1"/>
  <c r="BD37" i="9" s="1"/>
  <c r="BE37" i="9" s="1" a="1"/>
  <c r="BE37" i="9" s="1"/>
  <c r="BF37" i="9" s="1" a="1"/>
  <c r="BF37" i="9" s="1"/>
  <c r="BG37" i="9" s="1" a="1"/>
  <c r="BG37" i="9" s="1"/>
  <c r="BH37" i="9" s="1" a="1"/>
  <c r="BH37" i="9" s="1"/>
  <c r="BI37" i="9" s="1" a="1"/>
  <c r="BI37" i="9" s="1"/>
  <c r="BJ37" i="9" s="1" a="1"/>
  <c r="BJ37" i="9" s="1"/>
  <c r="BK37" i="9" s="1" a="1"/>
  <c r="BK37" i="9" s="1"/>
  <c r="BL37" i="9" s="1" a="1"/>
  <c r="BL37" i="9" s="1"/>
  <c r="BM37" i="9" s="1" a="1"/>
  <c r="BM37" i="9" s="1"/>
  <c r="AI7" i="7" l="1" a="1"/>
  <c r="AI7" i="7" s="1"/>
  <c r="AH67" i="7"/>
  <c r="E39" i="9"/>
  <c r="AM38" i="9" a="1"/>
  <c r="AM38" i="9" s="1"/>
  <c r="AN38" i="9" s="1" a="1"/>
  <c r="AN38" i="9" s="1"/>
  <c r="AO38" i="9" s="1" a="1"/>
  <c r="AO38" i="9" s="1"/>
  <c r="AP38" i="9" s="1" a="1"/>
  <c r="AP38" i="9" s="1"/>
  <c r="AQ38" i="9" s="1" a="1"/>
  <c r="AQ38" i="9" s="1"/>
  <c r="AR38" i="9" s="1" a="1"/>
  <c r="AR38" i="9" s="1"/>
  <c r="AS38" i="9" s="1" a="1"/>
  <c r="AS38" i="9" s="1"/>
  <c r="AT38" i="9" s="1" a="1"/>
  <c r="AT38" i="9" s="1"/>
  <c r="AU38" i="9" s="1" a="1"/>
  <c r="AU38" i="9" s="1"/>
  <c r="AV38" i="9" s="1" a="1"/>
  <c r="AV38" i="9" s="1"/>
  <c r="AW38" i="9" s="1" a="1"/>
  <c r="AW38" i="9" s="1"/>
  <c r="AX38" i="9" s="1" a="1"/>
  <c r="AX38" i="9" s="1"/>
  <c r="AY38" i="9" s="1" a="1"/>
  <c r="AY38" i="9" s="1"/>
  <c r="AZ38" i="9" s="1" a="1"/>
  <c r="AZ38" i="9" s="1"/>
  <c r="BA38" i="9" s="1" a="1"/>
  <c r="BA38" i="9" s="1"/>
  <c r="BB38" i="9" s="1" a="1"/>
  <c r="BB38" i="9" s="1"/>
  <c r="BC38" i="9" s="1" a="1"/>
  <c r="BC38" i="9" s="1"/>
  <c r="BD38" i="9" s="1" a="1"/>
  <c r="BD38" i="9" s="1"/>
  <c r="BE38" i="9" s="1" a="1"/>
  <c r="BE38" i="9" s="1"/>
  <c r="BF38" i="9" s="1" a="1"/>
  <c r="BF38" i="9" s="1"/>
  <c r="BG38" i="9" s="1" a="1"/>
  <c r="BG38" i="9" s="1"/>
  <c r="BH38" i="9" s="1" a="1"/>
  <c r="BH38" i="9" s="1"/>
  <c r="BI38" i="9" s="1" a="1"/>
  <c r="BI38" i="9" s="1"/>
  <c r="BJ38" i="9" s="1" a="1"/>
  <c r="BJ38" i="9" s="1"/>
  <c r="BK38" i="9" s="1" a="1"/>
  <c r="BK38" i="9" s="1"/>
  <c r="BL38" i="9" s="1" a="1"/>
  <c r="BL38" i="9" s="1"/>
  <c r="BM38" i="9" s="1" a="1"/>
  <c r="BM38" i="9" s="1"/>
  <c r="AJ67" i="9"/>
  <c r="AK6" i="9" a="1"/>
  <c r="AK6" i="9" s="1"/>
  <c r="E39" i="8"/>
  <c r="AM38" i="8" a="1"/>
  <c r="AM38" i="8" s="1"/>
  <c r="AN38" i="8" s="1" a="1"/>
  <c r="AN38" i="8" s="1"/>
  <c r="AO38" i="8" s="1" a="1"/>
  <c r="AO38" i="8" s="1"/>
  <c r="AP38" i="8" s="1" a="1"/>
  <c r="AP38" i="8" s="1"/>
  <c r="AQ38" i="8" s="1" a="1"/>
  <c r="AQ38" i="8" s="1"/>
  <c r="AR38" i="8" s="1" a="1"/>
  <c r="AR38" i="8" s="1"/>
  <c r="AS38" i="8" s="1" a="1"/>
  <c r="AS38" i="8" s="1"/>
  <c r="AT38" i="8" s="1" a="1"/>
  <c r="AT38" i="8" s="1"/>
  <c r="AU38" i="8" s="1" a="1"/>
  <c r="AU38" i="8" s="1"/>
  <c r="AV38" i="8" s="1" a="1"/>
  <c r="AV38" i="8" s="1"/>
  <c r="AW38" i="8" s="1" a="1"/>
  <c r="AW38" i="8" s="1"/>
  <c r="AX38" i="8" s="1" a="1"/>
  <c r="AX38" i="8" s="1"/>
  <c r="AY38" i="8" s="1" a="1"/>
  <c r="AY38" i="8" s="1"/>
  <c r="AZ38" i="8" s="1" a="1"/>
  <c r="AZ38" i="8" s="1"/>
  <c r="BA38" i="8" s="1" a="1"/>
  <c r="BA38" i="8" s="1"/>
  <c r="BB38" i="8" s="1" a="1"/>
  <c r="BB38" i="8" s="1"/>
  <c r="BC38" i="8" s="1" a="1"/>
  <c r="BC38" i="8" s="1"/>
  <c r="BD38" i="8" s="1" a="1"/>
  <c r="BD38" i="8" s="1"/>
  <c r="BE38" i="8" s="1" a="1"/>
  <c r="BE38" i="8" s="1"/>
  <c r="BF38" i="8" s="1" a="1"/>
  <c r="BF38" i="8" s="1"/>
  <c r="BG38" i="8" s="1" a="1"/>
  <c r="BG38" i="8" s="1"/>
  <c r="BH38" i="8" s="1" a="1"/>
  <c r="BH38" i="8" s="1"/>
  <c r="BI38" i="8" s="1" a="1"/>
  <c r="BI38" i="8" s="1"/>
  <c r="BJ38" i="8" s="1" a="1"/>
  <c r="BJ38" i="8" s="1"/>
  <c r="BK38" i="8" s="1" a="1"/>
  <c r="BK38" i="8" s="1"/>
  <c r="BL38" i="8" s="1" a="1"/>
  <c r="BL38" i="8" s="1"/>
  <c r="BM38" i="8" s="1" a="1"/>
  <c r="BM38" i="8" s="1"/>
  <c r="AJ67" i="8"/>
  <c r="AK6" i="8" a="1"/>
  <c r="AK6" i="8" s="1"/>
  <c r="E39" i="7"/>
  <c r="AM38" i="7" a="1"/>
  <c r="AM38" i="7" s="1"/>
  <c r="AN38" i="7" s="1" a="1"/>
  <c r="AN38" i="7" s="1"/>
  <c r="AO38" i="7" s="1" a="1"/>
  <c r="AO38" i="7" s="1"/>
  <c r="AP38" i="7" s="1" a="1"/>
  <c r="AP38" i="7" s="1"/>
  <c r="AQ38" i="7" s="1" a="1"/>
  <c r="AQ38" i="7" s="1"/>
  <c r="AR38" i="7" s="1" a="1"/>
  <c r="AR38" i="7" s="1"/>
  <c r="AS38" i="7" s="1" a="1"/>
  <c r="AS38" i="7" s="1"/>
  <c r="AT38" i="7" s="1" a="1"/>
  <c r="AT38" i="7" s="1"/>
  <c r="AU38" i="7" s="1" a="1"/>
  <c r="AU38" i="7" s="1"/>
  <c r="AV38" i="7" s="1" a="1"/>
  <c r="AV38" i="7" s="1"/>
  <c r="AW38" i="7" s="1" a="1"/>
  <c r="AW38" i="7" s="1"/>
  <c r="AX38" i="7" s="1" a="1"/>
  <c r="AX38" i="7" s="1"/>
  <c r="AY38" i="7" s="1" a="1"/>
  <c r="AY38" i="7" s="1"/>
  <c r="AZ38" i="7" s="1" a="1"/>
  <c r="AZ38" i="7" s="1"/>
  <c r="BA38" i="7" s="1" a="1"/>
  <c r="BA38" i="7" s="1"/>
  <c r="BB38" i="7" s="1" a="1"/>
  <c r="BB38" i="7" s="1"/>
  <c r="BC38" i="7" s="1" a="1"/>
  <c r="BC38" i="7" s="1"/>
  <c r="BD38" i="7" s="1" a="1"/>
  <c r="BD38" i="7" s="1"/>
  <c r="BE38" i="7" s="1" a="1"/>
  <c r="BE38" i="7" s="1"/>
  <c r="BF38" i="7" s="1" a="1"/>
  <c r="BF38" i="7" s="1"/>
  <c r="BG38" i="7" s="1" a="1"/>
  <c r="BG38" i="7" s="1"/>
  <c r="BH38" i="7" s="1" a="1"/>
  <c r="BH38" i="7" s="1"/>
  <c r="BI38" i="7" s="1" a="1"/>
  <c r="BI38" i="7" s="1"/>
  <c r="BJ38" i="7" s="1" a="1"/>
  <c r="BJ38" i="7" s="1"/>
  <c r="BK38" i="7" s="1" a="1"/>
  <c r="BK38" i="7" s="1"/>
  <c r="BL38" i="7" s="1" a="1"/>
  <c r="BL38" i="7" s="1"/>
  <c r="BM38" i="7" s="1" a="1"/>
  <c r="BM38" i="7" s="1"/>
  <c r="AK6" i="7" a="1"/>
  <c r="AK6" i="7" s="1"/>
  <c r="AJ7" i="7" l="1" a="1"/>
  <c r="AJ7" i="7" s="1"/>
  <c r="AI67" i="7"/>
  <c r="AL6" i="7" a="1"/>
  <c r="AL6" i="7" s="1"/>
  <c r="E40" i="7"/>
  <c r="AN39" i="7" a="1"/>
  <c r="AN39" i="7" s="1"/>
  <c r="AO39" i="7" s="1" a="1"/>
  <c r="AO39" i="7" s="1"/>
  <c r="AP39" i="7" s="1" a="1"/>
  <c r="AP39" i="7" s="1"/>
  <c r="AQ39" i="7" s="1" a="1"/>
  <c r="AQ39" i="7" s="1"/>
  <c r="AR39" i="7" s="1" a="1"/>
  <c r="AR39" i="7" s="1"/>
  <c r="AS39" i="7" s="1" a="1"/>
  <c r="AS39" i="7" s="1"/>
  <c r="AT39" i="7" s="1" a="1"/>
  <c r="AT39" i="7" s="1"/>
  <c r="AU39" i="7" s="1" a="1"/>
  <c r="AU39" i="7" s="1"/>
  <c r="AV39" i="7" s="1" a="1"/>
  <c r="AV39" i="7" s="1"/>
  <c r="AW39" i="7" s="1" a="1"/>
  <c r="AW39" i="7" s="1"/>
  <c r="AX39" i="7" s="1" a="1"/>
  <c r="AX39" i="7" s="1"/>
  <c r="AY39" i="7" s="1" a="1"/>
  <c r="AY39" i="7" s="1"/>
  <c r="AZ39" i="7" s="1" a="1"/>
  <c r="AZ39" i="7" s="1"/>
  <c r="BA39" i="7" s="1" a="1"/>
  <c r="BA39" i="7" s="1"/>
  <c r="BB39" i="7" s="1" a="1"/>
  <c r="BB39" i="7" s="1"/>
  <c r="BC39" i="7" s="1" a="1"/>
  <c r="BC39" i="7" s="1"/>
  <c r="BD39" i="7" s="1" a="1"/>
  <c r="BD39" i="7" s="1"/>
  <c r="BE39" i="7" s="1" a="1"/>
  <c r="BE39" i="7" s="1"/>
  <c r="BF39" i="7" s="1" a="1"/>
  <c r="BF39" i="7" s="1"/>
  <c r="BG39" i="7" s="1" a="1"/>
  <c r="BG39" i="7" s="1"/>
  <c r="BH39" i="7" s="1" a="1"/>
  <c r="BH39" i="7" s="1"/>
  <c r="BI39" i="7" s="1" a="1"/>
  <c r="BI39" i="7" s="1"/>
  <c r="BJ39" i="7" s="1" a="1"/>
  <c r="BJ39" i="7" s="1"/>
  <c r="BK39" i="7" s="1" a="1"/>
  <c r="BK39" i="7" s="1"/>
  <c r="BL39" i="7" s="1" a="1"/>
  <c r="BL39" i="7" s="1"/>
  <c r="BM39" i="7" s="1" a="1"/>
  <c r="BM39" i="7" s="1"/>
  <c r="AK67" i="8"/>
  <c r="AL6" i="8" a="1"/>
  <c r="AL6" i="8" s="1"/>
  <c r="E40" i="8"/>
  <c r="AN39" i="8" a="1"/>
  <c r="AN39" i="8" s="1"/>
  <c r="AO39" i="8" s="1" a="1"/>
  <c r="AO39" i="8" s="1"/>
  <c r="AP39" i="8" s="1" a="1"/>
  <c r="AP39" i="8" s="1"/>
  <c r="AQ39" i="8" s="1" a="1"/>
  <c r="AQ39" i="8" s="1"/>
  <c r="AR39" i="8" s="1" a="1"/>
  <c r="AR39" i="8" s="1"/>
  <c r="AS39" i="8" s="1" a="1"/>
  <c r="AS39" i="8" s="1"/>
  <c r="AT39" i="8" s="1" a="1"/>
  <c r="AT39" i="8" s="1"/>
  <c r="AU39" i="8" s="1" a="1"/>
  <c r="AU39" i="8" s="1"/>
  <c r="AV39" i="8" s="1" a="1"/>
  <c r="AV39" i="8" s="1"/>
  <c r="AW39" i="8" s="1" a="1"/>
  <c r="AW39" i="8" s="1"/>
  <c r="AX39" i="8" s="1" a="1"/>
  <c r="AX39" i="8" s="1"/>
  <c r="AY39" i="8" s="1" a="1"/>
  <c r="AY39" i="8" s="1"/>
  <c r="AZ39" i="8" s="1" a="1"/>
  <c r="AZ39" i="8" s="1"/>
  <c r="BA39" i="8" s="1" a="1"/>
  <c r="BA39" i="8" s="1"/>
  <c r="BB39" i="8" s="1" a="1"/>
  <c r="BB39" i="8" s="1"/>
  <c r="BC39" i="8" s="1" a="1"/>
  <c r="BC39" i="8" s="1"/>
  <c r="BD39" i="8" s="1" a="1"/>
  <c r="BD39" i="8" s="1"/>
  <c r="BE39" i="8" s="1" a="1"/>
  <c r="BE39" i="8" s="1"/>
  <c r="BF39" i="8" s="1" a="1"/>
  <c r="BF39" i="8" s="1"/>
  <c r="BG39" i="8" s="1" a="1"/>
  <c r="BG39" i="8" s="1"/>
  <c r="BH39" i="8" s="1" a="1"/>
  <c r="BH39" i="8" s="1"/>
  <c r="BI39" i="8" s="1" a="1"/>
  <c r="BI39" i="8" s="1"/>
  <c r="BJ39" i="8" s="1" a="1"/>
  <c r="BJ39" i="8" s="1"/>
  <c r="BK39" i="8" s="1" a="1"/>
  <c r="BK39" i="8" s="1"/>
  <c r="BL39" i="8" s="1" a="1"/>
  <c r="BL39" i="8" s="1"/>
  <c r="BM39" i="8" s="1" a="1"/>
  <c r="BM39" i="8" s="1"/>
  <c r="AK67" i="9"/>
  <c r="AL6" i="9" a="1"/>
  <c r="AL6" i="9" s="1"/>
  <c r="E40" i="9"/>
  <c r="AN39" i="9" a="1"/>
  <c r="AN39" i="9" s="1"/>
  <c r="AO39" i="9" s="1" a="1"/>
  <c r="AO39" i="9" s="1"/>
  <c r="AP39" i="9" s="1" a="1"/>
  <c r="AP39" i="9" s="1"/>
  <c r="AQ39" i="9" s="1" a="1"/>
  <c r="AQ39" i="9" s="1"/>
  <c r="AR39" i="9" s="1" a="1"/>
  <c r="AR39" i="9" s="1"/>
  <c r="AS39" i="9" s="1" a="1"/>
  <c r="AS39" i="9" s="1"/>
  <c r="AT39" i="9" s="1" a="1"/>
  <c r="AT39" i="9" s="1"/>
  <c r="AU39" i="9" s="1" a="1"/>
  <c r="AU39" i="9" s="1"/>
  <c r="AV39" i="9" s="1" a="1"/>
  <c r="AV39" i="9" s="1"/>
  <c r="AW39" i="9" s="1" a="1"/>
  <c r="AW39" i="9" s="1"/>
  <c r="AX39" i="9" s="1" a="1"/>
  <c r="AX39" i="9" s="1"/>
  <c r="AY39" i="9" s="1" a="1"/>
  <c r="AY39" i="9" s="1"/>
  <c r="AZ39" i="9" s="1" a="1"/>
  <c r="AZ39" i="9" s="1"/>
  <c r="BA39" i="9" s="1" a="1"/>
  <c r="BA39" i="9" s="1"/>
  <c r="BB39" i="9" s="1" a="1"/>
  <c r="BB39" i="9" s="1"/>
  <c r="BC39" i="9" s="1" a="1"/>
  <c r="BC39" i="9" s="1"/>
  <c r="BD39" i="9" s="1" a="1"/>
  <c r="BD39" i="9" s="1"/>
  <c r="BE39" i="9" s="1" a="1"/>
  <c r="BE39" i="9" s="1"/>
  <c r="BF39" i="9" s="1" a="1"/>
  <c r="BF39" i="9" s="1"/>
  <c r="BG39" i="9" s="1" a="1"/>
  <c r="BG39" i="9" s="1"/>
  <c r="BH39" i="9" s="1" a="1"/>
  <c r="BH39" i="9" s="1"/>
  <c r="BI39" i="9" s="1" a="1"/>
  <c r="BI39" i="9" s="1"/>
  <c r="BJ39" i="9" s="1" a="1"/>
  <c r="BJ39" i="9" s="1"/>
  <c r="BK39" i="9" s="1" a="1"/>
  <c r="BK39" i="9" s="1"/>
  <c r="BL39" i="9" s="1" a="1"/>
  <c r="BL39" i="9" s="1"/>
  <c r="BM39" i="9" s="1" a="1"/>
  <c r="BM39" i="9" s="1"/>
  <c r="AK7" i="7" l="1" a="1"/>
  <c r="AK7" i="7" s="1"/>
  <c r="AJ67" i="7"/>
  <c r="E41" i="9"/>
  <c r="AO40" i="9" a="1"/>
  <c r="AO40" i="9" s="1"/>
  <c r="AP40" i="9" s="1" a="1"/>
  <c r="AP40" i="9" s="1"/>
  <c r="AQ40" i="9" s="1" a="1"/>
  <c r="AQ40" i="9" s="1"/>
  <c r="AR40" i="9" s="1" a="1"/>
  <c r="AR40" i="9" s="1"/>
  <c r="AS40" i="9" s="1" a="1"/>
  <c r="AS40" i="9" s="1"/>
  <c r="AT40" i="9" s="1" a="1"/>
  <c r="AT40" i="9" s="1"/>
  <c r="AU40" i="9" s="1" a="1"/>
  <c r="AU40" i="9" s="1"/>
  <c r="AV40" i="9" s="1" a="1"/>
  <c r="AV40" i="9" s="1"/>
  <c r="AW40" i="9" s="1" a="1"/>
  <c r="AW40" i="9" s="1"/>
  <c r="AX40" i="9" s="1" a="1"/>
  <c r="AX40" i="9" s="1"/>
  <c r="AY40" i="9" s="1" a="1"/>
  <c r="AY40" i="9" s="1"/>
  <c r="AZ40" i="9" s="1" a="1"/>
  <c r="AZ40" i="9" s="1"/>
  <c r="BA40" i="9" s="1" a="1"/>
  <c r="BA40" i="9" s="1"/>
  <c r="BB40" i="9" s="1" a="1"/>
  <c r="BB40" i="9" s="1"/>
  <c r="BC40" i="9" s="1" a="1"/>
  <c r="BC40" i="9" s="1"/>
  <c r="BD40" i="9" s="1" a="1"/>
  <c r="BD40" i="9" s="1"/>
  <c r="BE40" i="9" s="1" a="1"/>
  <c r="BE40" i="9" s="1"/>
  <c r="BF40" i="9" s="1" a="1"/>
  <c r="BF40" i="9" s="1"/>
  <c r="BG40" i="9" s="1" a="1"/>
  <c r="BG40" i="9" s="1"/>
  <c r="BH40" i="9" s="1" a="1"/>
  <c r="BH40" i="9" s="1"/>
  <c r="BI40" i="9" s="1" a="1"/>
  <c r="BI40" i="9" s="1"/>
  <c r="BJ40" i="9" s="1" a="1"/>
  <c r="BJ40" i="9" s="1"/>
  <c r="BK40" i="9" s="1" a="1"/>
  <c r="BK40" i="9" s="1"/>
  <c r="BL40" i="9" s="1" a="1"/>
  <c r="BL40" i="9" s="1"/>
  <c r="BM40" i="9" s="1" a="1"/>
  <c r="BM40" i="9" s="1"/>
  <c r="AL67" i="9"/>
  <c r="AM6" i="9" a="1"/>
  <c r="AM6" i="9" s="1"/>
  <c r="E41" i="8"/>
  <c r="AO40" i="8" a="1"/>
  <c r="AO40" i="8" s="1"/>
  <c r="AP40" i="8" s="1" a="1"/>
  <c r="AP40" i="8" s="1"/>
  <c r="AQ40" i="8" s="1" a="1"/>
  <c r="AQ40" i="8" s="1"/>
  <c r="AR40" i="8" s="1" a="1"/>
  <c r="AR40" i="8" s="1"/>
  <c r="AS40" i="8" s="1" a="1"/>
  <c r="AS40" i="8" s="1"/>
  <c r="AT40" i="8" s="1" a="1"/>
  <c r="AT40" i="8" s="1"/>
  <c r="AU40" i="8" s="1" a="1"/>
  <c r="AU40" i="8" s="1"/>
  <c r="AV40" i="8" s="1" a="1"/>
  <c r="AV40" i="8" s="1"/>
  <c r="AW40" i="8" s="1" a="1"/>
  <c r="AW40" i="8" s="1"/>
  <c r="AX40" i="8" s="1" a="1"/>
  <c r="AX40" i="8" s="1"/>
  <c r="AY40" i="8" s="1" a="1"/>
  <c r="AY40" i="8" s="1"/>
  <c r="AZ40" i="8" s="1" a="1"/>
  <c r="AZ40" i="8" s="1"/>
  <c r="BA40" i="8" s="1" a="1"/>
  <c r="BA40" i="8" s="1"/>
  <c r="BB40" i="8" s="1" a="1"/>
  <c r="BB40" i="8" s="1"/>
  <c r="BC40" i="8" s="1" a="1"/>
  <c r="BC40" i="8" s="1"/>
  <c r="BD40" i="8" s="1" a="1"/>
  <c r="BD40" i="8" s="1"/>
  <c r="BE40" i="8" s="1" a="1"/>
  <c r="BE40" i="8" s="1"/>
  <c r="BF40" i="8" s="1" a="1"/>
  <c r="BF40" i="8" s="1"/>
  <c r="BG40" i="8" s="1" a="1"/>
  <c r="BG40" i="8" s="1"/>
  <c r="BH40" i="8" s="1" a="1"/>
  <c r="BH40" i="8" s="1"/>
  <c r="BI40" i="8" s="1" a="1"/>
  <c r="BI40" i="8" s="1"/>
  <c r="BJ40" i="8" s="1" a="1"/>
  <c r="BJ40" i="8" s="1"/>
  <c r="BK40" i="8" s="1" a="1"/>
  <c r="BK40" i="8" s="1"/>
  <c r="BL40" i="8" s="1" a="1"/>
  <c r="BL40" i="8" s="1"/>
  <c r="BM40" i="8" s="1" a="1"/>
  <c r="BM40" i="8" s="1"/>
  <c r="AL67" i="8"/>
  <c r="AM6" i="8" a="1"/>
  <c r="AM6" i="8" s="1"/>
  <c r="E41" i="7"/>
  <c r="AO40" i="7" a="1"/>
  <c r="AO40" i="7" s="1"/>
  <c r="AP40" i="7" s="1" a="1"/>
  <c r="AP40" i="7" s="1"/>
  <c r="AQ40" i="7" s="1" a="1"/>
  <c r="AQ40" i="7" s="1"/>
  <c r="AR40" i="7" s="1" a="1"/>
  <c r="AR40" i="7" s="1"/>
  <c r="AS40" i="7" s="1" a="1"/>
  <c r="AS40" i="7" s="1"/>
  <c r="AT40" i="7" s="1" a="1"/>
  <c r="AT40" i="7" s="1"/>
  <c r="AU40" i="7" s="1" a="1"/>
  <c r="AU40" i="7" s="1"/>
  <c r="AV40" i="7" s="1" a="1"/>
  <c r="AV40" i="7" s="1"/>
  <c r="AW40" i="7" s="1" a="1"/>
  <c r="AW40" i="7" s="1"/>
  <c r="AX40" i="7" s="1" a="1"/>
  <c r="AX40" i="7" s="1"/>
  <c r="AY40" i="7" s="1" a="1"/>
  <c r="AY40" i="7" s="1"/>
  <c r="AZ40" i="7" s="1" a="1"/>
  <c r="AZ40" i="7" s="1"/>
  <c r="BA40" i="7" s="1" a="1"/>
  <c r="BA40" i="7" s="1"/>
  <c r="BB40" i="7" s="1" a="1"/>
  <c r="BB40" i="7" s="1"/>
  <c r="BC40" i="7" s="1" a="1"/>
  <c r="BC40" i="7" s="1"/>
  <c r="BD40" i="7" s="1" a="1"/>
  <c r="BD40" i="7" s="1"/>
  <c r="BE40" i="7" s="1" a="1"/>
  <c r="BE40" i="7" s="1"/>
  <c r="BF40" i="7" s="1" a="1"/>
  <c r="BF40" i="7" s="1"/>
  <c r="BG40" i="7" s="1" a="1"/>
  <c r="BG40" i="7" s="1"/>
  <c r="BH40" i="7" s="1" a="1"/>
  <c r="BH40" i="7" s="1"/>
  <c r="BI40" i="7" s="1" a="1"/>
  <c r="BI40" i="7" s="1"/>
  <c r="BJ40" i="7" s="1" a="1"/>
  <c r="BJ40" i="7" s="1"/>
  <c r="BK40" i="7" s="1" a="1"/>
  <c r="BK40" i="7" s="1"/>
  <c r="BL40" i="7" s="1" a="1"/>
  <c r="BL40" i="7" s="1"/>
  <c r="BM40" i="7" s="1" a="1"/>
  <c r="BM40" i="7" s="1"/>
  <c r="AM6" i="7" a="1"/>
  <c r="AM6" i="7" s="1"/>
  <c r="AL7" i="7" l="1" a="1"/>
  <c r="AL7" i="7" s="1"/>
  <c r="AK67" i="7"/>
  <c r="AN6" i="7" a="1"/>
  <c r="AN6" i="7" s="1"/>
  <c r="E42" i="7"/>
  <c r="AP41" i="7" a="1"/>
  <c r="AP41" i="7" s="1"/>
  <c r="AQ41" i="7" s="1" a="1"/>
  <c r="AQ41" i="7" s="1"/>
  <c r="AR41" i="7" s="1" a="1"/>
  <c r="AR41" i="7" s="1"/>
  <c r="AS41" i="7" s="1" a="1"/>
  <c r="AS41" i="7" s="1"/>
  <c r="AT41" i="7" s="1" a="1"/>
  <c r="AT41" i="7" s="1"/>
  <c r="AU41" i="7" s="1" a="1"/>
  <c r="AU41" i="7" s="1"/>
  <c r="AV41" i="7" s="1" a="1"/>
  <c r="AV41" i="7" s="1"/>
  <c r="AW41" i="7" s="1" a="1"/>
  <c r="AW41" i="7" s="1"/>
  <c r="AX41" i="7" s="1" a="1"/>
  <c r="AX41" i="7" s="1"/>
  <c r="AY41" i="7" s="1" a="1"/>
  <c r="AY41" i="7" s="1"/>
  <c r="AZ41" i="7" s="1" a="1"/>
  <c r="AZ41" i="7" s="1"/>
  <c r="BA41" i="7" s="1" a="1"/>
  <c r="BA41" i="7" s="1"/>
  <c r="BB41" i="7" s="1" a="1"/>
  <c r="BB41" i="7" s="1"/>
  <c r="BC41" i="7" s="1" a="1"/>
  <c r="BC41" i="7" s="1"/>
  <c r="BD41" i="7" s="1" a="1"/>
  <c r="BD41" i="7" s="1"/>
  <c r="BE41" i="7" s="1" a="1"/>
  <c r="BE41" i="7" s="1"/>
  <c r="BF41" i="7" s="1" a="1"/>
  <c r="BF41" i="7" s="1"/>
  <c r="BG41" i="7" s="1" a="1"/>
  <c r="BG41" i="7" s="1"/>
  <c r="BH41" i="7" s="1" a="1"/>
  <c r="BH41" i="7" s="1"/>
  <c r="BI41" i="7" s="1" a="1"/>
  <c r="BI41" i="7" s="1"/>
  <c r="BJ41" i="7" s="1" a="1"/>
  <c r="BJ41" i="7" s="1"/>
  <c r="BK41" i="7" s="1" a="1"/>
  <c r="BK41" i="7" s="1"/>
  <c r="BL41" i="7" s="1" a="1"/>
  <c r="BL41" i="7" s="1"/>
  <c r="BM41" i="7" s="1" a="1"/>
  <c r="BM41" i="7" s="1"/>
  <c r="AM67" i="8"/>
  <c r="AN6" i="8" a="1"/>
  <c r="AN6" i="8" s="1"/>
  <c r="E42" i="8"/>
  <c r="AP41" i="8" a="1"/>
  <c r="AP41" i="8" s="1"/>
  <c r="AQ41" i="8" s="1" a="1"/>
  <c r="AQ41" i="8" s="1"/>
  <c r="AR41" i="8" s="1" a="1"/>
  <c r="AR41" i="8" s="1"/>
  <c r="AS41" i="8" s="1" a="1"/>
  <c r="AS41" i="8" s="1"/>
  <c r="AT41" i="8" s="1" a="1"/>
  <c r="AT41" i="8" s="1"/>
  <c r="AU41" i="8" s="1" a="1"/>
  <c r="AU41" i="8" s="1"/>
  <c r="AV41" i="8" s="1" a="1"/>
  <c r="AV41" i="8" s="1"/>
  <c r="AW41" i="8" s="1" a="1"/>
  <c r="AW41" i="8" s="1"/>
  <c r="AX41" i="8" s="1" a="1"/>
  <c r="AX41" i="8" s="1"/>
  <c r="AY41" i="8" s="1" a="1"/>
  <c r="AY41" i="8" s="1"/>
  <c r="AZ41" i="8" s="1" a="1"/>
  <c r="AZ41" i="8" s="1"/>
  <c r="BA41" i="8" s="1" a="1"/>
  <c r="BA41" i="8" s="1"/>
  <c r="BB41" i="8" s="1" a="1"/>
  <c r="BB41" i="8" s="1"/>
  <c r="BC41" i="8" s="1" a="1"/>
  <c r="BC41" i="8" s="1"/>
  <c r="BD41" i="8" s="1" a="1"/>
  <c r="BD41" i="8" s="1"/>
  <c r="BE41" i="8" s="1" a="1"/>
  <c r="BE41" i="8" s="1"/>
  <c r="BF41" i="8" s="1" a="1"/>
  <c r="BF41" i="8" s="1"/>
  <c r="BG41" i="8" s="1" a="1"/>
  <c r="BG41" i="8" s="1"/>
  <c r="BH41" i="8" s="1" a="1"/>
  <c r="BH41" i="8" s="1"/>
  <c r="BI41" i="8" s="1" a="1"/>
  <c r="BI41" i="8" s="1"/>
  <c r="BJ41" i="8" s="1" a="1"/>
  <c r="BJ41" i="8" s="1"/>
  <c r="BK41" i="8" s="1" a="1"/>
  <c r="BK41" i="8" s="1"/>
  <c r="BL41" i="8" s="1" a="1"/>
  <c r="BL41" i="8" s="1"/>
  <c r="BM41" i="8" s="1" a="1"/>
  <c r="BM41" i="8" s="1"/>
  <c r="AM67" i="9"/>
  <c r="AN6" i="9" a="1"/>
  <c r="AN6" i="9" s="1"/>
  <c r="E42" i="9"/>
  <c r="AP41" i="9" a="1"/>
  <c r="AP41" i="9" s="1"/>
  <c r="AQ41" i="9" s="1" a="1"/>
  <c r="AQ41" i="9" s="1"/>
  <c r="AR41" i="9" s="1" a="1"/>
  <c r="AR41" i="9" s="1"/>
  <c r="AS41" i="9" s="1" a="1"/>
  <c r="AS41" i="9" s="1"/>
  <c r="AT41" i="9" s="1" a="1"/>
  <c r="AT41" i="9" s="1"/>
  <c r="AU41" i="9" s="1" a="1"/>
  <c r="AU41" i="9" s="1"/>
  <c r="AV41" i="9" s="1" a="1"/>
  <c r="AV41" i="9" s="1"/>
  <c r="AW41" i="9" s="1" a="1"/>
  <c r="AW41" i="9" s="1"/>
  <c r="AX41" i="9" s="1" a="1"/>
  <c r="AX41" i="9" s="1"/>
  <c r="AY41" i="9" s="1" a="1"/>
  <c r="AY41" i="9" s="1"/>
  <c r="AZ41" i="9" s="1" a="1"/>
  <c r="AZ41" i="9" s="1"/>
  <c r="BA41" i="9" s="1" a="1"/>
  <c r="BA41" i="9" s="1"/>
  <c r="BB41" i="9" s="1" a="1"/>
  <c r="BB41" i="9" s="1"/>
  <c r="BC41" i="9" s="1" a="1"/>
  <c r="BC41" i="9" s="1"/>
  <c r="BD41" i="9" s="1" a="1"/>
  <c r="BD41" i="9" s="1"/>
  <c r="BE41" i="9" s="1" a="1"/>
  <c r="BE41" i="9" s="1"/>
  <c r="BF41" i="9" s="1" a="1"/>
  <c r="BF41" i="9" s="1"/>
  <c r="BG41" i="9" s="1" a="1"/>
  <c r="BG41" i="9" s="1"/>
  <c r="BH41" i="9" s="1" a="1"/>
  <c r="BH41" i="9" s="1"/>
  <c r="BI41" i="9" s="1" a="1"/>
  <c r="BI41" i="9" s="1"/>
  <c r="BJ41" i="9" s="1" a="1"/>
  <c r="BJ41" i="9" s="1"/>
  <c r="BK41" i="9" s="1" a="1"/>
  <c r="BK41" i="9" s="1"/>
  <c r="BL41" i="9" s="1" a="1"/>
  <c r="BL41" i="9" s="1"/>
  <c r="BM41" i="9" s="1" a="1"/>
  <c r="BM41" i="9" s="1"/>
  <c r="AM7" i="7" l="1" a="1"/>
  <c r="AM7" i="7" s="1"/>
  <c r="AL67" i="7"/>
  <c r="E43" i="9"/>
  <c r="AQ42" i="9" a="1"/>
  <c r="AQ42" i="9" s="1"/>
  <c r="AR42" i="9" s="1" a="1"/>
  <c r="AR42" i="9" s="1"/>
  <c r="AS42" i="9" s="1" a="1"/>
  <c r="AS42" i="9" s="1"/>
  <c r="AT42" i="9" s="1" a="1"/>
  <c r="AT42" i="9" s="1"/>
  <c r="AU42" i="9" s="1" a="1"/>
  <c r="AU42" i="9" s="1"/>
  <c r="AV42" i="9" s="1" a="1"/>
  <c r="AV42" i="9" s="1"/>
  <c r="AW42" i="9" s="1" a="1"/>
  <c r="AW42" i="9" s="1"/>
  <c r="AX42" i="9" s="1" a="1"/>
  <c r="AX42" i="9" s="1"/>
  <c r="AY42" i="9" s="1" a="1"/>
  <c r="AY42" i="9" s="1"/>
  <c r="AZ42" i="9" s="1" a="1"/>
  <c r="AZ42" i="9" s="1"/>
  <c r="BA42" i="9" s="1" a="1"/>
  <c r="BA42" i="9" s="1"/>
  <c r="BB42" i="9" s="1" a="1"/>
  <c r="BB42" i="9" s="1"/>
  <c r="BC42" i="9" s="1" a="1"/>
  <c r="BC42" i="9" s="1"/>
  <c r="BD42" i="9" s="1" a="1"/>
  <c r="BD42" i="9" s="1"/>
  <c r="BE42" i="9" s="1" a="1"/>
  <c r="BE42" i="9" s="1"/>
  <c r="BF42" i="9" s="1" a="1"/>
  <c r="BF42" i="9" s="1"/>
  <c r="BG42" i="9" s="1" a="1"/>
  <c r="BG42" i="9" s="1"/>
  <c r="BH42" i="9" s="1" a="1"/>
  <c r="BH42" i="9" s="1"/>
  <c r="BI42" i="9" s="1" a="1"/>
  <c r="BI42" i="9" s="1"/>
  <c r="BJ42" i="9" s="1" a="1"/>
  <c r="BJ42" i="9" s="1"/>
  <c r="BK42" i="9" s="1" a="1"/>
  <c r="BK42" i="9" s="1"/>
  <c r="BL42" i="9" s="1" a="1"/>
  <c r="BL42" i="9" s="1"/>
  <c r="BM42" i="9" s="1" a="1"/>
  <c r="BM42" i="9" s="1"/>
  <c r="AN67" i="9"/>
  <c r="AO6" i="9" a="1"/>
  <c r="AO6" i="9" s="1"/>
  <c r="E43" i="8"/>
  <c r="AQ42" i="8" a="1"/>
  <c r="AQ42" i="8" s="1"/>
  <c r="AR42" i="8" s="1" a="1"/>
  <c r="AR42" i="8" s="1"/>
  <c r="AS42" i="8" s="1" a="1"/>
  <c r="AS42" i="8" s="1"/>
  <c r="AT42" i="8" s="1" a="1"/>
  <c r="AT42" i="8" s="1"/>
  <c r="AU42" i="8" s="1" a="1"/>
  <c r="AU42" i="8" s="1"/>
  <c r="AV42" i="8" s="1" a="1"/>
  <c r="AV42" i="8" s="1"/>
  <c r="AW42" i="8" s="1" a="1"/>
  <c r="AW42" i="8" s="1"/>
  <c r="AX42" i="8" s="1" a="1"/>
  <c r="AX42" i="8" s="1"/>
  <c r="AY42" i="8" s="1" a="1"/>
  <c r="AY42" i="8" s="1"/>
  <c r="AZ42" i="8" s="1" a="1"/>
  <c r="AZ42" i="8" s="1"/>
  <c r="BA42" i="8" s="1" a="1"/>
  <c r="BA42" i="8" s="1"/>
  <c r="BB42" i="8" s="1" a="1"/>
  <c r="BB42" i="8" s="1"/>
  <c r="BC42" i="8" s="1" a="1"/>
  <c r="BC42" i="8" s="1"/>
  <c r="BD42" i="8" s="1" a="1"/>
  <c r="BD42" i="8" s="1"/>
  <c r="BE42" i="8" s="1" a="1"/>
  <c r="BE42" i="8" s="1"/>
  <c r="BF42" i="8" s="1" a="1"/>
  <c r="BF42" i="8" s="1"/>
  <c r="BG42" i="8" s="1" a="1"/>
  <c r="BG42" i="8" s="1"/>
  <c r="BH42" i="8" s="1" a="1"/>
  <c r="BH42" i="8" s="1"/>
  <c r="BI42" i="8" s="1" a="1"/>
  <c r="BI42" i="8" s="1"/>
  <c r="BJ42" i="8" s="1" a="1"/>
  <c r="BJ42" i="8" s="1"/>
  <c r="BK42" i="8" s="1" a="1"/>
  <c r="BK42" i="8" s="1"/>
  <c r="BL42" i="8" s="1" a="1"/>
  <c r="BL42" i="8" s="1"/>
  <c r="BM42" i="8" s="1" a="1"/>
  <c r="BM42" i="8" s="1"/>
  <c r="AN67" i="8"/>
  <c r="AO6" i="8" a="1"/>
  <c r="AO6" i="8" s="1"/>
  <c r="E43" i="7"/>
  <c r="AQ42" i="7" a="1"/>
  <c r="AQ42" i="7" s="1"/>
  <c r="AR42" i="7" s="1" a="1"/>
  <c r="AR42" i="7" s="1"/>
  <c r="AS42" i="7" s="1" a="1"/>
  <c r="AS42" i="7" s="1"/>
  <c r="AT42" i="7" s="1" a="1"/>
  <c r="AT42" i="7" s="1"/>
  <c r="AU42" i="7" s="1" a="1"/>
  <c r="AU42" i="7" s="1"/>
  <c r="AV42" i="7" s="1" a="1"/>
  <c r="AV42" i="7" s="1"/>
  <c r="AW42" i="7" s="1" a="1"/>
  <c r="AW42" i="7" s="1"/>
  <c r="AX42" i="7" s="1" a="1"/>
  <c r="AX42" i="7" s="1"/>
  <c r="AY42" i="7" s="1" a="1"/>
  <c r="AY42" i="7" s="1"/>
  <c r="AZ42" i="7" s="1" a="1"/>
  <c r="AZ42" i="7" s="1"/>
  <c r="BA42" i="7" s="1" a="1"/>
  <c r="BA42" i="7" s="1"/>
  <c r="BB42" i="7" s="1" a="1"/>
  <c r="BB42" i="7" s="1"/>
  <c r="BC42" i="7" s="1" a="1"/>
  <c r="BC42" i="7" s="1"/>
  <c r="BD42" i="7" s="1" a="1"/>
  <c r="BD42" i="7" s="1"/>
  <c r="BE42" i="7" s="1" a="1"/>
  <c r="BE42" i="7" s="1"/>
  <c r="BF42" i="7" s="1" a="1"/>
  <c r="BF42" i="7" s="1"/>
  <c r="BG42" i="7" s="1" a="1"/>
  <c r="BG42" i="7" s="1"/>
  <c r="BH42" i="7" s="1" a="1"/>
  <c r="BH42" i="7" s="1"/>
  <c r="BI42" i="7" s="1" a="1"/>
  <c r="BI42" i="7" s="1"/>
  <c r="BJ42" i="7" s="1" a="1"/>
  <c r="BJ42" i="7" s="1"/>
  <c r="BK42" i="7" s="1" a="1"/>
  <c r="BK42" i="7" s="1"/>
  <c r="BL42" i="7" s="1" a="1"/>
  <c r="BL42" i="7" s="1"/>
  <c r="BM42" i="7" s="1" a="1"/>
  <c r="BM42" i="7" s="1"/>
  <c r="AO6" i="7" a="1"/>
  <c r="AO6" i="7" s="1"/>
  <c r="AN7" i="7" l="1" a="1"/>
  <c r="AN7" i="7" s="1"/>
  <c r="AM67" i="7"/>
  <c r="AP6" i="7" a="1"/>
  <c r="AP6" i="7" s="1"/>
  <c r="E44" i="7"/>
  <c r="AR43" i="7" a="1"/>
  <c r="AR43" i="7" s="1"/>
  <c r="AS43" i="7" s="1" a="1"/>
  <c r="AS43" i="7" s="1"/>
  <c r="AT43" i="7" s="1" a="1"/>
  <c r="AT43" i="7" s="1"/>
  <c r="AU43" i="7" s="1" a="1"/>
  <c r="AU43" i="7" s="1"/>
  <c r="AV43" i="7" s="1" a="1"/>
  <c r="AV43" i="7" s="1"/>
  <c r="AW43" i="7" s="1" a="1"/>
  <c r="AW43" i="7" s="1"/>
  <c r="AX43" i="7" s="1" a="1"/>
  <c r="AX43" i="7" s="1"/>
  <c r="AY43" i="7" s="1" a="1"/>
  <c r="AY43" i="7" s="1"/>
  <c r="AZ43" i="7" s="1" a="1"/>
  <c r="AZ43" i="7" s="1"/>
  <c r="BA43" i="7" s="1" a="1"/>
  <c r="BA43" i="7" s="1"/>
  <c r="BB43" i="7" s="1" a="1"/>
  <c r="BB43" i="7" s="1"/>
  <c r="BC43" i="7" s="1" a="1"/>
  <c r="BC43" i="7" s="1"/>
  <c r="BD43" i="7" s="1" a="1"/>
  <c r="BD43" i="7" s="1"/>
  <c r="BE43" i="7" s="1" a="1"/>
  <c r="BE43" i="7" s="1"/>
  <c r="BF43" i="7" s="1" a="1"/>
  <c r="BF43" i="7" s="1"/>
  <c r="BG43" i="7" s="1" a="1"/>
  <c r="BG43" i="7" s="1"/>
  <c r="BH43" i="7" s="1" a="1"/>
  <c r="BH43" i="7" s="1"/>
  <c r="BI43" i="7" s="1" a="1"/>
  <c r="BI43" i="7" s="1"/>
  <c r="BJ43" i="7" s="1" a="1"/>
  <c r="BJ43" i="7" s="1"/>
  <c r="BK43" i="7" s="1" a="1"/>
  <c r="BK43" i="7" s="1"/>
  <c r="BL43" i="7" s="1" a="1"/>
  <c r="BL43" i="7" s="1"/>
  <c r="BM43" i="7" s="1" a="1"/>
  <c r="BM43" i="7" s="1"/>
  <c r="AO67" i="8"/>
  <c r="AP6" i="8" a="1"/>
  <c r="AP6" i="8" s="1"/>
  <c r="E44" i="8"/>
  <c r="AR43" i="8" a="1"/>
  <c r="AR43" i="8" s="1"/>
  <c r="AS43" i="8" s="1" a="1"/>
  <c r="AS43" i="8" s="1"/>
  <c r="AT43" i="8" s="1" a="1"/>
  <c r="AT43" i="8" s="1"/>
  <c r="AU43" i="8" s="1" a="1"/>
  <c r="AU43" i="8" s="1"/>
  <c r="AV43" i="8" s="1" a="1"/>
  <c r="AV43" i="8" s="1"/>
  <c r="AW43" i="8" s="1" a="1"/>
  <c r="AW43" i="8" s="1"/>
  <c r="AX43" i="8" s="1" a="1"/>
  <c r="AX43" i="8" s="1"/>
  <c r="AY43" i="8" s="1" a="1"/>
  <c r="AY43" i="8" s="1"/>
  <c r="AZ43" i="8" s="1" a="1"/>
  <c r="AZ43" i="8" s="1"/>
  <c r="BA43" i="8" s="1" a="1"/>
  <c r="BA43" i="8" s="1"/>
  <c r="BB43" i="8" s="1" a="1"/>
  <c r="BB43" i="8" s="1"/>
  <c r="BC43" i="8" s="1" a="1"/>
  <c r="BC43" i="8" s="1"/>
  <c r="BD43" i="8" s="1" a="1"/>
  <c r="BD43" i="8" s="1"/>
  <c r="BE43" i="8" s="1" a="1"/>
  <c r="BE43" i="8" s="1"/>
  <c r="BF43" i="8" s="1" a="1"/>
  <c r="BF43" i="8" s="1"/>
  <c r="BG43" i="8" s="1" a="1"/>
  <c r="BG43" i="8" s="1"/>
  <c r="BH43" i="8" s="1" a="1"/>
  <c r="BH43" i="8" s="1"/>
  <c r="BI43" i="8" s="1" a="1"/>
  <c r="BI43" i="8" s="1"/>
  <c r="BJ43" i="8" s="1" a="1"/>
  <c r="BJ43" i="8" s="1"/>
  <c r="BK43" i="8" s="1" a="1"/>
  <c r="BK43" i="8" s="1"/>
  <c r="BL43" i="8" s="1" a="1"/>
  <c r="BL43" i="8" s="1"/>
  <c r="BM43" i="8" s="1" a="1"/>
  <c r="BM43" i="8" s="1"/>
  <c r="AO67" i="9"/>
  <c r="AP6" i="9" a="1"/>
  <c r="AP6" i="9" s="1"/>
  <c r="E44" i="9"/>
  <c r="AR43" i="9" a="1"/>
  <c r="AR43" i="9" s="1"/>
  <c r="AS43" i="9" s="1" a="1"/>
  <c r="AS43" i="9" s="1"/>
  <c r="AT43" i="9" s="1" a="1"/>
  <c r="AT43" i="9" s="1"/>
  <c r="AU43" i="9" s="1" a="1"/>
  <c r="AU43" i="9" s="1"/>
  <c r="AV43" i="9" s="1" a="1"/>
  <c r="AV43" i="9" s="1"/>
  <c r="AW43" i="9" s="1" a="1"/>
  <c r="AW43" i="9" s="1"/>
  <c r="AX43" i="9" s="1" a="1"/>
  <c r="AX43" i="9" s="1"/>
  <c r="AY43" i="9" s="1" a="1"/>
  <c r="AY43" i="9" s="1"/>
  <c r="AZ43" i="9" s="1" a="1"/>
  <c r="AZ43" i="9" s="1"/>
  <c r="BA43" i="9" s="1" a="1"/>
  <c r="BA43" i="9" s="1"/>
  <c r="BB43" i="9" s="1" a="1"/>
  <c r="BB43" i="9" s="1"/>
  <c r="BC43" i="9" s="1" a="1"/>
  <c r="BC43" i="9" s="1"/>
  <c r="BD43" i="9" s="1" a="1"/>
  <c r="BD43" i="9" s="1"/>
  <c r="BE43" i="9" s="1" a="1"/>
  <c r="BE43" i="9" s="1"/>
  <c r="BF43" i="9" s="1" a="1"/>
  <c r="BF43" i="9" s="1"/>
  <c r="BG43" i="9" s="1" a="1"/>
  <c r="BG43" i="9" s="1"/>
  <c r="BH43" i="9" s="1" a="1"/>
  <c r="BH43" i="9" s="1"/>
  <c r="BI43" i="9" s="1" a="1"/>
  <c r="BI43" i="9" s="1"/>
  <c r="BJ43" i="9" s="1" a="1"/>
  <c r="BJ43" i="9" s="1"/>
  <c r="BK43" i="9" s="1" a="1"/>
  <c r="BK43" i="9" s="1"/>
  <c r="BL43" i="9" s="1" a="1"/>
  <c r="BL43" i="9" s="1"/>
  <c r="BM43" i="9" s="1" a="1"/>
  <c r="BM43" i="9" s="1"/>
  <c r="AO7" i="7" l="1" a="1"/>
  <c r="AO7" i="7" s="1"/>
  <c r="AN67" i="7"/>
  <c r="E45" i="9"/>
  <c r="AS44" i="9" a="1"/>
  <c r="AS44" i="9" s="1"/>
  <c r="AT44" i="9" s="1" a="1"/>
  <c r="AT44" i="9" s="1"/>
  <c r="AU44" i="9" s="1" a="1"/>
  <c r="AU44" i="9" s="1"/>
  <c r="AV44" i="9" s="1" a="1"/>
  <c r="AV44" i="9" s="1"/>
  <c r="AW44" i="9" s="1" a="1"/>
  <c r="AW44" i="9" s="1"/>
  <c r="AX44" i="9" s="1" a="1"/>
  <c r="AX44" i="9" s="1"/>
  <c r="AY44" i="9" s="1" a="1"/>
  <c r="AY44" i="9" s="1"/>
  <c r="AZ44" i="9" s="1" a="1"/>
  <c r="AZ44" i="9" s="1"/>
  <c r="BA44" i="9" s="1" a="1"/>
  <c r="BA44" i="9" s="1"/>
  <c r="BB44" i="9" s="1" a="1"/>
  <c r="BB44" i="9" s="1"/>
  <c r="BC44" i="9" s="1" a="1"/>
  <c r="BC44" i="9" s="1"/>
  <c r="BD44" i="9" s="1" a="1"/>
  <c r="BD44" i="9" s="1"/>
  <c r="BE44" i="9" s="1" a="1"/>
  <c r="BE44" i="9" s="1"/>
  <c r="BF44" i="9" s="1" a="1"/>
  <c r="BF44" i="9" s="1"/>
  <c r="BG44" i="9" s="1" a="1"/>
  <c r="BG44" i="9" s="1"/>
  <c r="BH44" i="9" s="1" a="1"/>
  <c r="BH44" i="9" s="1"/>
  <c r="BI44" i="9" s="1" a="1"/>
  <c r="BI44" i="9" s="1"/>
  <c r="BJ44" i="9" s="1" a="1"/>
  <c r="BJ44" i="9" s="1"/>
  <c r="BK44" i="9" s="1" a="1"/>
  <c r="BK44" i="9" s="1"/>
  <c r="BL44" i="9" s="1" a="1"/>
  <c r="BL44" i="9" s="1"/>
  <c r="BM44" i="9" s="1" a="1"/>
  <c r="BM44" i="9" s="1"/>
  <c r="AP67" i="9"/>
  <c r="AQ6" i="9" a="1"/>
  <c r="AQ6" i="9" s="1"/>
  <c r="E45" i="8"/>
  <c r="AS44" i="8" a="1"/>
  <c r="AS44" i="8" s="1"/>
  <c r="AT44" i="8" s="1" a="1"/>
  <c r="AT44" i="8" s="1"/>
  <c r="AU44" i="8" s="1" a="1"/>
  <c r="AU44" i="8" s="1"/>
  <c r="AV44" i="8" s="1" a="1"/>
  <c r="AV44" i="8" s="1"/>
  <c r="AW44" i="8" s="1" a="1"/>
  <c r="AW44" i="8" s="1"/>
  <c r="AX44" i="8" s="1" a="1"/>
  <c r="AX44" i="8" s="1"/>
  <c r="AY44" i="8" s="1" a="1"/>
  <c r="AY44" i="8" s="1"/>
  <c r="AZ44" i="8" s="1" a="1"/>
  <c r="AZ44" i="8" s="1"/>
  <c r="BA44" i="8" s="1" a="1"/>
  <c r="BA44" i="8" s="1"/>
  <c r="BB44" i="8" s="1" a="1"/>
  <c r="BB44" i="8" s="1"/>
  <c r="BC44" i="8" s="1" a="1"/>
  <c r="BC44" i="8" s="1"/>
  <c r="BD44" i="8" s="1" a="1"/>
  <c r="BD44" i="8" s="1"/>
  <c r="BE44" i="8" s="1" a="1"/>
  <c r="BE44" i="8" s="1"/>
  <c r="BF44" i="8" s="1" a="1"/>
  <c r="BF44" i="8" s="1"/>
  <c r="BG44" i="8" s="1" a="1"/>
  <c r="BG44" i="8" s="1"/>
  <c r="BH44" i="8" s="1" a="1"/>
  <c r="BH44" i="8" s="1"/>
  <c r="BI44" i="8" s="1" a="1"/>
  <c r="BI44" i="8" s="1"/>
  <c r="BJ44" i="8" s="1" a="1"/>
  <c r="BJ44" i="8" s="1"/>
  <c r="BK44" i="8" s="1" a="1"/>
  <c r="BK44" i="8" s="1"/>
  <c r="BL44" i="8" s="1" a="1"/>
  <c r="BL44" i="8" s="1"/>
  <c r="BM44" i="8" s="1" a="1"/>
  <c r="BM44" i="8" s="1"/>
  <c r="AP67" i="8"/>
  <c r="AQ6" i="8" a="1"/>
  <c r="AQ6" i="8" s="1"/>
  <c r="E45" i="7"/>
  <c r="AS44" i="7" a="1"/>
  <c r="AS44" i="7" s="1"/>
  <c r="AT44" i="7" s="1" a="1"/>
  <c r="AT44" i="7" s="1"/>
  <c r="AU44" i="7" s="1" a="1"/>
  <c r="AU44" i="7" s="1"/>
  <c r="AV44" i="7" s="1" a="1"/>
  <c r="AV44" i="7" s="1"/>
  <c r="AW44" i="7" s="1" a="1"/>
  <c r="AW44" i="7" s="1"/>
  <c r="AX44" i="7" s="1" a="1"/>
  <c r="AX44" i="7" s="1"/>
  <c r="AY44" i="7" s="1" a="1"/>
  <c r="AY44" i="7" s="1"/>
  <c r="AZ44" i="7" s="1" a="1"/>
  <c r="AZ44" i="7" s="1"/>
  <c r="BA44" i="7" s="1" a="1"/>
  <c r="BA44" i="7" s="1"/>
  <c r="BB44" i="7" s="1" a="1"/>
  <c r="BB44" i="7" s="1"/>
  <c r="BC44" i="7" s="1" a="1"/>
  <c r="BC44" i="7" s="1"/>
  <c r="BD44" i="7" s="1" a="1"/>
  <c r="BD44" i="7" s="1"/>
  <c r="BE44" i="7" s="1" a="1"/>
  <c r="BE44" i="7" s="1"/>
  <c r="BF44" i="7" s="1" a="1"/>
  <c r="BF44" i="7" s="1"/>
  <c r="BG44" i="7" s="1" a="1"/>
  <c r="BG44" i="7" s="1"/>
  <c r="BH44" i="7" s="1" a="1"/>
  <c r="BH44" i="7" s="1"/>
  <c r="BI44" i="7" s="1" a="1"/>
  <c r="BI44" i="7" s="1"/>
  <c r="BJ44" i="7" s="1" a="1"/>
  <c r="BJ44" i="7" s="1"/>
  <c r="BK44" i="7" s="1" a="1"/>
  <c r="BK44" i="7" s="1"/>
  <c r="BL44" i="7" s="1" a="1"/>
  <c r="BL44" i="7" s="1"/>
  <c r="BM44" i="7" s="1" a="1"/>
  <c r="BM44" i="7" s="1"/>
  <c r="AQ6" i="7" a="1"/>
  <c r="AQ6" i="7" s="1"/>
  <c r="AP7" i="7" l="1" a="1"/>
  <c r="AP7" i="7" s="1"/>
  <c r="AO67" i="7"/>
  <c r="AR6" i="7" a="1"/>
  <c r="AR6" i="7" s="1"/>
  <c r="E46" i="7"/>
  <c r="AT45" i="7" a="1"/>
  <c r="AT45" i="7" s="1"/>
  <c r="AU45" i="7" s="1" a="1"/>
  <c r="AU45" i="7" s="1"/>
  <c r="AV45" i="7" s="1" a="1"/>
  <c r="AV45" i="7" s="1"/>
  <c r="AW45" i="7" s="1" a="1"/>
  <c r="AW45" i="7" s="1"/>
  <c r="AX45" i="7" s="1" a="1"/>
  <c r="AX45" i="7" s="1"/>
  <c r="AY45" i="7" s="1" a="1"/>
  <c r="AY45" i="7" s="1"/>
  <c r="AZ45" i="7" s="1" a="1"/>
  <c r="AZ45" i="7" s="1"/>
  <c r="BA45" i="7" s="1" a="1"/>
  <c r="BA45" i="7" s="1"/>
  <c r="BB45" i="7" s="1" a="1"/>
  <c r="BB45" i="7" s="1"/>
  <c r="BC45" i="7" s="1" a="1"/>
  <c r="BC45" i="7" s="1"/>
  <c r="BD45" i="7" s="1" a="1"/>
  <c r="BD45" i="7" s="1"/>
  <c r="BE45" i="7" s="1" a="1"/>
  <c r="BE45" i="7" s="1"/>
  <c r="BF45" i="7" s="1" a="1"/>
  <c r="BF45" i="7" s="1"/>
  <c r="BG45" i="7" s="1" a="1"/>
  <c r="BG45" i="7" s="1"/>
  <c r="BH45" i="7" s="1" a="1"/>
  <c r="BH45" i="7" s="1"/>
  <c r="BI45" i="7" s="1" a="1"/>
  <c r="BI45" i="7" s="1"/>
  <c r="BJ45" i="7" s="1" a="1"/>
  <c r="BJ45" i="7" s="1"/>
  <c r="BK45" i="7" s="1" a="1"/>
  <c r="BK45" i="7" s="1"/>
  <c r="BL45" i="7" s="1" a="1"/>
  <c r="BL45" i="7" s="1"/>
  <c r="BM45" i="7" s="1" a="1"/>
  <c r="BM45" i="7" s="1"/>
  <c r="AQ67" i="8"/>
  <c r="AR6" i="8" a="1"/>
  <c r="AR6" i="8" s="1"/>
  <c r="E46" i="8"/>
  <c r="AT45" i="8" a="1"/>
  <c r="AT45" i="8" s="1"/>
  <c r="AU45" i="8" s="1" a="1"/>
  <c r="AU45" i="8" s="1"/>
  <c r="AV45" i="8" s="1" a="1"/>
  <c r="AV45" i="8" s="1"/>
  <c r="AW45" i="8" s="1" a="1"/>
  <c r="AW45" i="8" s="1"/>
  <c r="AX45" i="8" s="1" a="1"/>
  <c r="AX45" i="8" s="1"/>
  <c r="AY45" i="8" s="1" a="1"/>
  <c r="AY45" i="8" s="1"/>
  <c r="AZ45" i="8" s="1" a="1"/>
  <c r="AZ45" i="8" s="1"/>
  <c r="BA45" i="8" s="1" a="1"/>
  <c r="BA45" i="8" s="1"/>
  <c r="BB45" i="8" s="1" a="1"/>
  <c r="BB45" i="8" s="1"/>
  <c r="BC45" i="8" s="1" a="1"/>
  <c r="BC45" i="8" s="1"/>
  <c r="BD45" i="8" s="1" a="1"/>
  <c r="BD45" i="8" s="1"/>
  <c r="BE45" i="8" s="1" a="1"/>
  <c r="BE45" i="8" s="1"/>
  <c r="BF45" i="8" s="1" a="1"/>
  <c r="BF45" i="8" s="1"/>
  <c r="BG45" i="8" s="1" a="1"/>
  <c r="BG45" i="8" s="1"/>
  <c r="BH45" i="8" s="1" a="1"/>
  <c r="BH45" i="8" s="1"/>
  <c r="BI45" i="8" s="1" a="1"/>
  <c r="BI45" i="8" s="1"/>
  <c r="BJ45" i="8" s="1" a="1"/>
  <c r="BJ45" i="8" s="1"/>
  <c r="BK45" i="8" s="1" a="1"/>
  <c r="BK45" i="8" s="1"/>
  <c r="BL45" i="8" s="1" a="1"/>
  <c r="BL45" i="8" s="1"/>
  <c r="BM45" i="8" s="1" a="1"/>
  <c r="BM45" i="8" s="1"/>
  <c r="AQ67" i="9"/>
  <c r="AR6" i="9" a="1"/>
  <c r="AR6" i="9" s="1"/>
  <c r="E46" i="9"/>
  <c r="AT45" i="9" a="1"/>
  <c r="AT45" i="9" s="1"/>
  <c r="AU45" i="9" s="1" a="1"/>
  <c r="AU45" i="9" s="1"/>
  <c r="AV45" i="9" s="1" a="1"/>
  <c r="AV45" i="9" s="1"/>
  <c r="AW45" i="9" s="1" a="1"/>
  <c r="AW45" i="9" s="1"/>
  <c r="AX45" i="9" s="1" a="1"/>
  <c r="AX45" i="9" s="1"/>
  <c r="AY45" i="9" s="1" a="1"/>
  <c r="AY45" i="9" s="1"/>
  <c r="AZ45" i="9" s="1" a="1"/>
  <c r="AZ45" i="9" s="1"/>
  <c r="BA45" i="9" s="1" a="1"/>
  <c r="BA45" i="9" s="1"/>
  <c r="BB45" i="9" s="1" a="1"/>
  <c r="BB45" i="9" s="1"/>
  <c r="BC45" i="9" s="1" a="1"/>
  <c r="BC45" i="9" s="1"/>
  <c r="BD45" i="9" s="1" a="1"/>
  <c r="BD45" i="9" s="1"/>
  <c r="BE45" i="9" s="1" a="1"/>
  <c r="BE45" i="9" s="1"/>
  <c r="BF45" i="9" s="1" a="1"/>
  <c r="BF45" i="9" s="1"/>
  <c r="BG45" i="9" s="1" a="1"/>
  <c r="BG45" i="9" s="1"/>
  <c r="BH45" i="9" s="1" a="1"/>
  <c r="BH45" i="9" s="1"/>
  <c r="BI45" i="9" s="1" a="1"/>
  <c r="BI45" i="9" s="1"/>
  <c r="BJ45" i="9" s="1" a="1"/>
  <c r="BJ45" i="9" s="1"/>
  <c r="BK45" i="9" s="1" a="1"/>
  <c r="BK45" i="9" s="1"/>
  <c r="BL45" i="9" s="1" a="1"/>
  <c r="BL45" i="9" s="1"/>
  <c r="BM45" i="9" s="1" a="1"/>
  <c r="BM45" i="9" s="1"/>
  <c r="AQ7" i="7" l="1" a="1"/>
  <c r="AQ7" i="7" s="1"/>
  <c r="AP67" i="7"/>
  <c r="E47" i="9"/>
  <c r="AU46" i="9" a="1"/>
  <c r="AU46" i="9" s="1"/>
  <c r="AV46" i="9" s="1" a="1"/>
  <c r="AV46" i="9" s="1"/>
  <c r="AW46" i="9" s="1" a="1"/>
  <c r="AW46" i="9" s="1"/>
  <c r="AX46" i="9" s="1" a="1"/>
  <c r="AX46" i="9" s="1"/>
  <c r="AY46" i="9" s="1" a="1"/>
  <c r="AY46" i="9" s="1"/>
  <c r="AZ46" i="9" s="1" a="1"/>
  <c r="AZ46" i="9" s="1"/>
  <c r="BA46" i="9" s="1" a="1"/>
  <c r="BA46" i="9" s="1"/>
  <c r="BB46" i="9" s="1" a="1"/>
  <c r="BB46" i="9" s="1"/>
  <c r="BC46" i="9" s="1" a="1"/>
  <c r="BC46" i="9" s="1"/>
  <c r="BD46" i="9" s="1" a="1"/>
  <c r="BD46" i="9" s="1"/>
  <c r="BE46" i="9" s="1" a="1"/>
  <c r="BE46" i="9" s="1"/>
  <c r="BF46" i="9" s="1" a="1"/>
  <c r="BF46" i="9" s="1"/>
  <c r="BG46" i="9" s="1" a="1"/>
  <c r="BG46" i="9" s="1"/>
  <c r="BH46" i="9" s="1" a="1"/>
  <c r="BH46" i="9" s="1"/>
  <c r="BI46" i="9" s="1" a="1"/>
  <c r="BI46" i="9" s="1"/>
  <c r="BJ46" i="9" s="1" a="1"/>
  <c r="BJ46" i="9" s="1"/>
  <c r="BK46" i="9" s="1" a="1"/>
  <c r="BK46" i="9" s="1"/>
  <c r="BL46" i="9" s="1" a="1"/>
  <c r="BL46" i="9" s="1"/>
  <c r="BM46" i="9" s="1" a="1"/>
  <c r="BM46" i="9" s="1"/>
  <c r="AR67" i="9"/>
  <c r="AS6" i="9" a="1"/>
  <c r="AS6" i="9" s="1"/>
  <c r="E47" i="8"/>
  <c r="AU46" i="8" a="1"/>
  <c r="AU46" i="8" s="1"/>
  <c r="AV46" i="8" s="1" a="1"/>
  <c r="AV46" i="8" s="1"/>
  <c r="AW46" i="8" s="1" a="1"/>
  <c r="AW46" i="8" s="1"/>
  <c r="AX46" i="8" s="1" a="1"/>
  <c r="AX46" i="8" s="1"/>
  <c r="AY46" i="8" s="1" a="1"/>
  <c r="AY46" i="8" s="1"/>
  <c r="AZ46" i="8" s="1" a="1"/>
  <c r="AZ46" i="8" s="1"/>
  <c r="BA46" i="8" s="1" a="1"/>
  <c r="BA46" i="8" s="1"/>
  <c r="BB46" i="8" s="1" a="1"/>
  <c r="BB46" i="8" s="1"/>
  <c r="BC46" i="8" s="1" a="1"/>
  <c r="BC46" i="8" s="1"/>
  <c r="BD46" i="8" s="1" a="1"/>
  <c r="BD46" i="8" s="1"/>
  <c r="BE46" i="8" s="1" a="1"/>
  <c r="BE46" i="8" s="1"/>
  <c r="BF46" i="8" s="1" a="1"/>
  <c r="BF46" i="8" s="1"/>
  <c r="BG46" i="8" s="1" a="1"/>
  <c r="BG46" i="8" s="1"/>
  <c r="BH46" i="8" s="1" a="1"/>
  <c r="BH46" i="8" s="1"/>
  <c r="BI46" i="8" s="1" a="1"/>
  <c r="BI46" i="8" s="1"/>
  <c r="BJ46" i="8" s="1" a="1"/>
  <c r="BJ46" i="8" s="1"/>
  <c r="BK46" i="8" s="1" a="1"/>
  <c r="BK46" i="8" s="1"/>
  <c r="BL46" i="8" s="1" a="1"/>
  <c r="BL46" i="8" s="1"/>
  <c r="BM46" i="8" s="1" a="1"/>
  <c r="BM46" i="8" s="1"/>
  <c r="AR67" i="8"/>
  <c r="AS6" i="8" a="1"/>
  <c r="AS6" i="8" s="1"/>
  <c r="E47" i="7"/>
  <c r="AU46" i="7" a="1"/>
  <c r="AU46" i="7" s="1"/>
  <c r="AV46" i="7" s="1" a="1"/>
  <c r="AV46" i="7" s="1"/>
  <c r="AW46" i="7" s="1" a="1"/>
  <c r="AW46" i="7" s="1"/>
  <c r="AX46" i="7" s="1" a="1"/>
  <c r="AX46" i="7" s="1"/>
  <c r="AY46" i="7" s="1" a="1"/>
  <c r="AY46" i="7" s="1"/>
  <c r="AZ46" i="7" s="1" a="1"/>
  <c r="AZ46" i="7" s="1"/>
  <c r="BA46" i="7" s="1" a="1"/>
  <c r="BA46" i="7" s="1"/>
  <c r="BB46" i="7" s="1" a="1"/>
  <c r="BB46" i="7" s="1"/>
  <c r="BC46" i="7" s="1" a="1"/>
  <c r="BC46" i="7" s="1"/>
  <c r="BD46" i="7" s="1" a="1"/>
  <c r="BD46" i="7" s="1"/>
  <c r="BE46" i="7" s="1" a="1"/>
  <c r="BE46" i="7" s="1"/>
  <c r="BF46" i="7" s="1" a="1"/>
  <c r="BF46" i="7" s="1"/>
  <c r="BG46" i="7" s="1" a="1"/>
  <c r="BG46" i="7" s="1"/>
  <c r="BH46" i="7" s="1" a="1"/>
  <c r="BH46" i="7" s="1"/>
  <c r="BI46" i="7" s="1" a="1"/>
  <c r="BI46" i="7" s="1"/>
  <c r="BJ46" i="7" s="1" a="1"/>
  <c r="BJ46" i="7" s="1"/>
  <c r="BK46" i="7" s="1" a="1"/>
  <c r="BK46" i="7" s="1"/>
  <c r="BL46" i="7" s="1" a="1"/>
  <c r="BL46" i="7" s="1"/>
  <c r="BM46" i="7" s="1" a="1"/>
  <c r="BM46" i="7" s="1"/>
  <c r="AS6" i="7" a="1"/>
  <c r="AS6" i="7" s="1"/>
  <c r="AR7" i="7" l="1" a="1"/>
  <c r="AR7" i="7" s="1"/>
  <c r="AQ67" i="7"/>
  <c r="AT6" i="7" a="1"/>
  <c r="AT6" i="7" s="1"/>
  <c r="E48" i="7"/>
  <c r="AV47" i="7" a="1"/>
  <c r="AV47" i="7" s="1"/>
  <c r="AW47" i="7" s="1" a="1"/>
  <c r="AW47" i="7" s="1"/>
  <c r="AX47" i="7" s="1" a="1"/>
  <c r="AX47" i="7" s="1"/>
  <c r="AY47" i="7" s="1" a="1"/>
  <c r="AY47" i="7" s="1"/>
  <c r="AZ47" i="7" s="1" a="1"/>
  <c r="AZ47" i="7" s="1"/>
  <c r="BA47" i="7" s="1" a="1"/>
  <c r="BA47" i="7" s="1"/>
  <c r="BB47" i="7" s="1" a="1"/>
  <c r="BB47" i="7" s="1"/>
  <c r="BC47" i="7" s="1" a="1"/>
  <c r="BC47" i="7" s="1"/>
  <c r="BD47" i="7" s="1" a="1"/>
  <c r="BD47" i="7" s="1"/>
  <c r="BE47" i="7" s="1" a="1"/>
  <c r="BE47" i="7" s="1"/>
  <c r="BF47" i="7" s="1" a="1"/>
  <c r="BF47" i="7" s="1"/>
  <c r="BG47" i="7" s="1" a="1"/>
  <c r="BG47" i="7" s="1"/>
  <c r="BH47" i="7" s="1" a="1"/>
  <c r="BH47" i="7" s="1"/>
  <c r="BI47" i="7" s="1" a="1"/>
  <c r="BI47" i="7" s="1"/>
  <c r="BJ47" i="7" s="1" a="1"/>
  <c r="BJ47" i="7" s="1"/>
  <c r="BK47" i="7" s="1" a="1"/>
  <c r="BK47" i="7" s="1"/>
  <c r="BL47" i="7" s="1" a="1"/>
  <c r="BL47" i="7" s="1"/>
  <c r="BM47" i="7" s="1" a="1"/>
  <c r="BM47" i="7" s="1"/>
  <c r="AS67" i="8"/>
  <c r="AT6" i="8" a="1"/>
  <c r="AT6" i="8" s="1"/>
  <c r="E48" i="8"/>
  <c r="AV47" i="8" a="1"/>
  <c r="AV47" i="8" s="1"/>
  <c r="AW47" i="8" s="1" a="1"/>
  <c r="AW47" i="8" s="1"/>
  <c r="AX47" i="8" s="1" a="1"/>
  <c r="AX47" i="8" s="1"/>
  <c r="AY47" i="8" s="1" a="1"/>
  <c r="AY47" i="8" s="1"/>
  <c r="AZ47" i="8" s="1" a="1"/>
  <c r="AZ47" i="8" s="1"/>
  <c r="BA47" i="8" s="1" a="1"/>
  <c r="BA47" i="8" s="1"/>
  <c r="BB47" i="8" s="1" a="1"/>
  <c r="BB47" i="8" s="1"/>
  <c r="BC47" i="8" s="1" a="1"/>
  <c r="BC47" i="8" s="1"/>
  <c r="BD47" i="8" s="1" a="1"/>
  <c r="BD47" i="8" s="1"/>
  <c r="BE47" i="8" s="1" a="1"/>
  <c r="BE47" i="8" s="1"/>
  <c r="BF47" i="8" s="1" a="1"/>
  <c r="BF47" i="8" s="1"/>
  <c r="BG47" i="8" s="1" a="1"/>
  <c r="BG47" i="8" s="1"/>
  <c r="BH47" i="8" s="1" a="1"/>
  <c r="BH47" i="8" s="1"/>
  <c r="BI47" i="8" s="1" a="1"/>
  <c r="BI47" i="8" s="1"/>
  <c r="BJ47" i="8" s="1" a="1"/>
  <c r="BJ47" i="8" s="1"/>
  <c r="BK47" i="8" s="1" a="1"/>
  <c r="BK47" i="8" s="1"/>
  <c r="BL47" i="8" s="1" a="1"/>
  <c r="BL47" i="8" s="1"/>
  <c r="BM47" i="8" s="1" a="1"/>
  <c r="BM47" i="8" s="1"/>
  <c r="AS67" i="9"/>
  <c r="AT6" i="9" a="1"/>
  <c r="AT6" i="9" s="1"/>
  <c r="E48" i="9"/>
  <c r="AV47" i="9" a="1"/>
  <c r="AV47" i="9" s="1"/>
  <c r="AW47" i="9" s="1" a="1"/>
  <c r="AW47" i="9" s="1"/>
  <c r="AX47" i="9" s="1" a="1"/>
  <c r="AX47" i="9" s="1"/>
  <c r="AY47" i="9" s="1" a="1"/>
  <c r="AY47" i="9" s="1"/>
  <c r="AZ47" i="9" s="1" a="1"/>
  <c r="AZ47" i="9" s="1"/>
  <c r="BA47" i="9" s="1" a="1"/>
  <c r="BA47" i="9" s="1"/>
  <c r="BB47" i="9" s="1" a="1"/>
  <c r="BB47" i="9" s="1"/>
  <c r="BC47" i="9" s="1" a="1"/>
  <c r="BC47" i="9" s="1"/>
  <c r="BD47" i="9" s="1" a="1"/>
  <c r="BD47" i="9" s="1"/>
  <c r="BE47" i="9" s="1" a="1"/>
  <c r="BE47" i="9" s="1"/>
  <c r="BF47" i="9" s="1" a="1"/>
  <c r="BF47" i="9" s="1"/>
  <c r="BG47" i="9" s="1" a="1"/>
  <c r="BG47" i="9" s="1"/>
  <c r="BH47" i="9" s="1" a="1"/>
  <c r="BH47" i="9" s="1"/>
  <c r="BI47" i="9" s="1" a="1"/>
  <c r="BI47" i="9" s="1"/>
  <c r="BJ47" i="9" s="1" a="1"/>
  <c r="BJ47" i="9" s="1"/>
  <c r="BK47" i="9" s="1" a="1"/>
  <c r="BK47" i="9" s="1"/>
  <c r="BL47" i="9" s="1" a="1"/>
  <c r="BL47" i="9" s="1"/>
  <c r="BM47" i="9" s="1" a="1"/>
  <c r="BM47" i="9" s="1"/>
  <c r="AS7" i="7" l="1" a="1"/>
  <c r="AS7" i="7" s="1"/>
  <c r="AR67" i="7"/>
  <c r="E49" i="9"/>
  <c r="AW48" i="9" a="1"/>
  <c r="AW48" i="9" s="1"/>
  <c r="AX48" i="9" s="1" a="1"/>
  <c r="AX48" i="9" s="1"/>
  <c r="AY48" i="9" s="1" a="1"/>
  <c r="AY48" i="9" s="1"/>
  <c r="AZ48" i="9" s="1" a="1"/>
  <c r="AZ48" i="9" s="1"/>
  <c r="BA48" i="9" s="1" a="1"/>
  <c r="BA48" i="9" s="1"/>
  <c r="BB48" i="9" s="1" a="1"/>
  <c r="BB48" i="9" s="1"/>
  <c r="BC48" i="9" s="1" a="1"/>
  <c r="BC48" i="9" s="1"/>
  <c r="BD48" i="9" s="1" a="1"/>
  <c r="BD48" i="9" s="1"/>
  <c r="BE48" i="9" s="1" a="1"/>
  <c r="BE48" i="9" s="1"/>
  <c r="BF48" i="9" s="1" a="1"/>
  <c r="BF48" i="9" s="1"/>
  <c r="BG48" i="9" s="1" a="1"/>
  <c r="BG48" i="9" s="1"/>
  <c r="BH48" i="9" s="1" a="1"/>
  <c r="BH48" i="9" s="1"/>
  <c r="BI48" i="9" s="1" a="1"/>
  <c r="BI48" i="9" s="1"/>
  <c r="BJ48" i="9" s="1" a="1"/>
  <c r="BJ48" i="9" s="1"/>
  <c r="BK48" i="9" s="1" a="1"/>
  <c r="BK48" i="9" s="1"/>
  <c r="BL48" i="9" s="1" a="1"/>
  <c r="BL48" i="9" s="1"/>
  <c r="BM48" i="9" s="1" a="1"/>
  <c r="BM48" i="9" s="1"/>
  <c r="AT67" i="9"/>
  <c r="AU6" i="9" a="1"/>
  <c r="AU6" i="9" s="1"/>
  <c r="E49" i="8"/>
  <c r="AW48" i="8" a="1"/>
  <c r="AW48" i="8" s="1"/>
  <c r="AX48" i="8" s="1" a="1"/>
  <c r="AX48" i="8" s="1"/>
  <c r="AY48" i="8" s="1" a="1"/>
  <c r="AY48" i="8" s="1"/>
  <c r="AZ48" i="8" s="1" a="1"/>
  <c r="AZ48" i="8" s="1"/>
  <c r="BA48" i="8" s="1" a="1"/>
  <c r="BA48" i="8" s="1"/>
  <c r="BB48" i="8" s="1" a="1"/>
  <c r="BB48" i="8" s="1"/>
  <c r="BC48" i="8" s="1" a="1"/>
  <c r="BC48" i="8" s="1"/>
  <c r="BD48" i="8" s="1" a="1"/>
  <c r="BD48" i="8" s="1"/>
  <c r="BE48" i="8" s="1" a="1"/>
  <c r="BE48" i="8" s="1"/>
  <c r="BF48" i="8" s="1" a="1"/>
  <c r="BF48" i="8" s="1"/>
  <c r="BG48" i="8" s="1" a="1"/>
  <c r="BG48" i="8" s="1"/>
  <c r="BH48" i="8" s="1" a="1"/>
  <c r="BH48" i="8" s="1"/>
  <c r="BI48" i="8" s="1" a="1"/>
  <c r="BI48" i="8" s="1"/>
  <c r="BJ48" i="8" s="1" a="1"/>
  <c r="BJ48" i="8" s="1"/>
  <c r="BK48" i="8" s="1" a="1"/>
  <c r="BK48" i="8" s="1"/>
  <c r="BL48" i="8" s="1" a="1"/>
  <c r="BL48" i="8" s="1"/>
  <c r="BM48" i="8" s="1" a="1"/>
  <c r="BM48" i="8" s="1"/>
  <c r="AT67" i="8"/>
  <c r="AU6" i="8" a="1"/>
  <c r="AU6" i="8" s="1"/>
  <c r="E49" i="7"/>
  <c r="AW48" i="7" a="1"/>
  <c r="AW48" i="7" s="1"/>
  <c r="AX48" i="7" s="1" a="1"/>
  <c r="AX48" i="7" s="1"/>
  <c r="AY48" i="7" s="1" a="1"/>
  <c r="AY48" i="7" s="1"/>
  <c r="AZ48" i="7" s="1" a="1"/>
  <c r="AZ48" i="7" s="1"/>
  <c r="BA48" i="7" s="1" a="1"/>
  <c r="BA48" i="7" s="1"/>
  <c r="BB48" i="7" s="1" a="1"/>
  <c r="BB48" i="7" s="1"/>
  <c r="BC48" i="7" s="1" a="1"/>
  <c r="BC48" i="7" s="1"/>
  <c r="BD48" i="7" s="1" a="1"/>
  <c r="BD48" i="7" s="1"/>
  <c r="BE48" i="7" s="1" a="1"/>
  <c r="BE48" i="7" s="1"/>
  <c r="BF48" i="7" s="1" a="1"/>
  <c r="BF48" i="7" s="1"/>
  <c r="BG48" i="7" s="1" a="1"/>
  <c r="BG48" i="7" s="1"/>
  <c r="BH48" i="7" s="1" a="1"/>
  <c r="BH48" i="7" s="1"/>
  <c r="BI48" i="7" s="1" a="1"/>
  <c r="BI48" i="7" s="1"/>
  <c r="BJ48" i="7" s="1" a="1"/>
  <c r="BJ48" i="7" s="1"/>
  <c r="BK48" i="7" s="1" a="1"/>
  <c r="BK48" i="7" s="1"/>
  <c r="BL48" i="7" s="1" a="1"/>
  <c r="BL48" i="7" s="1"/>
  <c r="BM48" i="7" s="1" a="1"/>
  <c r="BM48" i="7" s="1"/>
  <c r="AU6" i="7" a="1"/>
  <c r="AU6" i="7" s="1"/>
  <c r="AT7" i="7" l="1" a="1"/>
  <c r="AT7" i="7" s="1"/>
  <c r="AS67" i="7"/>
  <c r="AV6" i="7" a="1"/>
  <c r="AV6" i="7" s="1"/>
  <c r="E50" i="7"/>
  <c r="AX49" i="7" a="1"/>
  <c r="AX49" i="7" s="1"/>
  <c r="AY49" i="7" s="1" a="1"/>
  <c r="AY49" i="7" s="1"/>
  <c r="AZ49" i="7" s="1" a="1"/>
  <c r="AZ49" i="7" s="1"/>
  <c r="BA49" i="7" s="1" a="1"/>
  <c r="BA49" i="7" s="1"/>
  <c r="BB49" i="7" s="1" a="1"/>
  <c r="BB49" i="7" s="1"/>
  <c r="BC49" i="7" s="1" a="1"/>
  <c r="BC49" i="7" s="1"/>
  <c r="BD49" i="7" s="1" a="1"/>
  <c r="BD49" i="7" s="1"/>
  <c r="BE49" i="7" s="1" a="1"/>
  <c r="BE49" i="7" s="1"/>
  <c r="BF49" i="7" s="1" a="1"/>
  <c r="BF49" i="7" s="1"/>
  <c r="BG49" i="7" s="1" a="1"/>
  <c r="BG49" i="7" s="1"/>
  <c r="BH49" i="7" s="1" a="1"/>
  <c r="BH49" i="7" s="1"/>
  <c r="BI49" i="7" s="1" a="1"/>
  <c r="BI49" i="7" s="1"/>
  <c r="BJ49" i="7" s="1" a="1"/>
  <c r="BJ49" i="7" s="1"/>
  <c r="BK49" i="7" s="1" a="1"/>
  <c r="BK49" i="7" s="1"/>
  <c r="BL49" i="7" s="1" a="1"/>
  <c r="BL49" i="7" s="1"/>
  <c r="BM49" i="7" s="1" a="1"/>
  <c r="BM49" i="7" s="1"/>
  <c r="AU67" i="8"/>
  <c r="AV6" i="8" a="1"/>
  <c r="AV6" i="8" s="1"/>
  <c r="E50" i="8"/>
  <c r="AX49" i="8" a="1"/>
  <c r="AX49" i="8" s="1"/>
  <c r="AY49" i="8" s="1" a="1"/>
  <c r="AY49" i="8" s="1"/>
  <c r="AZ49" i="8" s="1" a="1"/>
  <c r="AZ49" i="8" s="1"/>
  <c r="BA49" i="8" s="1" a="1"/>
  <c r="BA49" i="8" s="1"/>
  <c r="BB49" i="8" s="1" a="1"/>
  <c r="BB49" i="8" s="1"/>
  <c r="BC49" i="8" s="1" a="1"/>
  <c r="BC49" i="8" s="1"/>
  <c r="BD49" i="8" s="1" a="1"/>
  <c r="BD49" i="8" s="1"/>
  <c r="BE49" i="8" s="1" a="1"/>
  <c r="BE49" i="8" s="1"/>
  <c r="BF49" i="8" s="1" a="1"/>
  <c r="BF49" i="8" s="1"/>
  <c r="BG49" i="8" s="1" a="1"/>
  <c r="BG49" i="8" s="1"/>
  <c r="BH49" i="8" s="1" a="1"/>
  <c r="BH49" i="8" s="1"/>
  <c r="BI49" i="8" s="1" a="1"/>
  <c r="BI49" i="8" s="1"/>
  <c r="BJ49" i="8" s="1" a="1"/>
  <c r="BJ49" i="8" s="1"/>
  <c r="BK49" i="8" s="1" a="1"/>
  <c r="BK49" i="8" s="1"/>
  <c r="BL49" i="8" s="1" a="1"/>
  <c r="BL49" i="8" s="1"/>
  <c r="BM49" i="8" s="1" a="1"/>
  <c r="BM49" i="8" s="1"/>
  <c r="AU67" i="9"/>
  <c r="AV6" i="9" a="1"/>
  <c r="AV6" i="9" s="1"/>
  <c r="E50" i="9"/>
  <c r="AX49" i="9" a="1"/>
  <c r="AX49" i="9" s="1"/>
  <c r="AY49" i="9" s="1" a="1"/>
  <c r="AY49" i="9" s="1"/>
  <c r="AZ49" i="9" s="1" a="1"/>
  <c r="AZ49" i="9" s="1"/>
  <c r="BA49" i="9" s="1" a="1"/>
  <c r="BA49" i="9" s="1"/>
  <c r="BB49" i="9" s="1" a="1"/>
  <c r="BB49" i="9" s="1"/>
  <c r="BC49" i="9" s="1" a="1"/>
  <c r="BC49" i="9" s="1"/>
  <c r="BD49" i="9" s="1" a="1"/>
  <c r="BD49" i="9" s="1"/>
  <c r="BE49" i="9" s="1" a="1"/>
  <c r="BE49" i="9" s="1"/>
  <c r="BF49" i="9" s="1" a="1"/>
  <c r="BF49" i="9" s="1"/>
  <c r="BG49" i="9" s="1" a="1"/>
  <c r="BG49" i="9" s="1"/>
  <c r="BH49" i="9" s="1" a="1"/>
  <c r="BH49" i="9" s="1"/>
  <c r="BI49" i="9" s="1" a="1"/>
  <c r="BI49" i="9" s="1"/>
  <c r="BJ49" i="9" s="1" a="1"/>
  <c r="BJ49" i="9" s="1"/>
  <c r="BK49" i="9" s="1" a="1"/>
  <c r="BK49" i="9" s="1"/>
  <c r="BL49" i="9" s="1" a="1"/>
  <c r="BL49" i="9" s="1"/>
  <c r="BM49" i="9" s="1" a="1"/>
  <c r="BM49" i="9" s="1"/>
  <c r="AU7" i="7" l="1" a="1"/>
  <c r="AU7" i="7" s="1"/>
  <c r="AT67" i="7"/>
  <c r="E51" i="9"/>
  <c r="AY50" i="9" a="1"/>
  <c r="AY50" i="9" s="1"/>
  <c r="AZ50" i="9" s="1" a="1"/>
  <c r="AZ50" i="9" s="1"/>
  <c r="BA50" i="9" s="1" a="1"/>
  <c r="BA50" i="9" s="1"/>
  <c r="BB50" i="9" s="1" a="1"/>
  <c r="BB50" i="9" s="1"/>
  <c r="BC50" i="9" s="1" a="1"/>
  <c r="BC50" i="9" s="1"/>
  <c r="BD50" i="9" s="1" a="1"/>
  <c r="BD50" i="9" s="1"/>
  <c r="BE50" i="9" s="1" a="1"/>
  <c r="BE50" i="9" s="1"/>
  <c r="BF50" i="9" s="1" a="1"/>
  <c r="BF50" i="9" s="1"/>
  <c r="BG50" i="9" s="1" a="1"/>
  <c r="BG50" i="9" s="1"/>
  <c r="BH50" i="9" s="1" a="1"/>
  <c r="BH50" i="9" s="1"/>
  <c r="BI50" i="9" s="1" a="1"/>
  <c r="BI50" i="9" s="1"/>
  <c r="BJ50" i="9" s="1" a="1"/>
  <c r="BJ50" i="9" s="1"/>
  <c r="BK50" i="9" s="1" a="1"/>
  <c r="BK50" i="9" s="1"/>
  <c r="BL50" i="9" s="1" a="1"/>
  <c r="BL50" i="9" s="1"/>
  <c r="BM50" i="9" s="1" a="1"/>
  <c r="BM50" i="9" s="1"/>
  <c r="AV67" i="9"/>
  <c r="AW6" i="9" a="1"/>
  <c r="AW6" i="9" s="1"/>
  <c r="E51" i="8"/>
  <c r="AY50" i="8" a="1"/>
  <c r="AY50" i="8" s="1"/>
  <c r="AZ50" i="8" s="1" a="1"/>
  <c r="AZ50" i="8" s="1"/>
  <c r="BA50" i="8" s="1" a="1"/>
  <c r="BA50" i="8" s="1"/>
  <c r="BB50" i="8" s="1" a="1"/>
  <c r="BB50" i="8" s="1"/>
  <c r="BC50" i="8" s="1" a="1"/>
  <c r="BC50" i="8" s="1"/>
  <c r="BD50" i="8" s="1" a="1"/>
  <c r="BD50" i="8" s="1"/>
  <c r="BE50" i="8" s="1" a="1"/>
  <c r="BE50" i="8" s="1"/>
  <c r="BF50" i="8" s="1" a="1"/>
  <c r="BF50" i="8" s="1"/>
  <c r="BG50" i="8" s="1" a="1"/>
  <c r="BG50" i="8" s="1"/>
  <c r="BH50" i="8" s="1" a="1"/>
  <c r="BH50" i="8" s="1"/>
  <c r="BI50" i="8" s="1" a="1"/>
  <c r="BI50" i="8" s="1"/>
  <c r="BJ50" i="8" s="1" a="1"/>
  <c r="BJ50" i="8" s="1"/>
  <c r="BK50" i="8" s="1" a="1"/>
  <c r="BK50" i="8" s="1"/>
  <c r="BL50" i="8" s="1" a="1"/>
  <c r="BL50" i="8" s="1"/>
  <c r="BM50" i="8" s="1" a="1"/>
  <c r="BM50" i="8" s="1"/>
  <c r="AV67" i="8"/>
  <c r="AW6" i="8" a="1"/>
  <c r="AW6" i="8" s="1"/>
  <c r="E51" i="7"/>
  <c r="AY50" i="7" a="1"/>
  <c r="AY50" i="7" s="1"/>
  <c r="AZ50" i="7" s="1" a="1"/>
  <c r="AZ50" i="7" s="1"/>
  <c r="BA50" i="7" s="1" a="1"/>
  <c r="BA50" i="7" s="1"/>
  <c r="BB50" i="7" s="1" a="1"/>
  <c r="BB50" i="7" s="1"/>
  <c r="BC50" i="7" s="1" a="1"/>
  <c r="BC50" i="7" s="1"/>
  <c r="BD50" i="7" s="1" a="1"/>
  <c r="BD50" i="7" s="1"/>
  <c r="BE50" i="7" s="1" a="1"/>
  <c r="BE50" i="7" s="1"/>
  <c r="BF50" i="7" s="1" a="1"/>
  <c r="BF50" i="7" s="1"/>
  <c r="BG50" i="7" s="1" a="1"/>
  <c r="BG50" i="7" s="1"/>
  <c r="BH50" i="7" s="1" a="1"/>
  <c r="BH50" i="7" s="1"/>
  <c r="BI50" i="7" s="1" a="1"/>
  <c r="BI50" i="7" s="1"/>
  <c r="BJ50" i="7" s="1" a="1"/>
  <c r="BJ50" i="7" s="1"/>
  <c r="BK50" i="7" s="1" a="1"/>
  <c r="BK50" i="7" s="1"/>
  <c r="BL50" i="7" s="1" a="1"/>
  <c r="BL50" i="7" s="1"/>
  <c r="BM50" i="7" s="1" a="1"/>
  <c r="BM50" i="7" s="1"/>
  <c r="AW6" i="7" a="1"/>
  <c r="AW6" i="7" s="1"/>
  <c r="AV7" i="7" l="1" a="1"/>
  <c r="AV7" i="7" s="1"/>
  <c r="AU67" i="7"/>
  <c r="AX6" i="7" a="1"/>
  <c r="AX6" i="7" s="1"/>
  <c r="E52" i="7"/>
  <c r="AZ51" i="7" a="1"/>
  <c r="AZ51" i="7" s="1"/>
  <c r="BA51" i="7" s="1" a="1"/>
  <c r="BA51" i="7" s="1"/>
  <c r="BB51" i="7" s="1" a="1"/>
  <c r="BB51" i="7" s="1"/>
  <c r="BC51" i="7" s="1" a="1"/>
  <c r="BC51" i="7" s="1"/>
  <c r="BD51" i="7" s="1" a="1"/>
  <c r="BD51" i="7" s="1"/>
  <c r="BE51" i="7" s="1" a="1"/>
  <c r="BE51" i="7" s="1"/>
  <c r="BF51" i="7" s="1" a="1"/>
  <c r="BF51" i="7" s="1"/>
  <c r="BG51" i="7" s="1" a="1"/>
  <c r="BG51" i="7" s="1"/>
  <c r="BH51" i="7" s="1" a="1"/>
  <c r="BH51" i="7" s="1"/>
  <c r="BI51" i="7" s="1" a="1"/>
  <c r="BI51" i="7" s="1"/>
  <c r="BJ51" i="7" s="1" a="1"/>
  <c r="BJ51" i="7" s="1"/>
  <c r="BK51" i="7" s="1" a="1"/>
  <c r="BK51" i="7" s="1"/>
  <c r="BL51" i="7" s="1" a="1"/>
  <c r="BL51" i="7" s="1"/>
  <c r="BM51" i="7" s="1" a="1"/>
  <c r="BM51" i="7" s="1"/>
  <c r="AW67" i="8"/>
  <c r="AX6" i="8" a="1"/>
  <c r="AX6" i="8" s="1"/>
  <c r="E52" i="8"/>
  <c r="AZ51" i="8" a="1"/>
  <c r="AZ51" i="8" s="1"/>
  <c r="BA51" i="8" s="1" a="1"/>
  <c r="BA51" i="8" s="1"/>
  <c r="BB51" i="8" s="1" a="1"/>
  <c r="BB51" i="8" s="1"/>
  <c r="BC51" i="8" s="1" a="1"/>
  <c r="BC51" i="8" s="1"/>
  <c r="BD51" i="8" s="1" a="1"/>
  <c r="BD51" i="8" s="1"/>
  <c r="BE51" i="8" s="1" a="1"/>
  <c r="BE51" i="8" s="1"/>
  <c r="BF51" i="8" s="1" a="1"/>
  <c r="BF51" i="8" s="1"/>
  <c r="BG51" i="8" s="1" a="1"/>
  <c r="BG51" i="8" s="1"/>
  <c r="BH51" i="8" s="1" a="1"/>
  <c r="BH51" i="8" s="1"/>
  <c r="BI51" i="8" s="1" a="1"/>
  <c r="BI51" i="8" s="1"/>
  <c r="BJ51" i="8" s="1" a="1"/>
  <c r="BJ51" i="8" s="1"/>
  <c r="BK51" i="8" s="1" a="1"/>
  <c r="BK51" i="8" s="1"/>
  <c r="BL51" i="8" s="1" a="1"/>
  <c r="BL51" i="8" s="1"/>
  <c r="BM51" i="8" s="1" a="1"/>
  <c r="BM51" i="8" s="1"/>
  <c r="AW67" i="9"/>
  <c r="AX6" i="9" a="1"/>
  <c r="AX6" i="9" s="1"/>
  <c r="E52" i="9"/>
  <c r="AZ51" i="9" a="1"/>
  <c r="AZ51" i="9" s="1"/>
  <c r="BA51" i="9" s="1" a="1"/>
  <c r="BA51" i="9" s="1"/>
  <c r="BB51" i="9" s="1" a="1"/>
  <c r="BB51" i="9" s="1"/>
  <c r="BC51" i="9" s="1" a="1"/>
  <c r="BC51" i="9" s="1"/>
  <c r="BD51" i="9" s="1" a="1"/>
  <c r="BD51" i="9" s="1"/>
  <c r="BE51" i="9" s="1" a="1"/>
  <c r="BE51" i="9" s="1"/>
  <c r="BF51" i="9" s="1" a="1"/>
  <c r="BF51" i="9" s="1"/>
  <c r="BG51" i="9" s="1" a="1"/>
  <c r="BG51" i="9" s="1"/>
  <c r="BH51" i="9" s="1" a="1"/>
  <c r="BH51" i="9" s="1"/>
  <c r="BI51" i="9" s="1" a="1"/>
  <c r="BI51" i="9" s="1"/>
  <c r="BJ51" i="9" s="1" a="1"/>
  <c r="BJ51" i="9" s="1"/>
  <c r="BK51" i="9" s="1" a="1"/>
  <c r="BK51" i="9" s="1"/>
  <c r="BL51" i="9" s="1" a="1"/>
  <c r="BL51" i="9" s="1"/>
  <c r="BM51" i="9" s="1" a="1"/>
  <c r="BM51" i="9" s="1"/>
  <c r="AW7" i="7" l="1" a="1"/>
  <c r="AW7" i="7" s="1"/>
  <c r="AV67" i="7"/>
  <c r="E53" i="9"/>
  <c r="BA52" i="9" a="1"/>
  <c r="BA52" i="9" s="1"/>
  <c r="BB52" i="9" s="1" a="1"/>
  <c r="BB52" i="9" s="1"/>
  <c r="BC52" i="9" s="1" a="1"/>
  <c r="BC52" i="9" s="1"/>
  <c r="BD52" i="9" s="1" a="1"/>
  <c r="BD52" i="9" s="1"/>
  <c r="BE52" i="9" s="1" a="1"/>
  <c r="BE52" i="9" s="1"/>
  <c r="BF52" i="9" s="1" a="1"/>
  <c r="BF52" i="9" s="1"/>
  <c r="BG52" i="9" s="1" a="1"/>
  <c r="BG52" i="9" s="1"/>
  <c r="BH52" i="9" s="1" a="1"/>
  <c r="BH52" i="9" s="1"/>
  <c r="BI52" i="9" s="1" a="1"/>
  <c r="BI52" i="9" s="1"/>
  <c r="BJ52" i="9" s="1" a="1"/>
  <c r="BJ52" i="9" s="1"/>
  <c r="BK52" i="9" s="1" a="1"/>
  <c r="BK52" i="9" s="1"/>
  <c r="BL52" i="9" s="1" a="1"/>
  <c r="BL52" i="9" s="1"/>
  <c r="BM52" i="9" s="1" a="1"/>
  <c r="BM52" i="9" s="1"/>
  <c r="AX67" i="9"/>
  <c r="AY6" i="9" a="1"/>
  <c r="AY6" i="9" s="1"/>
  <c r="E53" i="8"/>
  <c r="BA52" i="8" a="1"/>
  <c r="BA52" i="8" s="1"/>
  <c r="BB52" i="8" s="1" a="1"/>
  <c r="BB52" i="8" s="1"/>
  <c r="BC52" i="8" s="1" a="1"/>
  <c r="BC52" i="8" s="1"/>
  <c r="BD52" i="8" s="1" a="1"/>
  <c r="BD52" i="8" s="1"/>
  <c r="BE52" i="8" s="1" a="1"/>
  <c r="BE52" i="8" s="1"/>
  <c r="BF52" i="8" s="1" a="1"/>
  <c r="BF52" i="8" s="1"/>
  <c r="BG52" i="8" s="1" a="1"/>
  <c r="BG52" i="8" s="1"/>
  <c r="BH52" i="8" s="1" a="1"/>
  <c r="BH52" i="8" s="1"/>
  <c r="BI52" i="8" s="1" a="1"/>
  <c r="BI52" i="8" s="1"/>
  <c r="BJ52" i="8" s="1" a="1"/>
  <c r="BJ52" i="8" s="1"/>
  <c r="BK52" i="8" s="1" a="1"/>
  <c r="BK52" i="8" s="1"/>
  <c r="BL52" i="8" s="1" a="1"/>
  <c r="BL52" i="8" s="1"/>
  <c r="BM52" i="8" s="1" a="1"/>
  <c r="BM52" i="8" s="1"/>
  <c r="AX67" i="8"/>
  <c r="AY6" i="8" a="1"/>
  <c r="AY6" i="8" s="1"/>
  <c r="E53" i="7"/>
  <c r="BA52" i="7" a="1"/>
  <c r="BA52" i="7" s="1"/>
  <c r="BB52" i="7" s="1" a="1"/>
  <c r="BB52" i="7" s="1"/>
  <c r="BC52" i="7" s="1" a="1"/>
  <c r="BC52" i="7" s="1"/>
  <c r="BD52" i="7" s="1" a="1"/>
  <c r="BD52" i="7" s="1"/>
  <c r="BE52" i="7" s="1" a="1"/>
  <c r="BE52" i="7" s="1"/>
  <c r="BF52" i="7" s="1" a="1"/>
  <c r="BF52" i="7" s="1"/>
  <c r="BG52" i="7" s="1" a="1"/>
  <c r="BG52" i="7" s="1"/>
  <c r="BH52" i="7" s="1" a="1"/>
  <c r="BH52" i="7" s="1"/>
  <c r="BI52" i="7" s="1" a="1"/>
  <c r="BI52" i="7" s="1"/>
  <c r="BJ52" i="7" s="1" a="1"/>
  <c r="BJ52" i="7" s="1"/>
  <c r="BK52" i="7" s="1" a="1"/>
  <c r="BK52" i="7" s="1"/>
  <c r="BL52" i="7" s="1" a="1"/>
  <c r="BL52" i="7" s="1"/>
  <c r="BM52" i="7" s="1" a="1"/>
  <c r="BM52" i="7" s="1"/>
  <c r="AY6" i="7" a="1"/>
  <c r="AY6" i="7" s="1"/>
  <c r="AX7" i="7" l="1" a="1"/>
  <c r="AX7" i="7" s="1"/>
  <c r="AW67" i="7"/>
  <c r="AZ6" i="7" a="1"/>
  <c r="AZ6" i="7" s="1"/>
  <c r="E54" i="7"/>
  <c r="BB53" i="7" a="1"/>
  <c r="BB53" i="7" s="1"/>
  <c r="BC53" i="7" s="1" a="1"/>
  <c r="BC53" i="7" s="1"/>
  <c r="BD53" i="7" s="1" a="1"/>
  <c r="BD53" i="7" s="1"/>
  <c r="BE53" i="7" s="1" a="1"/>
  <c r="BE53" i="7" s="1"/>
  <c r="BF53" i="7" s="1" a="1"/>
  <c r="BF53" i="7" s="1"/>
  <c r="BG53" i="7" s="1" a="1"/>
  <c r="BG53" i="7" s="1"/>
  <c r="BH53" i="7" s="1" a="1"/>
  <c r="BH53" i="7" s="1"/>
  <c r="BI53" i="7" s="1" a="1"/>
  <c r="BI53" i="7" s="1"/>
  <c r="BJ53" i="7" s="1" a="1"/>
  <c r="BJ53" i="7" s="1"/>
  <c r="BK53" i="7" s="1" a="1"/>
  <c r="BK53" i="7" s="1"/>
  <c r="BL53" i="7" s="1" a="1"/>
  <c r="BL53" i="7" s="1"/>
  <c r="BM53" i="7" s="1" a="1"/>
  <c r="BM53" i="7" s="1"/>
  <c r="AY67" i="8"/>
  <c r="AZ6" i="8" a="1"/>
  <c r="AZ6" i="8" s="1"/>
  <c r="E54" i="8"/>
  <c r="BB53" i="8" a="1"/>
  <c r="BB53" i="8" s="1"/>
  <c r="BC53" i="8" s="1" a="1"/>
  <c r="BC53" i="8" s="1"/>
  <c r="BD53" i="8" s="1" a="1"/>
  <c r="BD53" i="8" s="1"/>
  <c r="BE53" i="8" s="1" a="1"/>
  <c r="BE53" i="8" s="1"/>
  <c r="BF53" i="8" s="1" a="1"/>
  <c r="BF53" i="8" s="1"/>
  <c r="BG53" i="8" s="1" a="1"/>
  <c r="BG53" i="8" s="1"/>
  <c r="BH53" i="8" s="1" a="1"/>
  <c r="BH53" i="8" s="1"/>
  <c r="BI53" i="8" s="1" a="1"/>
  <c r="BI53" i="8" s="1"/>
  <c r="BJ53" i="8" s="1" a="1"/>
  <c r="BJ53" i="8" s="1"/>
  <c r="BK53" i="8" s="1" a="1"/>
  <c r="BK53" i="8" s="1"/>
  <c r="BL53" i="8" s="1" a="1"/>
  <c r="BL53" i="8" s="1"/>
  <c r="BM53" i="8" s="1" a="1"/>
  <c r="BM53" i="8" s="1"/>
  <c r="AY67" i="9"/>
  <c r="AZ6" i="9" a="1"/>
  <c r="AZ6" i="9" s="1"/>
  <c r="E54" i="9"/>
  <c r="BB53" i="9" a="1"/>
  <c r="BB53" i="9" s="1"/>
  <c r="BC53" i="9" s="1" a="1"/>
  <c r="BC53" i="9" s="1"/>
  <c r="BD53" i="9" s="1" a="1"/>
  <c r="BD53" i="9" s="1"/>
  <c r="BE53" i="9" s="1" a="1"/>
  <c r="BE53" i="9" s="1"/>
  <c r="BF53" i="9" s="1" a="1"/>
  <c r="BF53" i="9" s="1"/>
  <c r="BG53" i="9" s="1" a="1"/>
  <c r="BG53" i="9" s="1"/>
  <c r="BH53" i="9" s="1" a="1"/>
  <c r="BH53" i="9" s="1"/>
  <c r="BI53" i="9" s="1" a="1"/>
  <c r="BI53" i="9" s="1"/>
  <c r="BJ53" i="9" s="1" a="1"/>
  <c r="BJ53" i="9" s="1"/>
  <c r="BK53" i="9" s="1" a="1"/>
  <c r="BK53" i="9" s="1"/>
  <c r="BL53" i="9" s="1" a="1"/>
  <c r="BL53" i="9" s="1"/>
  <c r="BM53" i="9" s="1" a="1"/>
  <c r="BM53" i="9" s="1"/>
  <c r="AY7" i="7" l="1" a="1"/>
  <c r="AY7" i="7" s="1"/>
  <c r="AX67" i="7"/>
  <c r="E55" i="9"/>
  <c r="BC54" i="9" a="1"/>
  <c r="BC54" i="9" s="1"/>
  <c r="BD54" i="9" s="1" a="1"/>
  <c r="BD54" i="9" s="1"/>
  <c r="BE54" i="9" s="1" a="1"/>
  <c r="BE54" i="9" s="1"/>
  <c r="BF54" i="9" s="1" a="1"/>
  <c r="BF54" i="9" s="1"/>
  <c r="BG54" i="9" s="1" a="1"/>
  <c r="BG54" i="9" s="1"/>
  <c r="BH54" i="9" s="1" a="1"/>
  <c r="BH54" i="9" s="1"/>
  <c r="BI54" i="9" s="1" a="1"/>
  <c r="BI54" i="9" s="1"/>
  <c r="BJ54" i="9" s="1" a="1"/>
  <c r="BJ54" i="9" s="1"/>
  <c r="BK54" i="9" s="1" a="1"/>
  <c r="BK54" i="9" s="1"/>
  <c r="BL54" i="9" s="1" a="1"/>
  <c r="BL54" i="9" s="1"/>
  <c r="BM54" i="9" s="1" a="1"/>
  <c r="BM54" i="9" s="1"/>
  <c r="AZ67" i="9"/>
  <c r="BA6" i="9" a="1"/>
  <c r="BA6" i="9" s="1"/>
  <c r="E55" i="8"/>
  <c r="BC54" i="8" a="1"/>
  <c r="BC54" i="8" s="1"/>
  <c r="BD54" i="8" s="1" a="1"/>
  <c r="BD54" i="8" s="1"/>
  <c r="BE54" i="8" s="1" a="1"/>
  <c r="BE54" i="8" s="1"/>
  <c r="BF54" i="8" s="1" a="1"/>
  <c r="BF54" i="8" s="1"/>
  <c r="BG54" i="8" s="1" a="1"/>
  <c r="BG54" i="8" s="1"/>
  <c r="BH54" i="8" s="1" a="1"/>
  <c r="BH54" i="8" s="1"/>
  <c r="BI54" i="8" s="1" a="1"/>
  <c r="BI54" i="8" s="1"/>
  <c r="BJ54" i="8" s="1" a="1"/>
  <c r="BJ54" i="8" s="1"/>
  <c r="BK54" i="8" s="1" a="1"/>
  <c r="BK54" i="8" s="1"/>
  <c r="BL54" i="8" s="1" a="1"/>
  <c r="BL54" i="8" s="1"/>
  <c r="BM54" i="8" s="1" a="1"/>
  <c r="BM54" i="8" s="1"/>
  <c r="AZ67" i="8"/>
  <c r="BA6" i="8" a="1"/>
  <c r="BA6" i="8" s="1"/>
  <c r="E55" i="7"/>
  <c r="BC54" i="7" a="1"/>
  <c r="BC54" i="7" s="1"/>
  <c r="BD54" i="7" s="1" a="1"/>
  <c r="BD54" i="7" s="1"/>
  <c r="BE54" i="7" s="1" a="1"/>
  <c r="BE54" i="7" s="1"/>
  <c r="BF54" i="7" s="1" a="1"/>
  <c r="BF54" i="7" s="1"/>
  <c r="BG54" i="7" s="1" a="1"/>
  <c r="BG54" i="7" s="1"/>
  <c r="BH54" i="7" s="1" a="1"/>
  <c r="BH54" i="7" s="1"/>
  <c r="BI54" i="7" s="1" a="1"/>
  <c r="BI54" i="7" s="1"/>
  <c r="BJ54" i="7" s="1" a="1"/>
  <c r="BJ54" i="7" s="1"/>
  <c r="BK54" i="7" s="1" a="1"/>
  <c r="BK54" i="7" s="1"/>
  <c r="BL54" i="7" s="1" a="1"/>
  <c r="BL54" i="7" s="1"/>
  <c r="BM54" i="7" s="1" a="1"/>
  <c r="BM54" i="7" s="1"/>
  <c r="BA6" i="7" a="1"/>
  <c r="BA6" i="7" s="1"/>
  <c r="AZ7" i="7" l="1" a="1"/>
  <c r="AZ7" i="7" s="1"/>
  <c r="AY67" i="7"/>
  <c r="BB6" i="7" a="1"/>
  <c r="BB6" i="7" s="1"/>
  <c r="E56" i="7"/>
  <c r="BD55" i="7" a="1"/>
  <c r="BD55" i="7" s="1"/>
  <c r="BE55" i="7" s="1" a="1"/>
  <c r="BE55" i="7" s="1"/>
  <c r="BF55" i="7" s="1" a="1"/>
  <c r="BF55" i="7" s="1"/>
  <c r="BG55" i="7" s="1" a="1"/>
  <c r="BG55" i="7" s="1"/>
  <c r="BH55" i="7" s="1" a="1"/>
  <c r="BH55" i="7" s="1"/>
  <c r="BI55" i="7" s="1" a="1"/>
  <c r="BI55" i="7" s="1"/>
  <c r="BJ55" i="7" s="1" a="1"/>
  <c r="BJ55" i="7" s="1"/>
  <c r="BK55" i="7" s="1" a="1"/>
  <c r="BK55" i="7" s="1"/>
  <c r="BL55" i="7" s="1" a="1"/>
  <c r="BL55" i="7" s="1"/>
  <c r="BM55" i="7" s="1" a="1"/>
  <c r="BM55" i="7" s="1"/>
  <c r="BA67" i="8"/>
  <c r="BB6" i="8" a="1"/>
  <c r="BB6" i="8" s="1"/>
  <c r="E56" i="8"/>
  <c r="BD55" i="8" a="1"/>
  <c r="BD55" i="8" s="1"/>
  <c r="BE55" i="8" s="1" a="1"/>
  <c r="BE55" i="8" s="1"/>
  <c r="BF55" i="8" s="1" a="1"/>
  <c r="BF55" i="8" s="1"/>
  <c r="BG55" i="8" s="1" a="1"/>
  <c r="BG55" i="8" s="1"/>
  <c r="BH55" i="8" s="1" a="1"/>
  <c r="BH55" i="8" s="1"/>
  <c r="BI55" i="8" s="1" a="1"/>
  <c r="BI55" i="8" s="1"/>
  <c r="BJ55" i="8" s="1" a="1"/>
  <c r="BJ55" i="8" s="1"/>
  <c r="BK55" i="8" s="1" a="1"/>
  <c r="BK55" i="8" s="1"/>
  <c r="BL55" i="8" s="1" a="1"/>
  <c r="BL55" i="8" s="1"/>
  <c r="BM55" i="8" s="1" a="1"/>
  <c r="BM55" i="8" s="1"/>
  <c r="BA67" i="9"/>
  <c r="BB6" i="9" a="1"/>
  <c r="BB6" i="9" s="1"/>
  <c r="E56" i="9"/>
  <c r="BD55" i="9" a="1"/>
  <c r="BD55" i="9" s="1"/>
  <c r="BE55" i="9" s="1" a="1"/>
  <c r="BE55" i="9" s="1"/>
  <c r="BF55" i="9" s="1" a="1"/>
  <c r="BF55" i="9" s="1"/>
  <c r="BG55" i="9" s="1" a="1"/>
  <c r="BG55" i="9" s="1"/>
  <c r="BH55" i="9" s="1" a="1"/>
  <c r="BH55" i="9" s="1"/>
  <c r="BI55" i="9" s="1" a="1"/>
  <c r="BI55" i="9" s="1"/>
  <c r="BJ55" i="9" s="1" a="1"/>
  <c r="BJ55" i="9" s="1"/>
  <c r="BK55" i="9" s="1" a="1"/>
  <c r="BK55" i="9" s="1"/>
  <c r="BL55" i="9" s="1" a="1"/>
  <c r="BL55" i="9" s="1"/>
  <c r="BM55" i="9" s="1" a="1"/>
  <c r="BM55" i="9" s="1"/>
  <c r="BA7" i="7" l="1" a="1"/>
  <c r="BA7" i="7" s="1"/>
  <c r="AZ67" i="7"/>
  <c r="E57" i="9"/>
  <c r="BE56" i="9" a="1"/>
  <c r="BE56" i="9" s="1"/>
  <c r="BF56" i="9" s="1" a="1"/>
  <c r="BF56" i="9" s="1"/>
  <c r="BG56" i="9" s="1" a="1"/>
  <c r="BG56" i="9" s="1"/>
  <c r="BH56" i="9" s="1" a="1"/>
  <c r="BH56" i="9" s="1"/>
  <c r="BI56" i="9" s="1" a="1"/>
  <c r="BI56" i="9" s="1"/>
  <c r="BJ56" i="9" s="1" a="1"/>
  <c r="BJ56" i="9" s="1"/>
  <c r="BK56" i="9" s="1" a="1"/>
  <c r="BK56" i="9" s="1"/>
  <c r="BL56" i="9" s="1" a="1"/>
  <c r="BL56" i="9" s="1"/>
  <c r="BM56" i="9" s="1" a="1"/>
  <c r="BM56" i="9" s="1"/>
  <c r="BB67" i="9"/>
  <c r="BC6" i="9" a="1"/>
  <c r="BC6" i="9" s="1"/>
  <c r="E57" i="8"/>
  <c r="BE56" i="8" a="1"/>
  <c r="BE56" i="8" s="1"/>
  <c r="BF56" i="8" s="1" a="1"/>
  <c r="BF56" i="8" s="1"/>
  <c r="BG56" i="8" s="1" a="1"/>
  <c r="BG56" i="8" s="1"/>
  <c r="BH56" i="8" s="1" a="1"/>
  <c r="BH56" i="8" s="1"/>
  <c r="BI56" i="8" s="1" a="1"/>
  <c r="BI56" i="8" s="1"/>
  <c r="BJ56" i="8" s="1" a="1"/>
  <c r="BJ56" i="8" s="1"/>
  <c r="BK56" i="8" s="1" a="1"/>
  <c r="BK56" i="8" s="1"/>
  <c r="BL56" i="8" s="1" a="1"/>
  <c r="BL56" i="8" s="1"/>
  <c r="BM56" i="8" s="1" a="1"/>
  <c r="BM56" i="8" s="1"/>
  <c r="BB67" i="8"/>
  <c r="BC6" i="8" a="1"/>
  <c r="BC6" i="8" s="1"/>
  <c r="E57" i="7"/>
  <c r="BE56" i="7" a="1"/>
  <c r="BE56" i="7" s="1"/>
  <c r="BF56" i="7" s="1" a="1"/>
  <c r="BF56" i="7" s="1"/>
  <c r="BG56" i="7" s="1" a="1"/>
  <c r="BG56" i="7" s="1"/>
  <c r="BH56" i="7" s="1" a="1"/>
  <c r="BH56" i="7" s="1"/>
  <c r="BI56" i="7" s="1" a="1"/>
  <c r="BI56" i="7" s="1"/>
  <c r="BJ56" i="7" s="1" a="1"/>
  <c r="BJ56" i="7" s="1"/>
  <c r="BK56" i="7" s="1" a="1"/>
  <c r="BK56" i="7" s="1"/>
  <c r="BL56" i="7" s="1" a="1"/>
  <c r="BL56" i="7" s="1"/>
  <c r="BM56" i="7" s="1" a="1"/>
  <c r="BM56" i="7" s="1"/>
  <c r="BC6" i="7" a="1"/>
  <c r="BC6" i="7" s="1"/>
  <c r="BB7" i="7" l="1" a="1"/>
  <c r="BB7" i="7" s="1"/>
  <c r="BA67" i="7"/>
  <c r="BD6" i="7" a="1"/>
  <c r="BD6" i="7" s="1"/>
  <c r="E58" i="7"/>
  <c r="BF57" i="7" a="1"/>
  <c r="BF57" i="7" s="1"/>
  <c r="BG57" i="7" s="1" a="1"/>
  <c r="BG57" i="7" s="1"/>
  <c r="BH57" i="7" s="1" a="1"/>
  <c r="BH57" i="7" s="1"/>
  <c r="BI57" i="7" s="1" a="1"/>
  <c r="BI57" i="7" s="1"/>
  <c r="BJ57" i="7" s="1" a="1"/>
  <c r="BJ57" i="7" s="1"/>
  <c r="BK57" i="7" s="1" a="1"/>
  <c r="BK57" i="7" s="1"/>
  <c r="BL57" i="7" s="1" a="1"/>
  <c r="BL57" i="7" s="1"/>
  <c r="BM57" i="7" s="1" a="1"/>
  <c r="BM57" i="7" s="1"/>
  <c r="BC67" i="8"/>
  <c r="BD6" i="8" a="1"/>
  <c r="BD6" i="8" s="1"/>
  <c r="E58" i="8"/>
  <c r="BF57" i="8" a="1"/>
  <c r="BF57" i="8" s="1"/>
  <c r="BG57" i="8" s="1" a="1"/>
  <c r="BG57" i="8" s="1"/>
  <c r="BH57" i="8" s="1" a="1"/>
  <c r="BH57" i="8" s="1"/>
  <c r="BI57" i="8" s="1" a="1"/>
  <c r="BI57" i="8" s="1"/>
  <c r="BJ57" i="8" s="1" a="1"/>
  <c r="BJ57" i="8" s="1"/>
  <c r="BK57" i="8" s="1" a="1"/>
  <c r="BK57" i="8" s="1"/>
  <c r="BL57" i="8" s="1" a="1"/>
  <c r="BL57" i="8" s="1"/>
  <c r="BM57" i="8" s="1" a="1"/>
  <c r="BM57" i="8" s="1"/>
  <c r="BC67" i="9"/>
  <c r="BD6" i="9" a="1"/>
  <c r="BD6" i="9" s="1"/>
  <c r="E58" i="9"/>
  <c r="BF57" i="9" a="1"/>
  <c r="BF57" i="9" s="1"/>
  <c r="BG57" i="9" s="1" a="1"/>
  <c r="BG57" i="9" s="1"/>
  <c r="BH57" i="9" s="1" a="1"/>
  <c r="BH57" i="9" s="1"/>
  <c r="BI57" i="9" s="1" a="1"/>
  <c r="BI57" i="9" s="1"/>
  <c r="BJ57" i="9" s="1" a="1"/>
  <c r="BJ57" i="9" s="1"/>
  <c r="BK57" i="9" s="1" a="1"/>
  <c r="BK57" i="9" s="1"/>
  <c r="BL57" i="9" s="1" a="1"/>
  <c r="BL57" i="9" s="1"/>
  <c r="BM57" i="9" s="1" a="1"/>
  <c r="BM57" i="9" s="1"/>
  <c r="BC7" i="7" l="1" a="1"/>
  <c r="BC7" i="7" s="1"/>
  <c r="BB67" i="7"/>
  <c r="E59" i="9"/>
  <c r="BG58" i="9" a="1"/>
  <c r="BG58" i="9" s="1"/>
  <c r="BH58" i="9" s="1" a="1"/>
  <c r="BH58" i="9" s="1"/>
  <c r="BI58" i="9" s="1" a="1"/>
  <c r="BI58" i="9" s="1"/>
  <c r="BJ58" i="9" s="1" a="1"/>
  <c r="BJ58" i="9" s="1"/>
  <c r="BK58" i="9" s="1" a="1"/>
  <c r="BK58" i="9" s="1"/>
  <c r="BL58" i="9" s="1" a="1"/>
  <c r="BL58" i="9" s="1"/>
  <c r="BM58" i="9" s="1" a="1"/>
  <c r="BM58" i="9" s="1"/>
  <c r="BD67" i="9"/>
  <c r="BE6" i="9" a="1"/>
  <c r="BE6" i="9" s="1"/>
  <c r="E59" i="8"/>
  <c r="BG58" i="8" a="1"/>
  <c r="BG58" i="8" s="1"/>
  <c r="BH58" i="8" s="1" a="1"/>
  <c r="BH58" i="8" s="1"/>
  <c r="BI58" i="8" s="1" a="1"/>
  <c r="BI58" i="8" s="1"/>
  <c r="BJ58" i="8" s="1" a="1"/>
  <c r="BJ58" i="8" s="1"/>
  <c r="BK58" i="8" s="1" a="1"/>
  <c r="BK58" i="8" s="1"/>
  <c r="BL58" i="8" s="1" a="1"/>
  <c r="BL58" i="8" s="1"/>
  <c r="BM58" i="8" s="1" a="1"/>
  <c r="BM58" i="8" s="1"/>
  <c r="BD67" i="8"/>
  <c r="BE6" i="8" a="1"/>
  <c r="BE6" i="8" s="1"/>
  <c r="E59" i="7"/>
  <c r="BG58" i="7" a="1"/>
  <c r="BG58" i="7" s="1"/>
  <c r="BH58" i="7" s="1" a="1"/>
  <c r="BH58" i="7" s="1"/>
  <c r="BI58" i="7" s="1" a="1"/>
  <c r="BI58" i="7" s="1"/>
  <c r="BJ58" i="7" s="1" a="1"/>
  <c r="BJ58" i="7" s="1"/>
  <c r="BK58" i="7" s="1" a="1"/>
  <c r="BK58" i="7" s="1"/>
  <c r="BL58" i="7" s="1" a="1"/>
  <c r="BL58" i="7" s="1"/>
  <c r="BM58" i="7" s="1" a="1"/>
  <c r="BM58" i="7" s="1"/>
  <c r="BE6" i="7" a="1"/>
  <c r="BE6" i="7" s="1"/>
  <c r="BD7" i="7" l="1" a="1"/>
  <c r="BD7" i="7" s="1"/>
  <c r="BC67" i="7"/>
  <c r="BF6" i="7" a="1"/>
  <c r="BF6" i="7" s="1"/>
  <c r="E60" i="7"/>
  <c r="BH59" i="7" a="1"/>
  <c r="BH59" i="7" s="1"/>
  <c r="BI59" i="7" s="1" a="1"/>
  <c r="BI59" i="7" s="1"/>
  <c r="BJ59" i="7" s="1" a="1"/>
  <c r="BJ59" i="7" s="1"/>
  <c r="BK59" i="7" s="1" a="1"/>
  <c r="BK59" i="7" s="1"/>
  <c r="BL59" i="7" s="1" a="1"/>
  <c r="BL59" i="7" s="1"/>
  <c r="BM59" i="7" s="1" a="1"/>
  <c r="BM59" i="7" s="1"/>
  <c r="BE67" i="8"/>
  <c r="BF6" i="8" a="1"/>
  <c r="BF6" i="8" s="1"/>
  <c r="E60" i="8"/>
  <c r="BH59" i="8" a="1"/>
  <c r="BH59" i="8" s="1"/>
  <c r="BI59" i="8" s="1" a="1"/>
  <c r="BI59" i="8" s="1"/>
  <c r="BJ59" i="8" s="1" a="1"/>
  <c r="BJ59" i="8" s="1"/>
  <c r="BK59" i="8" s="1" a="1"/>
  <c r="BK59" i="8" s="1"/>
  <c r="BL59" i="8" s="1" a="1"/>
  <c r="BL59" i="8" s="1"/>
  <c r="BM59" i="8" s="1" a="1"/>
  <c r="BM59" i="8" s="1"/>
  <c r="BE67" i="9"/>
  <c r="BF6" i="9" a="1"/>
  <c r="BF6" i="9" s="1"/>
  <c r="E60" i="9"/>
  <c r="BH59" i="9" a="1"/>
  <c r="BH59" i="9" s="1"/>
  <c r="BI59" i="9" s="1" a="1"/>
  <c r="BI59" i="9" s="1"/>
  <c r="BJ59" i="9" s="1" a="1"/>
  <c r="BJ59" i="9" s="1"/>
  <c r="BK59" i="9" s="1" a="1"/>
  <c r="BK59" i="9" s="1"/>
  <c r="BL59" i="9" s="1" a="1"/>
  <c r="BL59" i="9" s="1"/>
  <c r="BM59" i="9" s="1" a="1"/>
  <c r="BM59" i="9" s="1"/>
  <c r="BE7" i="7" l="1" a="1"/>
  <c r="BE7" i="7" s="1"/>
  <c r="BD67" i="7"/>
  <c r="E61" i="9"/>
  <c r="BI60" i="9" a="1"/>
  <c r="BI60" i="9" s="1"/>
  <c r="BJ60" i="9" s="1" a="1"/>
  <c r="BJ60" i="9" s="1"/>
  <c r="BK60" i="9" s="1" a="1"/>
  <c r="BK60" i="9" s="1"/>
  <c r="BL60" i="9" s="1" a="1"/>
  <c r="BL60" i="9" s="1"/>
  <c r="BM60" i="9" s="1" a="1"/>
  <c r="BM60" i="9" s="1"/>
  <c r="BF67" i="9"/>
  <c r="BG6" i="9" a="1"/>
  <c r="BG6" i="9" s="1"/>
  <c r="E61" i="8"/>
  <c r="BI60" i="8" a="1"/>
  <c r="BI60" i="8" s="1"/>
  <c r="BJ60" i="8" s="1" a="1"/>
  <c r="BJ60" i="8" s="1"/>
  <c r="BK60" i="8" s="1" a="1"/>
  <c r="BK60" i="8" s="1"/>
  <c r="BL60" i="8" s="1" a="1"/>
  <c r="BL60" i="8" s="1"/>
  <c r="BM60" i="8" s="1" a="1"/>
  <c r="BM60" i="8" s="1"/>
  <c r="BF67" i="8"/>
  <c r="BG6" i="8" a="1"/>
  <c r="BG6" i="8" s="1"/>
  <c r="E61" i="7"/>
  <c r="BI60" i="7" a="1"/>
  <c r="BI60" i="7" s="1"/>
  <c r="BJ60" i="7" s="1" a="1"/>
  <c r="BJ60" i="7" s="1"/>
  <c r="BK60" i="7" s="1" a="1"/>
  <c r="BK60" i="7" s="1"/>
  <c r="BL60" i="7" s="1" a="1"/>
  <c r="BL60" i="7" s="1"/>
  <c r="BM60" i="7" s="1" a="1"/>
  <c r="BM60" i="7" s="1"/>
  <c r="BG6" i="7" a="1"/>
  <c r="BG6" i="7" s="1"/>
  <c r="BF7" i="7" l="1" a="1"/>
  <c r="BF7" i="7" s="1"/>
  <c r="BE67" i="7"/>
  <c r="BH6" i="7" a="1"/>
  <c r="BH6" i="7" s="1"/>
  <c r="E62" i="7"/>
  <c r="BJ61" i="7" a="1"/>
  <c r="BJ61" i="7" s="1"/>
  <c r="BK61" i="7" s="1" a="1"/>
  <c r="BK61" i="7" s="1"/>
  <c r="BL61" i="7" s="1" a="1"/>
  <c r="BL61" i="7" s="1"/>
  <c r="BM61" i="7" s="1" a="1"/>
  <c r="BM61" i="7" s="1"/>
  <c r="BG67" i="8"/>
  <c r="BH6" i="8" a="1"/>
  <c r="BH6" i="8" s="1"/>
  <c r="E62" i="8"/>
  <c r="BJ61" i="8" a="1"/>
  <c r="BJ61" i="8" s="1"/>
  <c r="BK61" i="8" s="1" a="1"/>
  <c r="BK61" i="8" s="1"/>
  <c r="BL61" i="8" s="1" a="1"/>
  <c r="BL61" i="8" s="1"/>
  <c r="BM61" i="8" s="1" a="1"/>
  <c r="BM61" i="8" s="1"/>
  <c r="BG67" i="9"/>
  <c r="BH6" i="9" a="1"/>
  <c r="BH6" i="9" s="1"/>
  <c r="E62" i="9"/>
  <c r="BJ61" i="9" a="1"/>
  <c r="BJ61" i="9" s="1"/>
  <c r="BK61" i="9" s="1" a="1"/>
  <c r="BK61" i="9" s="1"/>
  <c r="BL61" i="9" s="1" a="1"/>
  <c r="BL61" i="9" s="1"/>
  <c r="BM61" i="9" s="1" a="1"/>
  <c r="BM61" i="9" s="1"/>
  <c r="BG7" i="7" l="1" a="1"/>
  <c r="BG7" i="7" s="1"/>
  <c r="BF67" i="7"/>
  <c r="E63" i="9"/>
  <c r="BK62" i="9" a="1"/>
  <c r="BK62" i="9" s="1"/>
  <c r="BL62" i="9" s="1" a="1"/>
  <c r="BL62" i="9" s="1"/>
  <c r="BM62" i="9" s="1" a="1"/>
  <c r="BM62" i="9" s="1"/>
  <c r="BH67" i="9"/>
  <c r="BI6" i="9" a="1"/>
  <c r="BI6" i="9" s="1"/>
  <c r="E63" i="8"/>
  <c r="BK62" i="8" a="1"/>
  <c r="BK62" i="8" s="1"/>
  <c r="BL62" i="8" s="1" a="1"/>
  <c r="BL62" i="8" s="1"/>
  <c r="BM62" i="8" s="1" a="1"/>
  <c r="BM62" i="8" s="1"/>
  <c r="BH67" i="8"/>
  <c r="BI6" i="8" a="1"/>
  <c r="BI6" i="8" s="1"/>
  <c r="E63" i="7"/>
  <c r="BK62" i="7" a="1"/>
  <c r="BK62" i="7" s="1"/>
  <c r="BL62" i="7" s="1" a="1"/>
  <c r="BL62" i="7" s="1"/>
  <c r="BM62" i="7" s="1" a="1"/>
  <c r="BM62" i="7" s="1"/>
  <c r="BI6" i="7" a="1"/>
  <c r="BI6" i="7" s="1"/>
  <c r="BH7" i="7" l="1" a="1"/>
  <c r="BH7" i="7" s="1"/>
  <c r="BG67" i="7"/>
  <c r="BJ6" i="7" a="1"/>
  <c r="BJ6" i="7" s="1"/>
  <c r="E64" i="7"/>
  <c r="BL63" i="7" a="1"/>
  <c r="BL63" i="7" s="1"/>
  <c r="BM63" i="7" s="1" a="1"/>
  <c r="BM63" i="7" s="1"/>
  <c r="BI67" i="8"/>
  <c r="BJ6" i="8" a="1"/>
  <c r="BJ6" i="8" s="1"/>
  <c r="E64" i="8"/>
  <c r="BL63" i="8" a="1"/>
  <c r="BL63" i="8" s="1"/>
  <c r="BM63" i="8" s="1" a="1"/>
  <c r="BM63" i="8" s="1"/>
  <c r="BI67" i="9"/>
  <c r="BJ6" i="9" a="1"/>
  <c r="BJ6" i="9" s="1"/>
  <c r="E64" i="9"/>
  <c r="BL63" i="9" a="1"/>
  <c r="BL63" i="9" s="1"/>
  <c r="BM63" i="9" s="1" a="1"/>
  <c r="BM63" i="9" s="1"/>
  <c r="BI7" i="7" l="1" a="1"/>
  <c r="BI7" i="7" s="1"/>
  <c r="BH67" i="7"/>
  <c r="E65" i="9"/>
  <c r="BM64" i="9" a="1"/>
  <c r="BM64" i="9" s="1"/>
  <c r="BJ67" i="9"/>
  <c r="BK6" i="9" a="1"/>
  <c r="BK6" i="9" s="1"/>
  <c r="E65" i="8"/>
  <c r="BM64" i="8" a="1"/>
  <c r="BM64" i="8" s="1"/>
  <c r="BJ67" i="8"/>
  <c r="BK6" i="8" a="1"/>
  <c r="BK6" i="8" s="1"/>
  <c r="E65" i="7"/>
  <c r="BM64" i="7" a="1"/>
  <c r="BM64" i="7" s="1"/>
  <c r="BK6" i="7" a="1"/>
  <c r="BK6" i="7" s="1"/>
  <c r="BJ7" i="7" l="1" a="1"/>
  <c r="BJ7" i="7" s="1"/>
  <c r="BI67" i="7"/>
  <c r="BL6" i="7" a="1"/>
  <c r="BL6" i="7" s="1"/>
  <c r="BM6" i="7" s="1" a="1"/>
  <c r="BM6" i="7" s="1"/>
  <c r="BK67" i="8"/>
  <c r="BL6" i="8" a="1"/>
  <c r="BL6" i="8" s="1"/>
  <c r="BK67" i="9"/>
  <c r="BL6" i="9" a="1"/>
  <c r="BL6" i="9" s="1"/>
  <c r="BK7" i="7" l="1" a="1"/>
  <c r="BK7" i="7" s="1"/>
  <c r="BJ67" i="7"/>
  <c r="BL67" i="9"/>
  <c r="BM6" i="9" a="1"/>
  <c r="BM6" i="9" s="1"/>
  <c r="BM67" i="9" s="1"/>
  <c r="BL67" i="8"/>
  <c r="BM6" i="8" a="1"/>
  <c r="BM6" i="8" s="1"/>
  <c r="BM67" i="8" s="1"/>
  <c r="C6" i="6" a="1"/>
  <c r="C7" i="6"/>
  <c r="E7" i="6"/>
  <c r="G7" i="6"/>
  <c r="H7" i="6"/>
  <c r="F7" i="6"/>
  <c r="I7" i="6"/>
  <c r="C8" i="6"/>
  <c r="E8" i="6"/>
  <c r="G8" i="6"/>
  <c r="H8" i="6"/>
  <c r="F8" i="6"/>
  <c r="I8" i="6"/>
  <c r="C9" i="6"/>
  <c r="E9" i="6"/>
  <c r="G9" i="6"/>
  <c r="H9" i="6"/>
  <c r="F9" i="6"/>
  <c r="I9" i="6"/>
  <c r="C10" i="6"/>
  <c r="E10" i="6"/>
  <c r="G10" i="6"/>
  <c r="H10" i="6"/>
  <c r="F10" i="6"/>
  <c r="I10" i="6"/>
  <c r="C11" i="6"/>
  <c r="E11" i="6"/>
  <c r="G11" i="6"/>
  <c r="H11" i="6"/>
  <c r="F11" i="6"/>
  <c r="I11" i="6"/>
  <c r="C12" i="6"/>
  <c r="E12" i="6"/>
  <c r="G12" i="6"/>
  <c r="H12" i="6"/>
  <c r="F12" i="6"/>
  <c r="I12" i="6"/>
  <c r="C13" i="6"/>
  <c r="E13" i="6"/>
  <c r="G13" i="6"/>
  <c r="H13" i="6"/>
  <c r="F13" i="6"/>
  <c r="I13" i="6"/>
  <c r="C14" i="6"/>
  <c r="E14" i="6"/>
  <c r="G14" i="6"/>
  <c r="H14" i="6"/>
  <c r="F14" i="6"/>
  <c r="I14" i="6"/>
  <c r="C15" i="6"/>
  <c r="E15" i="6"/>
  <c r="G15" i="6"/>
  <c r="H15" i="6"/>
  <c r="F15" i="6"/>
  <c r="I15" i="6"/>
  <c r="C16" i="6"/>
  <c r="E16" i="6"/>
  <c r="G16" i="6"/>
  <c r="H16" i="6"/>
  <c r="F16" i="6"/>
  <c r="I16" i="6"/>
  <c r="C17" i="6"/>
  <c r="E17" i="6"/>
  <c r="G17" i="6"/>
  <c r="H17" i="6"/>
  <c r="F17" i="6"/>
  <c r="I17" i="6"/>
  <c r="C18" i="6"/>
  <c r="E18" i="6"/>
  <c r="G18" i="6"/>
  <c r="H18" i="6"/>
  <c r="F18" i="6"/>
  <c r="I18" i="6"/>
  <c r="C19" i="6"/>
  <c r="E19" i="6"/>
  <c r="G19" i="6"/>
  <c r="H19" i="6"/>
  <c r="F19" i="6"/>
  <c r="I19" i="6"/>
  <c r="C20" i="6"/>
  <c r="E20" i="6"/>
  <c r="G20" i="6"/>
  <c r="H20" i="6"/>
  <c r="F20" i="6"/>
  <c r="I20" i="6"/>
  <c r="C21" i="6"/>
  <c r="E21" i="6"/>
  <c r="G21" i="6"/>
  <c r="H21" i="6"/>
  <c r="F21" i="6"/>
  <c r="I21" i="6"/>
  <c r="C22" i="6"/>
  <c r="E22" i="6"/>
  <c r="G22" i="6"/>
  <c r="H22" i="6"/>
  <c r="F22" i="6"/>
  <c r="I22" i="6"/>
  <c r="C23" i="6"/>
  <c r="E23" i="6"/>
  <c r="G23" i="6"/>
  <c r="H23" i="6"/>
  <c r="F23" i="6"/>
  <c r="I23" i="6"/>
  <c r="C24" i="6"/>
  <c r="E24" i="6"/>
  <c r="G24" i="6"/>
  <c r="H24" i="6"/>
  <c r="F24" i="6"/>
  <c r="I24" i="6"/>
  <c r="C25" i="6"/>
  <c r="E25" i="6"/>
  <c r="G25" i="6"/>
  <c r="H25" i="6"/>
  <c r="F25" i="6"/>
  <c r="I25" i="6"/>
  <c r="C26" i="6"/>
  <c r="E26" i="6"/>
  <c r="G26" i="6"/>
  <c r="H26" i="6"/>
  <c r="F26" i="6"/>
  <c r="I26" i="6"/>
  <c r="C27" i="6"/>
  <c r="E27" i="6"/>
  <c r="G27" i="6"/>
  <c r="H27" i="6"/>
  <c r="F27" i="6"/>
  <c r="I27" i="6"/>
  <c r="C28" i="6"/>
  <c r="E28" i="6"/>
  <c r="G28" i="6"/>
  <c r="H28" i="6"/>
  <c r="F28" i="6"/>
  <c r="I28" i="6"/>
  <c r="C29" i="6"/>
  <c r="E29" i="6"/>
  <c r="G29" i="6"/>
  <c r="H29" i="6"/>
  <c r="F29" i="6"/>
  <c r="I29" i="6"/>
  <c r="C30" i="6"/>
  <c r="E30" i="6"/>
  <c r="G30" i="6"/>
  <c r="H30" i="6"/>
  <c r="F30" i="6"/>
  <c r="I30" i="6"/>
  <c r="C31" i="6"/>
  <c r="E31" i="6"/>
  <c r="G31" i="6"/>
  <c r="H31" i="6"/>
  <c r="F31" i="6"/>
  <c r="I31" i="6"/>
  <c r="C32" i="6"/>
  <c r="E32" i="6"/>
  <c r="G32" i="6"/>
  <c r="H32" i="6"/>
  <c r="F32" i="6"/>
  <c r="I32" i="6"/>
  <c r="C33" i="6"/>
  <c r="E33" i="6"/>
  <c r="G33" i="6"/>
  <c r="H33" i="6"/>
  <c r="F33" i="6"/>
  <c r="I33" i="6"/>
  <c r="C34" i="6"/>
  <c r="E34" i="6"/>
  <c r="G34" i="6"/>
  <c r="H34" i="6"/>
  <c r="F34" i="6"/>
  <c r="I34" i="6"/>
  <c r="C35" i="6"/>
  <c r="E35" i="6"/>
  <c r="G35" i="6"/>
  <c r="H35" i="6"/>
  <c r="F35" i="6"/>
  <c r="I35" i="6"/>
  <c r="C36" i="6"/>
  <c r="E36" i="6"/>
  <c r="G36" i="6"/>
  <c r="H36" i="6"/>
  <c r="F36" i="6"/>
  <c r="I36" i="6"/>
  <c r="C37" i="6"/>
  <c r="E37" i="6"/>
  <c r="G37" i="6"/>
  <c r="H37" i="6"/>
  <c r="F37" i="6"/>
  <c r="I37" i="6"/>
  <c r="C38" i="6"/>
  <c r="E38" i="6"/>
  <c r="G38" i="6"/>
  <c r="H38" i="6"/>
  <c r="F38" i="6"/>
  <c r="I38" i="6"/>
  <c r="C39" i="6"/>
  <c r="E39" i="6"/>
  <c r="G39" i="6"/>
  <c r="H39" i="6"/>
  <c r="F39" i="6"/>
  <c r="I39" i="6"/>
  <c r="C40" i="6"/>
  <c r="E40" i="6"/>
  <c r="G40" i="6"/>
  <c r="H40" i="6"/>
  <c r="F40" i="6"/>
  <c r="I40" i="6"/>
  <c r="C41" i="6"/>
  <c r="E41" i="6"/>
  <c r="G41" i="6"/>
  <c r="H41" i="6"/>
  <c r="F41" i="6"/>
  <c r="I41" i="6"/>
  <c r="C42" i="6"/>
  <c r="E42" i="6"/>
  <c r="G42" i="6"/>
  <c r="H42" i="6"/>
  <c r="F42" i="6"/>
  <c r="I42" i="6"/>
  <c r="C43" i="6"/>
  <c r="E43" i="6"/>
  <c r="G43" i="6"/>
  <c r="H43" i="6"/>
  <c r="F43" i="6"/>
  <c r="I43" i="6"/>
  <c r="C44" i="6"/>
  <c r="E44" i="6"/>
  <c r="G44" i="6"/>
  <c r="H44" i="6"/>
  <c r="F44" i="6"/>
  <c r="I44" i="6"/>
  <c r="C45" i="6"/>
  <c r="E45" i="6"/>
  <c r="G45" i="6"/>
  <c r="H45" i="6"/>
  <c r="F45" i="6"/>
  <c r="I45" i="6"/>
  <c r="C46" i="6"/>
  <c r="E46" i="6"/>
  <c r="G46" i="6"/>
  <c r="H46" i="6"/>
  <c r="F46" i="6"/>
  <c r="I46" i="6"/>
  <c r="C47" i="6"/>
  <c r="E47" i="6"/>
  <c r="G47" i="6"/>
  <c r="H47" i="6"/>
  <c r="F47" i="6"/>
  <c r="I47" i="6"/>
  <c r="C48" i="6"/>
  <c r="E48" i="6"/>
  <c r="G48" i="6"/>
  <c r="H48" i="6"/>
  <c r="F48" i="6"/>
  <c r="I48" i="6"/>
  <c r="C49" i="6"/>
  <c r="E49" i="6"/>
  <c r="G49" i="6"/>
  <c r="H49" i="6"/>
  <c r="F49" i="6"/>
  <c r="I49" i="6"/>
  <c r="C50" i="6"/>
  <c r="E50" i="6"/>
  <c r="G50" i="6"/>
  <c r="H50" i="6"/>
  <c r="F50" i="6"/>
  <c r="I50" i="6"/>
  <c r="C51" i="6"/>
  <c r="E51" i="6"/>
  <c r="G51" i="6"/>
  <c r="H51" i="6"/>
  <c r="F51" i="6"/>
  <c r="I51" i="6"/>
  <c r="C52" i="6"/>
  <c r="E52" i="6"/>
  <c r="G52" i="6"/>
  <c r="H52" i="6"/>
  <c r="F52" i="6"/>
  <c r="I52" i="6"/>
  <c r="C53" i="6"/>
  <c r="E53" i="6"/>
  <c r="G53" i="6"/>
  <c r="H53" i="6"/>
  <c r="F53" i="6"/>
  <c r="I53" i="6"/>
  <c r="C54" i="6"/>
  <c r="E54" i="6"/>
  <c r="G54" i="6"/>
  <c r="H54" i="6"/>
  <c r="F54" i="6"/>
  <c r="I54" i="6"/>
  <c r="C55" i="6"/>
  <c r="E55" i="6"/>
  <c r="G55" i="6"/>
  <c r="H55" i="6"/>
  <c r="F55" i="6"/>
  <c r="I55" i="6"/>
  <c r="C56" i="6"/>
  <c r="E56" i="6"/>
  <c r="G56" i="6"/>
  <c r="H56" i="6"/>
  <c r="F56" i="6"/>
  <c r="I56" i="6"/>
  <c r="C57" i="6"/>
  <c r="E57" i="6"/>
  <c r="G57" i="6"/>
  <c r="H57" i="6"/>
  <c r="F57" i="6"/>
  <c r="I57" i="6"/>
  <c r="C58" i="6"/>
  <c r="E58" i="6"/>
  <c r="G58" i="6"/>
  <c r="H58" i="6"/>
  <c r="F58" i="6"/>
  <c r="I58" i="6"/>
  <c r="C59" i="6"/>
  <c r="E59" i="6"/>
  <c r="G59" i="6"/>
  <c r="H59" i="6"/>
  <c r="F59" i="6"/>
  <c r="I59" i="6"/>
  <c r="C60" i="6"/>
  <c r="E60" i="6"/>
  <c r="G60" i="6"/>
  <c r="H60" i="6"/>
  <c r="F60" i="6"/>
  <c r="I60" i="6"/>
  <c r="C61" i="6"/>
  <c r="E61" i="6"/>
  <c r="G61" i="6"/>
  <c r="H61" i="6"/>
  <c r="F61" i="6"/>
  <c r="I61" i="6"/>
  <c r="C62" i="6"/>
  <c r="E62" i="6"/>
  <c r="G62" i="6"/>
  <c r="H62" i="6"/>
  <c r="F62" i="6"/>
  <c r="I62" i="6"/>
  <c r="C63" i="6"/>
  <c r="E63" i="6"/>
  <c r="G63" i="6"/>
  <c r="H63" i="6"/>
  <c r="F63" i="6"/>
  <c r="I63" i="6"/>
  <c r="C64" i="6"/>
  <c r="E64" i="6"/>
  <c r="G64" i="6"/>
  <c r="H64" i="6"/>
  <c r="F64" i="6"/>
  <c r="I64" i="6"/>
  <c r="C65" i="6"/>
  <c r="E65" i="6"/>
  <c r="G65" i="6"/>
  <c r="H65" i="6"/>
  <c r="F65" i="6"/>
  <c r="I65" i="6"/>
  <c r="C6" i="6"/>
  <c r="E6" i="6"/>
  <c r="G6" i="6"/>
  <c r="E44" i="2" s="1"/>
  <c r="H6" i="6"/>
  <c r="D44" i="2" s="1"/>
  <c r="F6" i="6"/>
  <c r="C44" i="2" s="1"/>
  <c r="I6" i="6"/>
  <c r="F44" i="2" s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C6" i="5" a="1"/>
  <c r="C7" i="5"/>
  <c r="E7" i="5"/>
  <c r="G7" i="5"/>
  <c r="H7" i="5"/>
  <c r="F7" i="5"/>
  <c r="I7" i="5"/>
  <c r="C8" i="5"/>
  <c r="E8" i="5"/>
  <c r="G8" i="5"/>
  <c r="H8" i="5"/>
  <c r="F8" i="5"/>
  <c r="I8" i="5"/>
  <c r="C9" i="5"/>
  <c r="E9" i="5"/>
  <c r="G9" i="5"/>
  <c r="H9" i="5"/>
  <c r="F9" i="5"/>
  <c r="I9" i="5"/>
  <c r="C10" i="5"/>
  <c r="E10" i="5"/>
  <c r="G10" i="5"/>
  <c r="H10" i="5"/>
  <c r="F10" i="5"/>
  <c r="I10" i="5"/>
  <c r="C11" i="5"/>
  <c r="E11" i="5"/>
  <c r="G11" i="5"/>
  <c r="H11" i="5"/>
  <c r="F11" i="5"/>
  <c r="I11" i="5"/>
  <c r="C12" i="5"/>
  <c r="E12" i="5"/>
  <c r="G12" i="5"/>
  <c r="H12" i="5"/>
  <c r="F12" i="5"/>
  <c r="I12" i="5"/>
  <c r="C13" i="5"/>
  <c r="E13" i="5"/>
  <c r="G13" i="5"/>
  <c r="H13" i="5"/>
  <c r="F13" i="5"/>
  <c r="I13" i="5"/>
  <c r="C14" i="5"/>
  <c r="E14" i="5"/>
  <c r="G14" i="5"/>
  <c r="H14" i="5"/>
  <c r="F14" i="5"/>
  <c r="I14" i="5"/>
  <c r="C15" i="5"/>
  <c r="E15" i="5"/>
  <c r="G15" i="5"/>
  <c r="H15" i="5"/>
  <c r="F15" i="5"/>
  <c r="I15" i="5"/>
  <c r="C16" i="5"/>
  <c r="E16" i="5"/>
  <c r="G16" i="5"/>
  <c r="H16" i="5"/>
  <c r="F16" i="5"/>
  <c r="I16" i="5"/>
  <c r="C17" i="5"/>
  <c r="E17" i="5"/>
  <c r="G17" i="5"/>
  <c r="H17" i="5"/>
  <c r="F17" i="5"/>
  <c r="I17" i="5"/>
  <c r="C18" i="5"/>
  <c r="E18" i="5"/>
  <c r="G18" i="5"/>
  <c r="H18" i="5"/>
  <c r="F18" i="5"/>
  <c r="I18" i="5"/>
  <c r="C19" i="5"/>
  <c r="E19" i="5"/>
  <c r="G19" i="5"/>
  <c r="H19" i="5"/>
  <c r="F19" i="5"/>
  <c r="I19" i="5"/>
  <c r="C20" i="5"/>
  <c r="E20" i="5"/>
  <c r="G20" i="5"/>
  <c r="H20" i="5"/>
  <c r="F20" i="5"/>
  <c r="I20" i="5"/>
  <c r="C21" i="5"/>
  <c r="E21" i="5"/>
  <c r="G21" i="5"/>
  <c r="H21" i="5"/>
  <c r="F21" i="5"/>
  <c r="I21" i="5"/>
  <c r="C22" i="5"/>
  <c r="E22" i="5"/>
  <c r="G22" i="5"/>
  <c r="H22" i="5"/>
  <c r="F22" i="5"/>
  <c r="I22" i="5"/>
  <c r="C23" i="5"/>
  <c r="E23" i="5"/>
  <c r="G23" i="5"/>
  <c r="H23" i="5"/>
  <c r="F23" i="5"/>
  <c r="I23" i="5"/>
  <c r="C24" i="5"/>
  <c r="E24" i="5"/>
  <c r="G24" i="5"/>
  <c r="H24" i="5"/>
  <c r="F24" i="5"/>
  <c r="I24" i="5"/>
  <c r="C25" i="5"/>
  <c r="E25" i="5"/>
  <c r="G25" i="5"/>
  <c r="H25" i="5"/>
  <c r="F25" i="5"/>
  <c r="I25" i="5"/>
  <c r="C26" i="5"/>
  <c r="E26" i="5"/>
  <c r="G26" i="5"/>
  <c r="H26" i="5"/>
  <c r="F26" i="5"/>
  <c r="I26" i="5"/>
  <c r="C27" i="5"/>
  <c r="E27" i="5"/>
  <c r="G27" i="5"/>
  <c r="H27" i="5"/>
  <c r="F27" i="5"/>
  <c r="I27" i="5"/>
  <c r="C28" i="5"/>
  <c r="E28" i="5"/>
  <c r="G28" i="5"/>
  <c r="H28" i="5"/>
  <c r="F28" i="5"/>
  <c r="I28" i="5"/>
  <c r="C29" i="5"/>
  <c r="E29" i="5"/>
  <c r="G29" i="5"/>
  <c r="H29" i="5"/>
  <c r="F29" i="5"/>
  <c r="I29" i="5"/>
  <c r="C30" i="5"/>
  <c r="E30" i="5"/>
  <c r="G30" i="5"/>
  <c r="H30" i="5"/>
  <c r="F30" i="5"/>
  <c r="I30" i="5"/>
  <c r="C31" i="5"/>
  <c r="E31" i="5"/>
  <c r="G31" i="5"/>
  <c r="H31" i="5"/>
  <c r="F31" i="5"/>
  <c r="I31" i="5"/>
  <c r="C32" i="5"/>
  <c r="E32" i="5"/>
  <c r="G32" i="5"/>
  <c r="H32" i="5"/>
  <c r="F32" i="5"/>
  <c r="I32" i="5"/>
  <c r="C33" i="5"/>
  <c r="E33" i="5"/>
  <c r="G33" i="5"/>
  <c r="H33" i="5"/>
  <c r="F33" i="5"/>
  <c r="I33" i="5"/>
  <c r="C34" i="5"/>
  <c r="E34" i="5"/>
  <c r="G34" i="5"/>
  <c r="H34" i="5"/>
  <c r="F34" i="5"/>
  <c r="I34" i="5"/>
  <c r="C35" i="5"/>
  <c r="E35" i="5"/>
  <c r="G35" i="5"/>
  <c r="H35" i="5"/>
  <c r="F35" i="5"/>
  <c r="I35" i="5"/>
  <c r="C36" i="5"/>
  <c r="E36" i="5"/>
  <c r="G36" i="5"/>
  <c r="H36" i="5"/>
  <c r="F36" i="5"/>
  <c r="I36" i="5"/>
  <c r="C37" i="5"/>
  <c r="E37" i="5"/>
  <c r="G37" i="5"/>
  <c r="H37" i="5"/>
  <c r="F37" i="5"/>
  <c r="I37" i="5"/>
  <c r="C38" i="5"/>
  <c r="E38" i="5"/>
  <c r="G38" i="5"/>
  <c r="H38" i="5"/>
  <c r="F38" i="5"/>
  <c r="I38" i="5"/>
  <c r="C39" i="5"/>
  <c r="E39" i="5"/>
  <c r="G39" i="5"/>
  <c r="H39" i="5"/>
  <c r="F39" i="5"/>
  <c r="I39" i="5"/>
  <c r="C40" i="5"/>
  <c r="E40" i="5"/>
  <c r="G40" i="5"/>
  <c r="H40" i="5"/>
  <c r="F40" i="5"/>
  <c r="I40" i="5"/>
  <c r="C41" i="5"/>
  <c r="E41" i="5"/>
  <c r="G41" i="5"/>
  <c r="H41" i="5"/>
  <c r="F41" i="5"/>
  <c r="I41" i="5"/>
  <c r="C42" i="5"/>
  <c r="E42" i="5"/>
  <c r="G42" i="5"/>
  <c r="H42" i="5"/>
  <c r="F42" i="5"/>
  <c r="I42" i="5"/>
  <c r="C43" i="5"/>
  <c r="E43" i="5"/>
  <c r="G43" i="5"/>
  <c r="H43" i="5"/>
  <c r="F43" i="5"/>
  <c r="I43" i="5"/>
  <c r="C44" i="5"/>
  <c r="E44" i="5"/>
  <c r="G44" i="5"/>
  <c r="H44" i="5"/>
  <c r="F44" i="5"/>
  <c r="I44" i="5"/>
  <c r="C45" i="5"/>
  <c r="E45" i="5"/>
  <c r="G45" i="5"/>
  <c r="H45" i="5"/>
  <c r="F45" i="5"/>
  <c r="I45" i="5"/>
  <c r="C46" i="5"/>
  <c r="E46" i="5"/>
  <c r="G46" i="5"/>
  <c r="H46" i="5"/>
  <c r="F46" i="5"/>
  <c r="I46" i="5"/>
  <c r="C47" i="5"/>
  <c r="E47" i="5"/>
  <c r="G47" i="5"/>
  <c r="H47" i="5"/>
  <c r="F47" i="5"/>
  <c r="I47" i="5"/>
  <c r="C48" i="5"/>
  <c r="E48" i="5"/>
  <c r="G48" i="5"/>
  <c r="H48" i="5"/>
  <c r="F48" i="5"/>
  <c r="I48" i="5"/>
  <c r="C49" i="5"/>
  <c r="E49" i="5"/>
  <c r="G49" i="5"/>
  <c r="H49" i="5"/>
  <c r="F49" i="5"/>
  <c r="I49" i="5"/>
  <c r="C50" i="5"/>
  <c r="E50" i="5"/>
  <c r="G50" i="5"/>
  <c r="H50" i="5"/>
  <c r="F50" i="5"/>
  <c r="I50" i="5"/>
  <c r="C51" i="5"/>
  <c r="E51" i="5"/>
  <c r="G51" i="5"/>
  <c r="H51" i="5"/>
  <c r="F51" i="5"/>
  <c r="I51" i="5"/>
  <c r="C52" i="5"/>
  <c r="E52" i="5"/>
  <c r="G52" i="5"/>
  <c r="H52" i="5"/>
  <c r="F52" i="5"/>
  <c r="I52" i="5"/>
  <c r="C53" i="5"/>
  <c r="E53" i="5"/>
  <c r="G53" i="5"/>
  <c r="H53" i="5"/>
  <c r="F53" i="5"/>
  <c r="I53" i="5"/>
  <c r="C54" i="5"/>
  <c r="E54" i="5"/>
  <c r="G54" i="5"/>
  <c r="H54" i="5"/>
  <c r="F54" i="5"/>
  <c r="I54" i="5"/>
  <c r="C55" i="5"/>
  <c r="E55" i="5"/>
  <c r="G55" i="5"/>
  <c r="H55" i="5"/>
  <c r="F55" i="5"/>
  <c r="I55" i="5"/>
  <c r="C56" i="5"/>
  <c r="E56" i="5"/>
  <c r="G56" i="5"/>
  <c r="H56" i="5"/>
  <c r="F56" i="5"/>
  <c r="I56" i="5"/>
  <c r="C57" i="5"/>
  <c r="E57" i="5"/>
  <c r="G57" i="5"/>
  <c r="H57" i="5"/>
  <c r="F57" i="5"/>
  <c r="I57" i="5"/>
  <c r="C58" i="5"/>
  <c r="E58" i="5"/>
  <c r="G58" i="5"/>
  <c r="H58" i="5"/>
  <c r="F58" i="5"/>
  <c r="I58" i="5"/>
  <c r="C59" i="5"/>
  <c r="E59" i="5"/>
  <c r="G59" i="5"/>
  <c r="H59" i="5"/>
  <c r="F59" i="5"/>
  <c r="I59" i="5"/>
  <c r="C60" i="5"/>
  <c r="E60" i="5"/>
  <c r="G60" i="5"/>
  <c r="H60" i="5"/>
  <c r="F60" i="5"/>
  <c r="I60" i="5"/>
  <c r="C61" i="5"/>
  <c r="E61" i="5"/>
  <c r="G61" i="5"/>
  <c r="H61" i="5"/>
  <c r="F61" i="5"/>
  <c r="I61" i="5"/>
  <c r="C62" i="5"/>
  <c r="E62" i="5"/>
  <c r="G62" i="5"/>
  <c r="H62" i="5"/>
  <c r="F62" i="5"/>
  <c r="I62" i="5"/>
  <c r="C63" i="5"/>
  <c r="E63" i="5"/>
  <c r="G63" i="5"/>
  <c r="H63" i="5"/>
  <c r="F63" i="5"/>
  <c r="I63" i="5"/>
  <c r="C64" i="5"/>
  <c r="E64" i="5"/>
  <c r="G64" i="5"/>
  <c r="H64" i="5"/>
  <c r="F64" i="5"/>
  <c r="I64" i="5"/>
  <c r="C65" i="5"/>
  <c r="E65" i="5"/>
  <c r="G65" i="5"/>
  <c r="H65" i="5"/>
  <c r="F65" i="5"/>
  <c r="I65" i="5"/>
  <c r="C6" i="5"/>
  <c r="E6" i="5"/>
  <c r="G6" i="5"/>
  <c r="E36" i="2" s="1"/>
  <c r="H6" i="5"/>
  <c r="D36" i="2" s="1"/>
  <c r="F6" i="5"/>
  <c r="C36" i="2" s="1"/>
  <c r="I6" i="5"/>
  <c r="F36" i="2" s="1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C6" i="4" a="1"/>
  <c r="C7" i="4"/>
  <c r="E7" i="4"/>
  <c r="G7" i="4"/>
  <c r="H7" i="4"/>
  <c r="I7" i="4"/>
  <c r="C8" i="4"/>
  <c r="E8" i="4"/>
  <c r="G8" i="4"/>
  <c r="H8" i="4"/>
  <c r="I8" i="4"/>
  <c r="C9" i="4"/>
  <c r="E9" i="4"/>
  <c r="G9" i="4"/>
  <c r="H9" i="4"/>
  <c r="I9" i="4"/>
  <c r="C10" i="4"/>
  <c r="E10" i="4"/>
  <c r="G10" i="4"/>
  <c r="H10" i="4"/>
  <c r="I10" i="4"/>
  <c r="C11" i="4"/>
  <c r="E11" i="4"/>
  <c r="G11" i="4"/>
  <c r="H11" i="4"/>
  <c r="I11" i="4"/>
  <c r="C12" i="4"/>
  <c r="E12" i="4"/>
  <c r="G12" i="4"/>
  <c r="H12" i="4"/>
  <c r="I12" i="4"/>
  <c r="C13" i="4"/>
  <c r="E13" i="4"/>
  <c r="G13" i="4"/>
  <c r="H13" i="4"/>
  <c r="I13" i="4"/>
  <c r="C14" i="4"/>
  <c r="E14" i="4"/>
  <c r="G14" i="4"/>
  <c r="H14" i="4"/>
  <c r="I14" i="4"/>
  <c r="C15" i="4"/>
  <c r="E15" i="4"/>
  <c r="G15" i="4"/>
  <c r="H15" i="4"/>
  <c r="I15" i="4"/>
  <c r="C16" i="4"/>
  <c r="E16" i="4"/>
  <c r="G16" i="4"/>
  <c r="H16" i="4"/>
  <c r="I16" i="4"/>
  <c r="C17" i="4"/>
  <c r="E17" i="4"/>
  <c r="G17" i="4"/>
  <c r="H17" i="4"/>
  <c r="I17" i="4"/>
  <c r="C18" i="4"/>
  <c r="E18" i="4"/>
  <c r="G18" i="4"/>
  <c r="H18" i="4"/>
  <c r="I18" i="4"/>
  <c r="C19" i="4"/>
  <c r="E19" i="4"/>
  <c r="G19" i="4"/>
  <c r="H19" i="4"/>
  <c r="I19" i="4"/>
  <c r="C20" i="4"/>
  <c r="E20" i="4"/>
  <c r="G20" i="4"/>
  <c r="H20" i="4"/>
  <c r="I20" i="4"/>
  <c r="C21" i="4"/>
  <c r="E21" i="4"/>
  <c r="G21" i="4"/>
  <c r="H21" i="4"/>
  <c r="I21" i="4"/>
  <c r="C22" i="4"/>
  <c r="E22" i="4"/>
  <c r="G22" i="4"/>
  <c r="H22" i="4"/>
  <c r="I22" i="4"/>
  <c r="C23" i="4"/>
  <c r="E23" i="4"/>
  <c r="G23" i="4"/>
  <c r="H23" i="4"/>
  <c r="I23" i="4"/>
  <c r="C24" i="4"/>
  <c r="E24" i="4"/>
  <c r="G24" i="4"/>
  <c r="H24" i="4"/>
  <c r="I24" i="4"/>
  <c r="C25" i="4"/>
  <c r="E25" i="4"/>
  <c r="G25" i="4"/>
  <c r="H25" i="4"/>
  <c r="I25" i="4"/>
  <c r="C26" i="4"/>
  <c r="E26" i="4"/>
  <c r="G26" i="4"/>
  <c r="H26" i="4"/>
  <c r="I26" i="4"/>
  <c r="C27" i="4"/>
  <c r="E27" i="4"/>
  <c r="G27" i="4"/>
  <c r="H27" i="4"/>
  <c r="I27" i="4"/>
  <c r="C28" i="4"/>
  <c r="E28" i="4"/>
  <c r="G28" i="4"/>
  <c r="H28" i="4"/>
  <c r="I28" i="4"/>
  <c r="C29" i="4"/>
  <c r="E29" i="4"/>
  <c r="G29" i="4"/>
  <c r="H29" i="4"/>
  <c r="I29" i="4"/>
  <c r="C30" i="4"/>
  <c r="E30" i="4"/>
  <c r="G30" i="4"/>
  <c r="H30" i="4"/>
  <c r="I30" i="4"/>
  <c r="C31" i="4"/>
  <c r="E31" i="4"/>
  <c r="G31" i="4"/>
  <c r="H31" i="4"/>
  <c r="I31" i="4"/>
  <c r="C32" i="4"/>
  <c r="E32" i="4"/>
  <c r="G32" i="4"/>
  <c r="H32" i="4"/>
  <c r="I32" i="4"/>
  <c r="C33" i="4"/>
  <c r="E33" i="4"/>
  <c r="G33" i="4"/>
  <c r="H33" i="4"/>
  <c r="I33" i="4"/>
  <c r="C34" i="4"/>
  <c r="E34" i="4"/>
  <c r="G34" i="4"/>
  <c r="H34" i="4"/>
  <c r="I34" i="4"/>
  <c r="C35" i="4"/>
  <c r="E35" i="4"/>
  <c r="G35" i="4"/>
  <c r="H35" i="4"/>
  <c r="I35" i="4"/>
  <c r="C36" i="4"/>
  <c r="E36" i="4"/>
  <c r="G36" i="4"/>
  <c r="H36" i="4"/>
  <c r="I36" i="4"/>
  <c r="C37" i="4"/>
  <c r="E37" i="4"/>
  <c r="G37" i="4"/>
  <c r="H37" i="4"/>
  <c r="I37" i="4"/>
  <c r="C38" i="4"/>
  <c r="E38" i="4"/>
  <c r="G38" i="4"/>
  <c r="H38" i="4"/>
  <c r="I38" i="4"/>
  <c r="C39" i="4"/>
  <c r="E39" i="4"/>
  <c r="G39" i="4"/>
  <c r="H39" i="4"/>
  <c r="I39" i="4"/>
  <c r="C40" i="4"/>
  <c r="E40" i="4"/>
  <c r="G40" i="4"/>
  <c r="H40" i="4"/>
  <c r="I40" i="4"/>
  <c r="C41" i="4"/>
  <c r="E41" i="4"/>
  <c r="G41" i="4"/>
  <c r="H41" i="4"/>
  <c r="I41" i="4"/>
  <c r="C42" i="4"/>
  <c r="E42" i="4"/>
  <c r="G42" i="4"/>
  <c r="H42" i="4"/>
  <c r="I42" i="4"/>
  <c r="C43" i="4"/>
  <c r="E43" i="4"/>
  <c r="G43" i="4"/>
  <c r="H43" i="4"/>
  <c r="I43" i="4"/>
  <c r="C44" i="4"/>
  <c r="E44" i="4"/>
  <c r="G44" i="4"/>
  <c r="H44" i="4"/>
  <c r="I44" i="4"/>
  <c r="C45" i="4"/>
  <c r="E45" i="4"/>
  <c r="G45" i="4"/>
  <c r="H45" i="4"/>
  <c r="I45" i="4"/>
  <c r="C46" i="4"/>
  <c r="E46" i="4"/>
  <c r="G46" i="4"/>
  <c r="H46" i="4"/>
  <c r="I46" i="4"/>
  <c r="C47" i="4"/>
  <c r="E47" i="4"/>
  <c r="G47" i="4"/>
  <c r="H47" i="4"/>
  <c r="I47" i="4"/>
  <c r="C48" i="4"/>
  <c r="E48" i="4"/>
  <c r="G48" i="4"/>
  <c r="H48" i="4"/>
  <c r="I48" i="4"/>
  <c r="C49" i="4"/>
  <c r="E49" i="4"/>
  <c r="G49" i="4"/>
  <c r="H49" i="4"/>
  <c r="I49" i="4"/>
  <c r="C50" i="4"/>
  <c r="E50" i="4"/>
  <c r="G50" i="4"/>
  <c r="H50" i="4"/>
  <c r="I50" i="4"/>
  <c r="C51" i="4"/>
  <c r="E51" i="4"/>
  <c r="G51" i="4"/>
  <c r="H51" i="4"/>
  <c r="I51" i="4"/>
  <c r="C52" i="4"/>
  <c r="E52" i="4"/>
  <c r="G52" i="4"/>
  <c r="H52" i="4"/>
  <c r="I52" i="4"/>
  <c r="C53" i="4"/>
  <c r="E53" i="4"/>
  <c r="G53" i="4"/>
  <c r="H53" i="4"/>
  <c r="I53" i="4"/>
  <c r="C54" i="4"/>
  <c r="E54" i="4"/>
  <c r="G54" i="4"/>
  <c r="H54" i="4"/>
  <c r="I54" i="4"/>
  <c r="C55" i="4"/>
  <c r="E55" i="4"/>
  <c r="G55" i="4"/>
  <c r="H55" i="4"/>
  <c r="I55" i="4"/>
  <c r="C56" i="4"/>
  <c r="E56" i="4"/>
  <c r="G56" i="4"/>
  <c r="H56" i="4"/>
  <c r="I56" i="4"/>
  <c r="C57" i="4"/>
  <c r="E57" i="4"/>
  <c r="G57" i="4"/>
  <c r="H57" i="4"/>
  <c r="I57" i="4"/>
  <c r="C58" i="4"/>
  <c r="E58" i="4"/>
  <c r="G58" i="4"/>
  <c r="H58" i="4"/>
  <c r="I58" i="4"/>
  <c r="C59" i="4"/>
  <c r="E59" i="4"/>
  <c r="G59" i="4"/>
  <c r="H59" i="4"/>
  <c r="I59" i="4"/>
  <c r="C60" i="4"/>
  <c r="E60" i="4"/>
  <c r="G60" i="4"/>
  <c r="H60" i="4"/>
  <c r="I60" i="4"/>
  <c r="C61" i="4"/>
  <c r="E61" i="4"/>
  <c r="G61" i="4"/>
  <c r="H61" i="4"/>
  <c r="I61" i="4"/>
  <c r="C62" i="4"/>
  <c r="E62" i="4"/>
  <c r="G62" i="4"/>
  <c r="H62" i="4"/>
  <c r="I62" i="4"/>
  <c r="C6" i="4"/>
  <c r="E6" i="4" s="1"/>
  <c r="G6" i="4"/>
  <c r="E28" i="2" s="1"/>
  <c r="H6" i="4"/>
  <c r="D28" i="2" s="1"/>
  <c r="I6" i="4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E16" i="2" l="1"/>
  <c r="D16" i="2"/>
  <c r="C16" i="2"/>
  <c r="B44" i="2"/>
  <c r="F48" i="2"/>
  <c r="C48" i="2"/>
  <c r="D48" i="2"/>
  <c r="E48" i="2"/>
  <c r="B48" i="2"/>
  <c r="F47" i="2"/>
  <c r="C47" i="2"/>
  <c r="D47" i="2"/>
  <c r="E47" i="2"/>
  <c r="B47" i="2"/>
  <c r="F46" i="2"/>
  <c r="C46" i="2"/>
  <c r="D46" i="2"/>
  <c r="E46" i="2"/>
  <c r="B46" i="2"/>
  <c r="F45" i="2"/>
  <c r="C45" i="2"/>
  <c r="D45" i="2"/>
  <c r="E45" i="2"/>
  <c r="B45" i="2"/>
  <c r="F40" i="2"/>
  <c r="C40" i="2"/>
  <c r="C20" i="2" s="1"/>
  <c r="D40" i="2"/>
  <c r="E40" i="2"/>
  <c r="B40" i="2"/>
  <c r="F39" i="2"/>
  <c r="C39" i="2"/>
  <c r="D39" i="2"/>
  <c r="E39" i="2"/>
  <c r="B39" i="2"/>
  <c r="F38" i="2"/>
  <c r="C38" i="2"/>
  <c r="D38" i="2"/>
  <c r="E38" i="2"/>
  <c r="B38" i="2"/>
  <c r="F37" i="2"/>
  <c r="C37" i="2"/>
  <c r="D37" i="2"/>
  <c r="E37" i="2"/>
  <c r="B37" i="2"/>
  <c r="B36" i="2"/>
  <c r="J6" i="4"/>
  <c r="F28" i="2"/>
  <c r="F16" i="2" s="1"/>
  <c r="V3" i="3" s="1"/>
  <c r="U3" i="3"/>
  <c r="B28" i="2"/>
  <c r="F31" i="2"/>
  <c r="D31" i="2"/>
  <c r="E31" i="2"/>
  <c r="B31" i="2"/>
  <c r="F30" i="2"/>
  <c r="D30" i="2"/>
  <c r="E30" i="2"/>
  <c r="B30" i="2"/>
  <c r="F29" i="2"/>
  <c r="D29" i="2"/>
  <c r="E29" i="2"/>
  <c r="B29" i="2"/>
  <c r="BL7" i="7" a="1"/>
  <c r="BL7" i="7" s="1"/>
  <c r="BK67" i="7"/>
  <c r="C63" i="4" s="1"/>
  <c r="E63" i="4" s="1"/>
  <c r="B16" i="2" l="1"/>
  <c r="E18" i="2"/>
  <c r="D18" i="2"/>
  <c r="C17" i="2"/>
  <c r="F19" i="2"/>
  <c r="V6" i="3" s="1"/>
  <c r="C18" i="2"/>
  <c r="F18" i="2"/>
  <c r="V5" i="3" s="1"/>
  <c r="B19" i="2"/>
  <c r="E17" i="2"/>
  <c r="B17" i="2"/>
  <c r="E19" i="2"/>
  <c r="D19" i="2"/>
  <c r="D17" i="2"/>
  <c r="F17" i="2"/>
  <c r="V4" i="3" s="1"/>
  <c r="B18" i="2"/>
  <c r="C19" i="2"/>
  <c r="J7" i="4"/>
  <c r="B3" i="3"/>
  <c r="E3" i="3" s="1"/>
  <c r="G63" i="4"/>
  <c r="H63" i="4"/>
  <c r="I63" i="4"/>
  <c r="BM7" i="7" a="1"/>
  <c r="BM7" i="7" s="1"/>
  <c r="BM67" i="7" s="1"/>
  <c r="C65" i="4" s="1"/>
  <c r="E65" i="4" s="1"/>
  <c r="BL67" i="7"/>
  <c r="C64" i="4" s="1"/>
  <c r="E64" i="4" s="1"/>
  <c r="B32" i="2" l="1"/>
  <c r="B20" i="2" s="1"/>
  <c r="J8" i="4"/>
  <c r="B4" i="3"/>
  <c r="E4" i="3" s="1"/>
  <c r="G64" i="4"/>
  <c r="H64" i="4"/>
  <c r="I64" i="4"/>
  <c r="G65" i="4"/>
  <c r="H65" i="4"/>
  <c r="I65" i="4"/>
  <c r="F32" i="2" l="1"/>
  <c r="F20" i="2" s="1"/>
  <c r="D32" i="2"/>
  <c r="D20" i="2" s="1"/>
  <c r="E32" i="2"/>
  <c r="E20" i="2" s="1"/>
  <c r="B5" i="3"/>
  <c r="E5" i="3" s="1"/>
  <c r="J9" i="4"/>
  <c r="V7" i="3" l="1"/>
  <c r="W7" i="3" s="1"/>
  <c r="J10" i="4"/>
  <c r="B6" i="3"/>
  <c r="E6" i="3" s="1"/>
  <c r="J11" i="4" l="1"/>
  <c r="B7" i="3"/>
  <c r="E7" i="3" s="1"/>
  <c r="J12" i="4" l="1"/>
  <c r="B8" i="3"/>
  <c r="E8" i="3" s="1"/>
  <c r="J13" i="4" l="1"/>
  <c r="B9" i="3"/>
  <c r="E9" i="3" s="1"/>
  <c r="J14" i="4" l="1"/>
  <c r="B10" i="3"/>
  <c r="E10" i="3" s="1"/>
  <c r="J15" i="4" l="1"/>
  <c r="B11" i="3"/>
  <c r="E11" i="3" s="1"/>
  <c r="J16" i="4" l="1"/>
  <c r="B12" i="3"/>
  <c r="E12" i="3" s="1"/>
  <c r="J17" i="4" l="1"/>
  <c r="B13" i="3"/>
  <c r="E13" i="3" s="1"/>
  <c r="J18" i="4" l="1"/>
  <c r="B14" i="3"/>
  <c r="E14" i="3" s="1"/>
  <c r="J19" i="4" l="1"/>
  <c r="B15" i="3"/>
  <c r="E15" i="3" s="1"/>
  <c r="J20" i="4" l="1"/>
  <c r="B16" i="3"/>
  <c r="E16" i="3" s="1"/>
  <c r="J21" i="4" l="1"/>
  <c r="B17" i="3"/>
  <c r="E17" i="3" s="1"/>
  <c r="J22" i="4" l="1"/>
  <c r="B18" i="3"/>
  <c r="E18" i="3" s="1"/>
  <c r="J23" i="4" l="1"/>
  <c r="B19" i="3"/>
  <c r="E19" i="3" s="1"/>
  <c r="J24" i="4" l="1"/>
  <c r="B20" i="3"/>
  <c r="E20" i="3" s="1"/>
  <c r="J25" i="4" l="1"/>
  <c r="B21" i="3"/>
  <c r="E21" i="3" s="1"/>
  <c r="J26" i="4" l="1"/>
  <c r="B22" i="3"/>
  <c r="E22" i="3" s="1"/>
  <c r="J27" i="4" l="1"/>
  <c r="B23" i="3"/>
  <c r="E23" i="3" s="1"/>
  <c r="J28" i="4" l="1"/>
  <c r="B24" i="3"/>
  <c r="E24" i="3" s="1"/>
  <c r="J29" i="4" l="1"/>
  <c r="B25" i="3"/>
  <c r="E25" i="3" s="1"/>
  <c r="J30" i="4" l="1"/>
  <c r="B26" i="3"/>
  <c r="E26" i="3" s="1"/>
  <c r="J31" i="4" l="1"/>
  <c r="B27" i="3"/>
  <c r="E27" i="3" s="1"/>
  <c r="J32" i="4" l="1"/>
  <c r="B28" i="3"/>
  <c r="E28" i="3" s="1"/>
  <c r="J33" i="4" l="1"/>
  <c r="B29" i="3"/>
  <c r="E29" i="3" s="1"/>
  <c r="J34" i="4" l="1"/>
  <c r="B30" i="3"/>
  <c r="E30" i="3" s="1"/>
  <c r="J35" i="4" l="1"/>
  <c r="B31" i="3"/>
  <c r="E31" i="3" s="1"/>
  <c r="J36" i="4" l="1"/>
  <c r="B32" i="3"/>
  <c r="E32" i="3" s="1"/>
  <c r="J37" i="4" l="1"/>
  <c r="B33" i="3"/>
  <c r="E33" i="3" s="1"/>
  <c r="J38" i="4" l="1"/>
  <c r="B34" i="3"/>
  <c r="E34" i="3" s="1"/>
  <c r="J39" i="4" l="1"/>
  <c r="B35" i="3"/>
  <c r="E35" i="3" s="1"/>
  <c r="J40" i="4" l="1"/>
  <c r="B36" i="3"/>
  <c r="E36" i="3" s="1"/>
  <c r="J41" i="4" l="1"/>
  <c r="B37" i="3"/>
  <c r="E37" i="3" s="1"/>
  <c r="J42" i="4" l="1"/>
  <c r="B38" i="3"/>
  <c r="E38" i="3" s="1"/>
  <c r="J43" i="4" l="1"/>
  <c r="B39" i="3"/>
  <c r="E39" i="3" s="1"/>
  <c r="J44" i="4" l="1"/>
  <c r="B40" i="3"/>
  <c r="E40" i="3" s="1"/>
  <c r="J45" i="4" l="1"/>
  <c r="B41" i="3"/>
  <c r="E41" i="3" s="1"/>
  <c r="J46" i="4" l="1"/>
  <c r="B42" i="3"/>
  <c r="E42" i="3" s="1"/>
  <c r="J47" i="4" l="1"/>
  <c r="B43" i="3"/>
  <c r="E43" i="3" s="1"/>
  <c r="J48" i="4" l="1"/>
  <c r="B44" i="3"/>
  <c r="E44" i="3" s="1"/>
  <c r="J49" i="4" l="1"/>
  <c r="B45" i="3"/>
  <c r="E45" i="3" s="1"/>
  <c r="J50" i="4" l="1"/>
  <c r="B46" i="3"/>
  <c r="E46" i="3" s="1"/>
  <c r="J51" i="4" l="1"/>
  <c r="B47" i="3"/>
  <c r="E47" i="3" s="1"/>
  <c r="J52" i="4" l="1"/>
  <c r="B48" i="3"/>
  <c r="E48" i="3" s="1"/>
  <c r="J53" i="4" l="1"/>
  <c r="B49" i="3"/>
  <c r="E49" i="3" s="1"/>
  <c r="J54" i="4" l="1"/>
  <c r="B50" i="3"/>
  <c r="E50" i="3" s="1"/>
  <c r="J55" i="4" l="1"/>
  <c r="B51" i="3"/>
  <c r="E51" i="3" s="1"/>
  <c r="J56" i="4" l="1"/>
  <c r="B52" i="3"/>
  <c r="E52" i="3" s="1"/>
  <c r="J57" i="4" l="1"/>
  <c r="B53" i="3"/>
  <c r="E53" i="3" s="1"/>
  <c r="J58" i="4" l="1"/>
  <c r="B54" i="3"/>
  <c r="E54" i="3" s="1"/>
  <c r="J59" i="4" l="1"/>
  <c r="B55" i="3"/>
  <c r="E55" i="3" s="1"/>
  <c r="J60" i="4" l="1"/>
  <c r="B56" i="3"/>
  <c r="E56" i="3" s="1"/>
  <c r="J61" i="4" l="1"/>
  <c r="B57" i="3"/>
  <c r="E57" i="3" s="1"/>
  <c r="J62" i="4" l="1"/>
  <c r="B58" i="3"/>
  <c r="E58" i="3" s="1"/>
  <c r="B59" i="3" l="1"/>
  <c r="E59" i="3" s="1"/>
  <c r="J63" i="4"/>
  <c r="J64" i="4" l="1"/>
  <c r="B60" i="3"/>
  <c r="E60" i="3" s="1"/>
  <c r="J65" i="4" l="1"/>
  <c r="B62" i="3" s="1"/>
  <c r="E62" i="3" s="1"/>
  <c r="B61" i="3"/>
  <c r="E6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<sst xmlns="http://schemas.openxmlformats.org/spreadsheetml/2006/main" count="187" uniqueCount="111">
  <si>
    <t>Channel 1</t>
  </si>
  <si>
    <t>Channel 2</t>
  </si>
  <si>
    <t>Channel 3</t>
  </si>
  <si>
    <t>Assumption Explanation</t>
  </si>
  <si>
    <t>Average Monthly Premium</t>
  </si>
  <si>
    <t>Growing by 5% per annnum in all channels</t>
  </si>
  <si>
    <t>Premium Increase(per annum)</t>
  </si>
  <si>
    <t>Monthly Sales</t>
  </si>
  <si>
    <t>Sales Increase(per annum)</t>
  </si>
  <si>
    <t>Commission</t>
  </si>
  <si>
    <t>4 times monthly premium per sale</t>
  </si>
  <si>
    <t>Tiered on-going commission structure
First R300 - 25% of premium
R300-R600 - 20% of premium
R600-R1,200 - 15% of premium
R1,200-R1,500 – 10% of premium
Above R1,500 – 5% of premium</t>
  </si>
  <si>
    <t>20% per sale on-going commission</t>
  </si>
  <si>
    <t>Expenses</t>
  </si>
  <si>
    <t>Calculated on Gross Premium</t>
  </si>
  <si>
    <t>Gross Claim Ratio</t>
  </si>
  <si>
    <t>Duration</t>
  </si>
  <si>
    <t>Lapse Rates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</si>
  <si>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</si>
  <si>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</si>
  <si>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</si>
  <si>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</si>
  <si>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</si>
  <si>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</si>
  <si>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</si>
  <si>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</si>
  <si>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</si>
  <si>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</si>
  <si>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</si>
  <si>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</si>
  <si>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</si>
  <si>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</si>
  <si>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</si>
  <si>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</si>
  <si>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</si>
  <si>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</si>
  <si>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</si>
  <si>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</si>
  <si>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</si>
  <si>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</si>
  <si>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</si>
  <si>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</si>
  <si>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</si>
  <si>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</si>
  <si>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</si>
  <si>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</si>
  <si>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</si>
  <si>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</si>
  <si>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</si>
  <si>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</si>
  <si>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</si>
  <si>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</si>
  <si>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</si>
  <si>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</si>
  <si>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</si>
  <si>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</si>
  <si>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</si>
  <si>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</si>
  <si>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</si>
  <si>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</si>
  <si>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</si>
  <si>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</si>
  <si>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</si>
  <si>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</si>
  <si>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</si>
  <si>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</si>
  <si>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</si>
  <si>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</si>
  <si>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</si>
  <si>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</si>
  <si>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</si>
  <si>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</si>
  <si>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</si>
  <si>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</si>
  <si>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</si>
  <si>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</si>
  <si>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</si>
  <si>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</si>
  <si>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</si>
  <si>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5 YEAR INCOME STATEMENT</t>
  </si>
  <si>
    <t>Year</t>
  </si>
  <si>
    <t>Gross Premium</t>
  </si>
  <si>
    <t>Commission Paid</t>
  </si>
  <si>
    <t xml:space="preserve">Claims Incurred </t>
  </si>
  <si>
    <t>Operating Expenses</t>
  </si>
  <si>
    <t>Net Profit/loss</t>
  </si>
  <si>
    <t>Chanel 3</t>
  </si>
  <si>
    <t>Cummulative Net Cashflow</t>
  </si>
  <si>
    <t>Revenue Cashflow</t>
  </si>
  <si>
    <t>Months</t>
  </si>
  <si>
    <t>Total</t>
  </si>
  <si>
    <t>Total_Revenue</t>
  </si>
  <si>
    <t>Margin</t>
  </si>
  <si>
    <t>Monthly_premium</t>
  </si>
  <si>
    <t>Commission_rate</t>
  </si>
  <si>
    <t>Premium_Increase</t>
  </si>
  <si>
    <t>Expenses_rate</t>
  </si>
  <si>
    <t>New_sales</t>
  </si>
  <si>
    <t>Active Policies</t>
  </si>
  <si>
    <t>Premium</t>
  </si>
  <si>
    <t>Gross_Premium</t>
  </si>
  <si>
    <t>Claims</t>
  </si>
  <si>
    <t>Net Gain/Loss</t>
  </si>
  <si>
    <t>CummulativeNet Gain/Loss</t>
  </si>
  <si>
    <t>Monthl_premium</t>
  </si>
  <si>
    <t>Regressive Tiered</t>
  </si>
  <si>
    <t>New Sales</t>
  </si>
  <si>
    <t>Sales Increase</t>
  </si>
  <si>
    <t>NEW_Monthly_Sales_Inc_NTU</t>
  </si>
  <si>
    <t>NEW_Monthly_Sales_Exc_NTU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</si>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</sst>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R-1C09]\ #,##0.00;[Red][$R-1C09]\-#,##0.00"/>
    <numFmt numFmtId="165" formatCode="_-* #,##0.00_-;\-* #,##0.00_-;_-* \-??_-;_-@_-"/>
    <numFmt numFmtId="166" formatCode="_(* #,##0.00_);_(* \(#,##0.00\);_(* \-??_);_(@_)"/>
    <numFmt numFmtId="167" formatCode="_(* #,##0_);_(* \(#,##0\);_(* \-??_);_(@_)"/>
    <numFmt numFmtId="168" formatCode="_(* #,##0.0000_);_(* \(#,##0.0000\);_(* \-??_);_(@_)"/>
    <numFmt numFmtId="169" formatCode="[$R-1C09]#,##0.00"/>
    <numFmt numFmtId="170" formatCode="0.0%"/>
  </numFmts>
  <fonts count="9" x14ac:knownFonts="1">
    <font>
      <sz val="11"/>
      <color theme="1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1"/>
      <color rgb="FF000000"/>
      <name val="Aptos Narrow"/>
      <charset val="1"/>
    </font>
    <font>
      <sz val="14"/>
      <color rgb="FFFFFFFF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55269"/>
        <bgColor rgb="FF1D3443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3">
    <xf numFmtId="0" fontId="0" fillId="0" borderId="0"/>
    <xf numFmtId="165" fontId="8" fillId="0" borderId="0" applyBorder="0" applyProtection="0"/>
    <xf numFmtId="9" fontId="8" fillId="0" borderId="0" applyBorder="0" applyProtection="0"/>
  </cellStyleXfs>
  <cellXfs count="1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0" borderId="1" xfId="0" applyFont="1" applyBorder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7" fillId="3" borderId="1" xfId="0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10" fontId="1" fillId="0" borderId="1" xfId="0" applyNumberFormat="1" applyFont="1" applyBorder="1"/>
    <xf numFmtId="9" fontId="1" fillId="0" borderId="1" xfId="0" applyNumberFormat="1" applyFont="1" applyBorder="1"/>
    <xf numFmtId="165" fontId="2" fillId="0" borderId="7" xfId="1" applyFont="1" applyBorder="1" applyProtection="1"/>
    <xf numFmtId="165" fontId="2" fillId="0" borderId="8" xfId="1" applyFont="1" applyBorder="1" applyProtection="1"/>
    <xf numFmtId="164" fontId="2" fillId="0" borderId="8" xfId="1" applyNumberFormat="1" applyFont="1" applyBorder="1" applyProtection="1"/>
    <xf numFmtId="164" fontId="2" fillId="0" borderId="9" xfId="1" applyNumberFormat="1" applyFont="1" applyBorder="1" applyProtection="1"/>
    <xf numFmtId="165" fontId="2" fillId="0" borderId="5" xfId="1" applyFont="1" applyBorder="1" applyProtection="1"/>
    <xf numFmtId="165" fontId="2" fillId="0" borderId="0" xfId="1" applyFont="1" applyBorder="1" applyProtection="1"/>
    <xf numFmtId="164" fontId="2" fillId="0" borderId="0" xfId="1" applyNumberFormat="1" applyFont="1" applyBorder="1" applyProtection="1"/>
    <xf numFmtId="164" fontId="2" fillId="0" borderId="6" xfId="1" applyNumberFormat="1" applyFont="1" applyBorder="1" applyProtection="1"/>
    <xf numFmtId="165" fontId="2" fillId="0" borderId="10" xfId="1" applyFont="1" applyBorder="1" applyProtection="1"/>
    <xf numFmtId="165" fontId="2" fillId="0" borderId="11" xfId="1" applyFont="1" applyBorder="1" applyProtection="1"/>
    <xf numFmtId="164" fontId="2" fillId="0" borderId="11" xfId="1" applyNumberFormat="1" applyFont="1" applyBorder="1" applyProtection="1"/>
    <xf numFmtId="164" fontId="2" fillId="0" borderId="12" xfId="1" applyNumberFormat="1" applyFont="1" applyBorder="1" applyProtection="1"/>
    <xf numFmtId="0" fontId="1" fillId="0" borderId="0" xfId="0" applyFont="1"/>
    <xf numFmtId="0" fontId="2" fillId="0" borderId="0" xfId="0" applyFont="1" applyAlignment="1">
      <alignment wrapText="1"/>
    </xf>
    <xf numFmtId="9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  <xf numFmtId="1" fontId="1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/>
    <xf numFmtId="1" fontId="2" fillId="0" borderId="13" xfId="0" applyNumberFormat="1" applyFont="1" applyBorder="1"/>
    <xf numFmtId="0" fontId="7" fillId="3" borderId="0" xfId="0" applyFont="1" applyFill="1"/>
    <xf numFmtId="0" fontId="7" fillId="3" borderId="16" xfId="0" applyFont="1" applyFill="1" applyBorder="1"/>
    <xf numFmtId="0" fontId="2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10" fontId="2" fillId="0" borderId="1" xfId="2" applyNumberFormat="1" applyFont="1" applyBorder="1" applyAlignment="1" applyProtection="1">
      <alignment horizontal="left"/>
    </xf>
    <xf numFmtId="10" fontId="2" fillId="0" borderId="1" xfId="0" applyNumberFormat="1" applyFont="1" applyBorder="1" applyAlignment="1">
      <alignment horizontal="left"/>
    </xf>
    <xf numFmtId="0" fontId="2" fillId="2" borderId="17" xfId="0" applyFont="1" applyFill="1" applyBorder="1"/>
    <xf numFmtId="0" fontId="2" fillId="0" borderId="14" xfId="0" applyFont="1" applyBorder="1" applyAlignment="1">
      <alignment horizontal="left"/>
    </xf>
    <xf numFmtId="0" fontId="7" fillId="3" borderId="2" xfId="0" applyFont="1" applyFill="1" applyBorder="1"/>
    <xf numFmtId="0" fontId="2" fillId="2" borderId="18" xfId="0" applyFont="1" applyFill="1" applyBorder="1"/>
    <xf numFmtId="0" fontId="7" fillId="3" borderId="17" xfId="0" applyFont="1" applyFill="1" applyBorder="1"/>
    <xf numFmtId="9" fontId="2" fillId="0" borderId="17" xfId="0" applyNumberFormat="1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7" xfId="0" applyFont="1" applyBorder="1"/>
    <xf numFmtId="0" fontId="2" fillId="0" borderId="2" xfId="0" applyFont="1" applyBorder="1"/>
    <xf numFmtId="165" fontId="2" fillId="0" borderId="22" xfId="0" applyNumberFormat="1" applyFont="1" applyBorder="1"/>
    <xf numFmtId="165" fontId="2" fillId="0" borderId="23" xfId="0" applyNumberFormat="1" applyFont="1" applyBorder="1"/>
    <xf numFmtId="165" fontId="2" fillId="0" borderId="25" xfId="0" applyNumberFormat="1" applyFont="1" applyBorder="1"/>
    <xf numFmtId="165" fontId="2" fillId="0" borderId="26" xfId="0" applyNumberFormat="1" applyFont="1" applyBorder="1"/>
    <xf numFmtId="165" fontId="2" fillId="0" borderId="27" xfId="0" applyNumberFormat="1" applyFont="1" applyBorder="1"/>
    <xf numFmtId="165" fontId="2" fillId="0" borderId="13" xfId="0" applyNumberFormat="1" applyFont="1" applyBorder="1"/>
    <xf numFmtId="165" fontId="2" fillId="0" borderId="28" xfId="0" applyNumberFormat="1" applyFont="1" applyBorder="1"/>
    <xf numFmtId="0" fontId="7" fillId="3" borderId="9" xfId="0" applyFont="1" applyFill="1" applyBorder="1"/>
    <xf numFmtId="169" fontId="2" fillId="0" borderId="1" xfId="0" applyNumberFormat="1" applyFont="1" applyBorder="1" applyAlignment="1">
      <alignment horizontal="left"/>
    </xf>
    <xf numFmtId="169" fontId="2" fillId="0" borderId="14" xfId="0" applyNumberFormat="1" applyFont="1" applyBorder="1" applyAlignment="1">
      <alignment horizontal="left"/>
    </xf>
    <xf numFmtId="166" fontId="2" fillId="0" borderId="22" xfId="0" applyNumberFormat="1" applyFont="1" applyBorder="1"/>
    <xf numFmtId="166" fontId="2" fillId="0" borderId="23" xfId="0" applyNumberFormat="1" applyFont="1" applyBorder="1"/>
    <xf numFmtId="166" fontId="2" fillId="0" borderId="24" xfId="0" applyNumberFormat="1" applyFont="1" applyBorder="1"/>
    <xf numFmtId="166" fontId="2" fillId="0" borderId="25" xfId="0" applyNumberFormat="1" applyFont="1" applyBorder="1"/>
    <xf numFmtId="166" fontId="2" fillId="0" borderId="26" xfId="0" applyNumberFormat="1" applyFont="1" applyBorder="1"/>
    <xf numFmtId="168" fontId="2" fillId="0" borderId="0" xfId="0" applyNumberFormat="1" applyFont="1"/>
    <xf numFmtId="166" fontId="2" fillId="0" borderId="27" xfId="0" applyNumberFormat="1" applyFont="1" applyBorder="1"/>
    <xf numFmtId="166" fontId="2" fillId="0" borderId="13" xfId="0" applyNumberFormat="1" applyFont="1" applyBorder="1"/>
    <xf numFmtId="166" fontId="2" fillId="0" borderId="28" xfId="0" applyNumberFormat="1" applyFont="1" applyBorder="1"/>
    <xf numFmtId="0" fontId="7" fillId="3" borderId="14" xfId="0" applyFont="1" applyFill="1" applyBorder="1"/>
    <xf numFmtId="0" fontId="2" fillId="0" borderId="13" xfId="0" applyFont="1" applyBorder="1"/>
    <xf numFmtId="0" fontId="7" fillId="3" borderId="29" xfId="0" applyFont="1" applyFill="1" applyBorder="1"/>
    <xf numFmtId="0" fontId="2" fillId="0" borderId="24" xfId="0" applyFont="1" applyBorder="1"/>
    <xf numFmtId="1" fontId="2" fillId="0" borderId="25" xfId="0" applyNumberFormat="1" applyFont="1" applyBorder="1"/>
    <xf numFmtId="0" fontId="2" fillId="0" borderId="26" xfId="0" applyFont="1" applyBorder="1"/>
    <xf numFmtId="1" fontId="2" fillId="0" borderId="27" xfId="0" applyNumberFormat="1" applyFont="1" applyBorder="1"/>
    <xf numFmtId="0" fontId="2" fillId="0" borderId="28" xfId="0" applyFont="1" applyBorder="1"/>
    <xf numFmtId="0" fontId="2" fillId="0" borderId="22" xfId="0" applyFont="1" applyBorder="1"/>
    <xf numFmtId="1" fontId="2" fillId="0" borderId="24" xfId="0" applyNumberFormat="1" applyFont="1" applyBorder="1"/>
    <xf numFmtId="1" fontId="2" fillId="0" borderId="26" xfId="0" applyNumberFormat="1" applyFont="1" applyBorder="1"/>
    <xf numFmtId="1" fontId="2" fillId="0" borderId="28" xfId="0" applyNumberFormat="1" applyFont="1" applyBorder="1"/>
    <xf numFmtId="0" fontId="7" fillId="3" borderId="7" xfId="0" applyFont="1" applyFill="1" applyBorder="1"/>
    <xf numFmtId="0" fontId="7" fillId="3" borderId="24" xfId="0" applyFont="1" applyFill="1" applyBorder="1"/>
    <xf numFmtId="0" fontId="7" fillId="3" borderId="30" xfId="0" applyFont="1" applyFill="1" applyBorder="1"/>
    <xf numFmtId="164" fontId="2" fillId="0" borderId="26" xfId="1" applyNumberFormat="1" applyFont="1" applyBorder="1" applyProtection="1"/>
    <xf numFmtId="164" fontId="2" fillId="0" borderId="28" xfId="1" applyNumberFormat="1" applyFont="1" applyBorder="1" applyProtection="1"/>
    <xf numFmtId="0" fontId="7" fillId="3" borderId="15" xfId="0" applyFont="1" applyFill="1" applyBorder="1"/>
    <xf numFmtId="164" fontId="2" fillId="0" borderId="17" xfId="0" applyNumberFormat="1" applyFont="1" applyBorder="1"/>
    <xf numFmtId="169" fontId="2" fillId="0" borderId="17" xfId="0" applyNumberFormat="1" applyFont="1" applyBorder="1"/>
    <xf numFmtId="0" fontId="7" fillId="3" borderId="12" xfId="0" applyFont="1" applyFill="1" applyBorder="1"/>
    <xf numFmtId="0" fontId="7" fillId="3" borderId="6" xfId="0" applyFont="1" applyFill="1" applyBorder="1"/>
    <xf numFmtId="0" fontId="7" fillId="3" borderId="3" xfId="0" applyFont="1" applyFill="1" applyBorder="1"/>
    <xf numFmtId="0" fontId="7" fillId="3" borderId="5" xfId="0" applyFont="1" applyFill="1" applyBorder="1"/>
    <xf numFmtId="0" fontId="7" fillId="3" borderId="26" xfId="0" applyFont="1" applyFill="1" applyBorder="1"/>
    <xf numFmtId="170" fontId="2" fillId="0" borderId="17" xfId="0" applyNumberFormat="1" applyFont="1" applyBorder="1"/>
    <xf numFmtId="164" fontId="2" fillId="0" borderId="13" xfId="1" applyNumberFormat="1" applyFont="1" applyBorder="1" applyProtection="1"/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4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3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4E3EC"/>
      <rgbColor rgb="FF660066"/>
      <rgbColor rgb="FFFF8080"/>
      <rgbColor rgb="FF0066CC"/>
      <rgbColor rgb="FFB7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3D3DC"/>
      <rgbColor rgb="FFFF99CC"/>
      <rgbColor rgb="FFCC99FF"/>
      <rgbColor rgb="FFFFCC99"/>
      <rgbColor rgb="FF3366FF"/>
      <rgbColor rgb="FF66B6C3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55269"/>
      <rgbColor rgb="FF1D34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0" strike="noStrike" spc="-1">
                <a:solidFill>
                  <a:srgbClr val="002060"/>
                </a:solidFill>
                <a:latin typeface="Aptos Narrow"/>
              </a:defRPr>
            </a:pPr>
            <a:r>
              <a:rPr lang="en-ZA" sz="1400" b="0" strike="noStrike" spc="-1">
                <a:solidFill>
                  <a:srgbClr val="002060"/>
                </a:solidFill>
                <a:latin typeface="Aptos Narrow"/>
              </a:rPr>
              <a:t>Cummulative Net Cash Flow By Distribution Channel</a:t>
            </a:r>
          </a:p>
        </c:rich>
      </c:tx>
      <c:layout>
        <c:manualLayout>
          <c:xMode val="edge"/>
          <c:yMode val="edge"/>
          <c:x val="0.14511708042916399"/>
          <c:y val="1.8638573743922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Visuals!$B$2</c:f>
              <c:strCache>
                <c:ptCount val="1"/>
                <c:pt idx="0">
                  <c:v>Channel 1</c:v>
                </c:pt>
              </c:strCache>
            </c:strRef>
          </c:tx>
          <c:spPr>
            <a:ln w="19080" cap="rnd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1D3443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Visuals!$A$3:$A$62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Visuals!$B$3:$B$62</c:f>
              <c:numCache>
                <c:formatCode>_-* #\ ##0.00_-;\-* #\ ##0.00_-;_-* \-??_-;_-@_-</c:formatCode>
                <c:ptCount val="60"/>
                <c:pt idx="0">
                  <c:v>-7621200.0000000009</c:v>
                </c:pt>
                <c:pt idx="1">
                  <c:v>-14588334.000000002</c:v>
                </c:pt>
                <c:pt idx="2">
                  <c:v>-20953727.280000001</c:v>
                </c:pt>
                <c:pt idx="3">
                  <c:v>-26750475.579600003</c:v>
                </c:pt>
                <c:pt idx="4">
                  <c:v>-32007011.147820003</c:v>
                </c:pt>
                <c:pt idx="5">
                  <c:v>-36747643.557572104</c:v>
                </c:pt>
                <c:pt idx="6">
                  <c:v>-40993008.935195021</c:v>
                </c:pt>
                <c:pt idx="7">
                  <c:v>-44760441.626813278</c:v>
                </c:pt>
                <c:pt idx="8">
                  <c:v>-48064279.613007009</c:v>
                </c:pt>
                <c:pt idx="9">
                  <c:v>-50916112.761411831</c:v>
                </c:pt>
                <c:pt idx="10">
                  <c:v>-53324981.168783523</c:v>
                </c:pt>
                <c:pt idx="11">
                  <c:v>-55295314.482532412</c:v>
                </c:pt>
                <c:pt idx="12">
                  <c:v>-57308420.23214785</c:v>
                </c:pt>
                <c:pt idx="13">
                  <c:v>-58835888.859240592</c:v>
                </c:pt>
                <c:pt idx="14">
                  <c:v>-59884980.42758587</c:v>
                </c:pt>
                <c:pt idx="15">
                  <c:v>-60461900.320222162</c:v>
                </c:pt>
                <c:pt idx="16">
                  <c:v>-60572564.408365391</c:v>
                </c:pt>
                <c:pt idx="17">
                  <c:v>-60222627.890954405</c:v>
                </c:pt>
                <c:pt idx="18">
                  <c:v>-59417509.32151933</c:v>
                </c:pt>
                <c:pt idx="19">
                  <c:v>-58162410.558560073</c:v>
                </c:pt>
                <c:pt idx="20">
                  <c:v>-56462333.233332187</c:v>
                </c:pt>
                <c:pt idx="21">
                  <c:v>-54322092.212288871</c:v>
                </c:pt>
                <c:pt idx="22">
                  <c:v>-51746326.434928127</c:v>
                </c:pt>
                <c:pt idx="23">
                  <c:v>-48739391.148813121</c:v>
                </c:pt>
                <c:pt idx="24">
                  <c:v>-45575032.976542316</c:v>
                </c:pt>
                <c:pt idx="25">
                  <c:v>-41929097.949302465</c:v>
                </c:pt>
                <c:pt idx="26">
                  <c:v>-37809051.90667963</c:v>
                </c:pt>
                <c:pt idx="27">
                  <c:v>-33221203.286554873</c:v>
                </c:pt>
                <c:pt idx="28">
                  <c:v>-28171546.669994075</c:v>
                </c:pt>
                <c:pt idx="29">
                  <c:v>-22665794.523547143</c:v>
                </c:pt>
                <c:pt idx="30">
                  <c:v>-16709403.636103664</c:v>
                </c:pt>
                <c:pt idx="31">
                  <c:v>-10307597.061946187</c:v>
                </c:pt>
                <c:pt idx="32">
                  <c:v>-3465382.2247674949</c:v>
                </c:pt>
                <c:pt idx="33">
                  <c:v>3812434.2911865525</c:v>
                </c:pt>
                <c:pt idx="34">
                  <c:v>11521234.843078032</c:v>
                </c:pt>
                <c:pt idx="35">
                  <c:v>19656709.590547562</c:v>
                </c:pt>
                <c:pt idx="36">
                  <c:v>28156146.049487714</c:v>
                </c:pt>
                <c:pt idx="37">
                  <c:v>37136413.675291121</c:v>
                </c:pt>
                <c:pt idx="38">
                  <c:v>46589782.452971555</c:v>
                </c:pt>
                <c:pt idx="39">
                  <c:v>56509793.392190978</c:v>
                </c:pt>
                <c:pt idx="40">
                  <c:v>66890328.569125816</c:v>
                </c:pt>
                <c:pt idx="41">
                  <c:v>77725576.180188358</c:v>
                </c:pt>
                <c:pt idx="42">
                  <c:v>89010001.444503546</c:v>
                </c:pt>
                <c:pt idx="43">
                  <c:v>100738322.46031183</c:v>
                </c:pt>
                <c:pt idx="44">
                  <c:v>112905490.293423</c:v>
                </c:pt>
                <c:pt idx="45">
                  <c:v>125506672.71763279</c:v>
                </c:pt>
                <c:pt idx="46">
                  <c:v>138537241.14430988</c:v>
                </c:pt>
                <c:pt idx="47">
                  <c:v>151992901.71342963</c:v>
                </c:pt>
                <c:pt idx="48">
                  <c:v>166027038.90601709</c:v>
                </c:pt>
                <c:pt idx="49">
                  <c:v>180544657.37510523</c:v>
                </c:pt>
                <c:pt idx="50">
                  <c:v>195537701.13002139</c:v>
                </c:pt>
                <c:pt idx="51">
                  <c:v>210999510.82125905</c:v>
                </c:pt>
                <c:pt idx="52">
                  <c:v>226923798.50827047</c:v>
                </c:pt>
                <c:pt idx="53">
                  <c:v>243304609.17736328</c:v>
                </c:pt>
                <c:pt idx="54">
                  <c:v>260136288.70738816</c:v>
                </c:pt>
                <c:pt idx="55">
                  <c:v>277413457.296673</c:v>
                </c:pt>
                <c:pt idx="56">
                  <c:v>295130987.55534071</c:v>
                </c:pt>
                <c:pt idx="57">
                  <c:v>313283986.62346804</c:v>
                </c:pt>
                <c:pt idx="58">
                  <c:v>331867781.80486119</c:v>
                </c:pt>
                <c:pt idx="59">
                  <c:v>350878065.13838756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77-4E39-9421-AE59B532F6FF}"/>
            </c:ext>
          </c:extLst>
        </c:ser>
        <c:ser>
          <c:idx val="1"/>
          <c:order val="1"/>
          <c:tx>
            <c:strRef>
              <c:f>Visuals!$C$2</c:f>
              <c:strCache>
                <c:ptCount val="1"/>
                <c:pt idx="0">
                  <c:v>Channel 2</c:v>
                </c:pt>
              </c:strCache>
            </c:strRef>
          </c:tx>
          <c:spPr>
            <a:ln w="19080" cap="rnd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1D3443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Visuals!$A$3:$A$62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Visuals!$C$3:$C$62</c:f>
              <c:numCache>
                <c:formatCode>_-* #\ ##0.00_-;\-* #\ ##0.00_-;_-* \-??_-;_-@_-</c:formatCode>
                <c:ptCount val="60"/>
                <c:pt idx="0">
                  <c:v>87750</c:v>
                </c:pt>
                <c:pt idx="1">
                  <c:v>258643.125</c:v>
                </c:pt>
                <c:pt idx="2">
                  <c:v>509353.64999999979</c:v>
                </c:pt>
                <c:pt idx="3">
                  <c:v>925436.59649999964</c:v>
                </c:pt>
                <c:pt idx="4">
                  <c:v>1334058.2789624995</c:v>
                </c:pt>
                <c:pt idx="5">
                  <c:v>1816474.7055158429</c:v>
                </c:pt>
                <c:pt idx="6">
                  <c:v>2371268.9492782131</c:v>
                </c:pt>
                <c:pt idx="7">
                  <c:v>2997186.367109702</c:v>
                </c:pt>
                <c:pt idx="8">
                  <c:v>3693171.6702789925</c:v>
                </c:pt>
                <c:pt idx="9">
                  <c:v>4458360.2014998235</c:v>
                </c:pt>
                <c:pt idx="10">
                  <c:v>5292070.7911101822</c:v>
                </c:pt>
                <c:pt idx="11">
                  <c:v>6193971.5746122366</c:v>
                </c:pt>
                <c:pt idx="12">
                  <c:v>7246051.239102276</c:v>
                </c:pt>
                <c:pt idx="13">
                  <c:v>8375553.2680397835</c:v>
                </c:pt>
                <c:pt idx="14">
                  <c:v>9581954.1398161221</c:v>
                </c:pt>
                <c:pt idx="15">
                  <c:v>10864772.382076096</c:v>
                </c:pt>
                <c:pt idx="16">
                  <c:v>12223542.075752068</c:v>
                </c:pt>
                <c:pt idx="17">
                  <c:v>13657811.944228351</c:v>
                </c:pt>
                <c:pt idx="18">
                  <c:v>15167144.563625477</c:v>
                </c:pt>
                <c:pt idx="19">
                  <c:v>16751115.683067713</c:v>
                </c:pt>
                <c:pt idx="20">
                  <c:v>18409313.645477626</c:v>
                </c:pt>
                <c:pt idx="21">
                  <c:v>20141338.90093397</c:v>
                </c:pt>
                <c:pt idx="22">
                  <c:v>21946803.605964787</c:v>
                </c:pt>
                <c:pt idx="23">
                  <c:v>23825340.563322205</c:v>
                </c:pt>
                <c:pt idx="24">
                  <c:v>25933710.224677447</c:v>
                </c:pt>
                <c:pt idx="25">
                  <c:v>28125130.824525166</c:v>
                </c:pt>
                <c:pt idx="26">
                  <c:v>30399009.277499992</c:v>
                </c:pt>
                <c:pt idx="27">
                  <c:v>32754823.547406729</c:v>
                </c:pt>
                <c:pt idx="28">
                  <c:v>35192069.085037157</c:v>
                </c:pt>
                <c:pt idx="29">
                  <c:v>37710257.797978498</c:v>
                </c:pt>
                <c:pt idx="30">
                  <c:v>40308917.157486349</c:v>
                </c:pt>
                <c:pt idx="31">
                  <c:v>42987589.429819137</c:v>
                </c:pt>
                <c:pt idx="32">
                  <c:v>45745831.02133286</c:v>
                </c:pt>
                <c:pt idx="33">
                  <c:v>48583211.928323857</c:v>
                </c:pt>
                <c:pt idx="34">
                  <c:v>51499315.284118801</c:v>
                </c:pt>
                <c:pt idx="35">
                  <c:v>54493747.476473674</c:v>
                </c:pt>
                <c:pt idx="36">
                  <c:v>57804977.273718044</c:v>
                </c:pt>
                <c:pt idx="37">
                  <c:v>61205369.763910487</c:v>
                </c:pt>
                <c:pt idx="38">
                  <c:v>64694278.262841389</c:v>
                </c:pt>
                <c:pt idx="39">
                  <c:v>68271136.224521637</c:v>
                </c:pt>
                <c:pt idx="40">
                  <c:v>71935396.739964679</c:v>
                </c:pt>
                <c:pt idx="41">
                  <c:v>75686531.374099582</c:v>
                </c:pt>
                <c:pt idx="42">
                  <c:v>79524029.157504037</c:v>
                </c:pt>
                <c:pt idx="43">
                  <c:v>83447395.718721479</c:v>
                </c:pt>
                <c:pt idx="44">
                  <c:v>87456152.545074597</c:v>
                </c:pt>
                <c:pt idx="45">
                  <c:v>91549836.361795396</c:v>
                </c:pt>
                <c:pt idx="46">
                  <c:v>95727998.620999202</c:v>
                </c:pt>
                <c:pt idx="47">
                  <c:v>99990216.930473596</c:v>
                </c:pt>
                <c:pt idx="48">
                  <c:v>104664311.36264157</c:v>
                </c:pt>
                <c:pt idx="49">
                  <c:v>109434249.7800938</c:v>
                </c:pt>
                <c:pt idx="50">
                  <c:v>114299326.44985823</c:v>
                </c:pt>
                <c:pt idx="51">
                  <c:v>119258925.88976514</c:v>
                </c:pt>
                <c:pt idx="52">
                  <c:v>124312454.64448985</c:v>
                </c:pt>
                <c:pt idx="53">
                  <c:v>129459339.97457583</c:v>
                </c:pt>
                <c:pt idx="54">
                  <c:v>134699028.72003832</c:v>
                </c:pt>
                <c:pt idx="55">
                  <c:v>140030986.32249564</c:v>
                </c:pt>
                <c:pt idx="56">
                  <c:v>145454695.99219719</c:v>
                </c:pt>
                <c:pt idx="57">
                  <c:v>150969658.00846905</c:v>
                </c:pt>
                <c:pt idx="58">
                  <c:v>156575389.1440227</c:v>
                </c:pt>
                <c:pt idx="59">
                  <c:v>162271435.55326176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77-4E39-9421-AE59B532F6FF}"/>
            </c:ext>
          </c:extLst>
        </c:ser>
        <c:ser>
          <c:idx val="2"/>
          <c:order val="2"/>
          <c:tx>
            <c:strRef>
              <c:f>Visuals!$D$2</c:f>
              <c:strCache>
                <c:ptCount val="1"/>
                <c:pt idx="0">
                  <c:v>Channel 3</c:v>
                </c:pt>
              </c:strCache>
            </c:strRef>
          </c:tx>
          <c:spPr>
            <a:ln w="19080" cap="rnd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1D3443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Visuals!$A$3:$A$62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Visuals!$D$3:$D$62</c:f>
              <c:numCache>
                <c:formatCode>_-* #\ ##0.00_-;\-* #\ ##0.00_-;_-* \-??_-;_-@_-</c:formatCode>
                <c:ptCount val="60"/>
                <c:pt idx="0">
                  <c:v>44010</c:v>
                </c:pt>
                <c:pt idx="1">
                  <c:v>131809.95000000001</c:v>
                </c:pt>
                <c:pt idx="2">
                  <c:v>263233.44819000002</c:v>
                </c:pt>
                <c:pt idx="3">
                  <c:v>438171.43569952494</c:v>
                </c:pt>
                <c:pt idx="4">
                  <c:v>656523.82920314011</c:v>
                </c:pt>
                <c:pt idx="5">
                  <c:v>918203.79988885694</c:v>
                </c:pt>
                <c:pt idx="6">
                  <c:v>1223133.3581177481</c:v>
                </c:pt>
                <c:pt idx="7">
                  <c:v>1571247.6295084986</c:v>
                </c:pt>
                <c:pt idx="8">
                  <c:v>1962490.473933998</c:v>
                </c:pt>
                <c:pt idx="9">
                  <c:v>2396818.7628212115</c:v>
                </c:pt>
                <c:pt idx="10">
                  <c:v>2874198.0278145699</c:v>
                </c:pt>
                <c:pt idx="11">
                  <c:v>3394606.7434260198</c:v>
                </c:pt>
                <c:pt idx="12">
                  <c:v>3988504.7525054645</c:v>
                </c:pt>
                <c:pt idx="13">
                  <c:v>4629837.4874809869</c:v>
                </c:pt>
                <c:pt idx="14">
                  <c:v>5318573.6443808014</c:v>
                </c:pt>
                <c:pt idx="15">
                  <c:v>6054684.9410213865</c:v>
                </c:pt>
                <c:pt idx="16">
                  <c:v>6838143.5777136311</c:v>
                </c:pt>
                <c:pt idx="17">
                  <c:v>7668922.4619030384</c:v>
                </c:pt>
                <c:pt idx="18">
                  <c:v>8546994.9763587154</c:v>
                </c:pt>
                <c:pt idx="19">
                  <c:v>9472335.2036621831</c:v>
                </c:pt>
                <c:pt idx="20">
                  <c:v>10444917.696199067</c:v>
                </c:pt>
                <c:pt idx="21">
                  <c:v>11464717.700711705</c:v>
                </c:pt>
                <c:pt idx="22">
                  <c:v>12531710.929848362</c:v>
                </c:pt>
                <c:pt idx="23">
                  <c:v>13645873.786996724</c:v>
                </c:pt>
                <c:pt idx="24">
                  <c:v>14867795.486172589</c:v>
                </c:pt>
                <c:pt idx="25">
                  <c:v>16141730.396076797</c:v>
                </c:pt>
                <c:pt idx="26">
                  <c:v>17467644.145867739</c:v>
                </c:pt>
                <c:pt idx="27">
                  <c:v>18845505.696154475</c:v>
                </c:pt>
                <c:pt idx="28">
                  <c:v>20275284.539425299</c:v>
                </c:pt>
                <c:pt idx="29">
                  <c:v>21756950.947713584</c:v>
                </c:pt>
                <c:pt idx="30">
                  <c:v>23290475.717026196</c:v>
                </c:pt>
                <c:pt idx="31">
                  <c:v>24875830.414842434</c:v>
                </c:pt>
                <c:pt idx="32">
                  <c:v>26512987.126529906</c:v>
                </c:pt>
                <c:pt idx="33">
                  <c:v>28201918.702913817</c:v>
                </c:pt>
                <c:pt idx="34">
                  <c:v>29942598.508409999</c:v>
                </c:pt>
                <c:pt idx="35">
                  <c:v>31735000.668903902</c:v>
                </c:pt>
                <c:pt idx="36">
                  <c:v>33674112.713512011</c:v>
                </c:pt>
                <c:pt idx="37">
                  <c:v>35670273.351262487</c:v>
                </c:pt>
                <c:pt idx="38">
                  <c:v>37723444.836288296</c:v>
                </c:pt>
                <c:pt idx="39">
                  <c:v>39833593.095572785</c:v>
                </c:pt>
                <c:pt idx="40">
                  <c:v>42000684.642422177</c:v>
                </c:pt>
                <c:pt idx="41">
                  <c:v>44224686.849517249</c:v>
                </c:pt>
                <c:pt idx="42">
                  <c:v>46505567.667145662</c:v>
                </c:pt>
                <c:pt idx="43">
                  <c:v>48843295.896069594</c:v>
                </c:pt>
                <c:pt idx="44">
                  <c:v>51237840.907949269</c:v>
                </c:pt>
                <c:pt idx="45">
                  <c:v>53689172.918288141</c:v>
                </c:pt>
                <c:pt idx="46">
                  <c:v>56197262.708749615</c:v>
                </c:pt>
                <c:pt idx="47">
                  <c:v>58762081.900443621</c:v>
                </c:pt>
                <c:pt idx="48">
                  <c:v>61517774.464560896</c:v>
                </c:pt>
                <c:pt idx="49">
                  <c:v>64336054.191850163</c:v>
                </c:pt>
                <c:pt idx="50">
                  <c:v>67216879.621948391</c:v>
                </c:pt>
                <c:pt idx="51">
                  <c:v>70160213.343732893</c:v>
                </c:pt>
                <c:pt idx="52">
                  <c:v>73166018.592424735</c:v>
                </c:pt>
                <c:pt idx="53">
                  <c:v>76234259.550628304</c:v>
                </c:pt>
                <c:pt idx="54">
                  <c:v>79364901.037682429</c:v>
                </c:pt>
                <c:pt idx="55">
                  <c:v>82557908.81049706</c:v>
                </c:pt>
                <c:pt idx="56">
                  <c:v>85813249.255320191</c:v>
                </c:pt>
                <c:pt idx="57">
                  <c:v>89130889.688659966</c:v>
                </c:pt>
                <c:pt idx="58">
                  <c:v>92510798.051138937</c:v>
                </c:pt>
                <c:pt idx="59">
                  <c:v>95952943.208792537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77-4E39-9421-AE59B532F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3250"/>
        <c:axId val="28860802"/>
      </c:scatterChart>
      <c:valAx>
        <c:axId val="82483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0" strike="noStrike" spc="-1">
                    <a:solidFill>
                      <a:srgbClr val="002060"/>
                    </a:solidFill>
                    <a:latin typeface="Aptos Narrow"/>
                  </a:defRPr>
                </a:pPr>
                <a:r>
                  <a:rPr lang="en-ZA" sz="1000" b="0" strike="noStrike" spc="-1">
                    <a:solidFill>
                      <a:srgbClr val="002060"/>
                    </a:solidFill>
                    <a:latin typeface="Aptos Narrow"/>
                  </a:rPr>
                  <a:t>Month Numbers</a:t>
                </a:r>
              </a:p>
            </c:rich>
          </c:tx>
          <c:layout>
            <c:manualLayout>
              <c:xMode val="edge"/>
              <c:yMode val="edge"/>
              <c:x val="0.45767092176364599"/>
              <c:y val="0.821717990275527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B7D0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2060"/>
                </a:solidFill>
                <a:latin typeface="Aptos Narrow"/>
              </a:defRPr>
            </a:pPr>
            <a:endParaRPr lang="en-US"/>
          </a:p>
        </c:txPr>
        <c:crossAx val="28860802"/>
        <c:crosses val="autoZero"/>
        <c:crossBetween val="midCat"/>
      </c:valAx>
      <c:valAx>
        <c:axId val="28860802"/>
        <c:scaling>
          <c:orientation val="minMax"/>
        </c:scaling>
        <c:delete val="0"/>
        <c:axPos val="l"/>
        <c:majorGridlines>
          <c:spPr>
            <a:ln w="9360">
              <a:solidFill>
                <a:srgbClr val="D4E3EC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Cashflow</a:t>
                </a:r>
              </a:p>
            </c:rich>
          </c:tx>
          <c:overlay val="0"/>
        </c:title>
        <c:numFmt formatCode="[$R-1C09]#,##0" sourceLinked="0"/>
        <c:majorTickMark val="out"/>
        <c:minorTickMark val="none"/>
        <c:tickLblPos val="nextTo"/>
        <c:spPr>
          <a:ln w="9360">
            <a:solidFill>
              <a:srgbClr val="A3D3D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2060"/>
                </a:solidFill>
                <a:latin typeface="Aptos Narrow"/>
              </a:defRPr>
            </a:pPr>
            <a:endParaRPr lang="en-US"/>
          </a:p>
        </c:txPr>
        <c:crossAx val="8248325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206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4E3E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ZA" sz="1400" b="0" strike="noStrike" spc="-1">
                <a:solidFill>
                  <a:srgbClr val="002060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002060"/>
                </a:solidFill>
                <a:latin typeface="Aptos Narrow"/>
              </a:rPr>
              <a:t>Cummulative Net Cash Flow</a:t>
            </a:r>
          </a:p>
        </c:rich>
      </c:tx>
      <c:layout>
        <c:manualLayout>
          <c:xMode val="edge"/>
          <c:yMode val="edge"/>
          <c:x val="0.29391178651470085"/>
          <c:y val="2.058787493622260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Visuals!$E$2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diamond"/>
            <c:size val="4"/>
          </c:marker>
          <c:xVal>
            <c:numRef>
              <c:f>Visuals!$A$3:$A$62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Visuals!$E$3:$E$62</c:f>
              <c:numCache>
                <c:formatCode>_-* #\ ##0.00_-;\-* #\ ##0.00_-;_-* \-??_-;_-@_-</c:formatCode>
                <c:ptCount val="60"/>
                <c:pt idx="0">
                  <c:v>-7489440.0000000009</c:v>
                </c:pt>
                <c:pt idx="1">
                  <c:v>-14197880.925000003</c:v>
                </c:pt>
                <c:pt idx="2">
                  <c:v>-20181140.181810003</c:v>
                </c:pt>
                <c:pt idx="3">
                  <c:v>-25386867.547400478</c:v>
                </c:pt>
                <c:pt idx="4">
                  <c:v>-30016429.039654363</c:v>
                </c:pt>
                <c:pt idx="5">
                  <c:v>-34012965.052167408</c:v>
                </c:pt>
                <c:pt idx="6">
                  <c:v>-37398606.627799064</c:v>
                </c:pt>
                <c:pt idx="7">
                  <c:v>-40192007.630195081</c:v>
                </c:pt>
                <c:pt idx="8">
                  <c:v>-42408617.468794018</c:v>
                </c:pt>
                <c:pt idx="9">
                  <c:v>-44060933.797090799</c:v>
                </c:pt>
                <c:pt idx="10">
                  <c:v>-45158712.349858776</c:v>
                </c:pt>
                <c:pt idx="11">
                  <c:v>-45706736.164494157</c:v>
                </c:pt>
                <c:pt idx="12">
                  <c:v>-46073864.24054011</c:v>
                </c:pt>
                <c:pt idx="13">
                  <c:v>-45830498.103719816</c:v>
                </c:pt>
                <c:pt idx="14">
                  <c:v>-44984452.643388949</c:v>
                </c:pt>
                <c:pt idx="15">
                  <c:v>-43542442.997124687</c:v>
                </c:pt>
                <c:pt idx="16">
                  <c:v>-41510878.754899688</c:v>
                </c:pt>
                <c:pt idx="17">
                  <c:v>-38895893.484823018</c:v>
                </c:pt>
                <c:pt idx="18">
                  <c:v>-35703369.781535134</c:v>
                </c:pt>
                <c:pt idx="19">
                  <c:v>-31938959.671830181</c:v>
                </c:pt>
                <c:pt idx="20">
                  <c:v>-27608101.891655497</c:v>
                </c:pt>
                <c:pt idx="21">
                  <c:v>-22716035.610643201</c:v>
                </c:pt>
                <c:pt idx="22">
                  <c:v>-17267811.899114978</c:v>
                </c:pt>
                <c:pt idx="23">
                  <c:v>-11268176.798494192</c:v>
                </c:pt>
                <c:pt idx="24">
                  <c:v>-4773527.2656922806</c:v>
                </c:pt>
                <c:pt idx="25">
                  <c:v>2337763.2712994982</c:v>
                </c:pt>
                <c:pt idx="26">
                  <c:v>10057601.516688101</c:v>
                </c:pt>
                <c:pt idx="27">
                  <c:v>18379125.957006332</c:v>
                </c:pt>
                <c:pt idx="28">
                  <c:v>27295806.954468381</c:v>
                </c:pt>
                <c:pt idx="29">
                  <c:v>36801414.222144939</c:v>
                </c:pt>
                <c:pt idx="30">
                  <c:v>46889989.238408878</c:v>
                </c:pt>
                <c:pt idx="31">
                  <c:v>57555822.78271538</c:v>
                </c:pt>
                <c:pt idx="32">
                  <c:v>68793435.923095271</c:v>
                </c:pt>
                <c:pt idx="33">
                  <c:v>80597564.922424227</c:v>
                </c:pt>
                <c:pt idx="34">
                  <c:v>92963148.635606825</c:v>
                </c:pt>
                <c:pt idx="35">
                  <c:v>105885457.73592514</c:v>
                </c:pt>
                <c:pt idx="36">
                  <c:v>119635236.03671777</c:v>
                </c:pt>
                <c:pt idx="37">
                  <c:v>134012056.7904641</c:v>
                </c:pt>
                <c:pt idx="38">
                  <c:v>149007505.55210125</c:v>
                </c:pt>
                <c:pt idx="39">
                  <c:v>164614522.7122854</c:v>
                </c:pt>
                <c:pt idx="40">
                  <c:v>180826409.95151266</c:v>
                </c:pt>
                <c:pt idx="41">
                  <c:v>197636794.4038052</c:v>
                </c:pt>
                <c:pt idx="42">
                  <c:v>215039598.26915324</c:v>
                </c:pt>
                <c:pt idx="43">
                  <c:v>233029014.0751029</c:v>
                </c:pt>
                <c:pt idx="44">
                  <c:v>251599483.74644685</c:v>
                </c:pt>
                <c:pt idx="45">
                  <c:v>270745681.99771631</c:v>
                </c:pt>
                <c:pt idx="46">
                  <c:v>290462502.47405869</c:v>
                </c:pt>
                <c:pt idx="47">
                  <c:v>310745200.54434687</c:v>
                </c:pt>
                <c:pt idx="48">
                  <c:v>332209124.7332195</c:v>
                </c:pt>
                <c:pt idx="49">
                  <c:v>354314961.34704924</c:v>
                </c:pt>
                <c:pt idx="50">
                  <c:v>377053907.201828</c:v>
                </c:pt>
                <c:pt idx="51">
                  <c:v>400418650.05475706</c:v>
                </c:pt>
                <c:pt idx="52">
                  <c:v>424402271.74518508</c:v>
                </c:pt>
                <c:pt idx="53">
                  <c:v>448998208.7025674</c:v>
                </c:pt>
                <c:pt idx="54">
                  <c:v>474200218.46510887</c:v>
                </c:pt>
                <c:pt idx="55">
                  <c:v>500002352.42966568</c:v>
                </c:pt>
                <c:pt idx="56">
                  <c:v>526398932.80285811</c:v>
                </c:pt>
                <c:pt idx="57">
                  <c:v>553384534.32059705</c:v>
                </c:pt>
                <c:pt idx="58">
                  <c:v>580953969.00002289</c:v>
                </c:pt>
                <c:pt idx="59">
                  <c:v>609102443.90044188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71F4-457F-9643-FD1E4ABB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3250"/>
        <c:axId val="28860802"/>
      </c:scatterChart>
      <c:valAx>
        <c:axId val="82483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B7D0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2060"/>
                </a:solidFill>
                <a:latin typeface="Aptos Narrow"/>
              </a:defRPr>
            </a:pPr>
            <a:endParaRPr lang="en-US"/>
          </a:p>
        </c:txPr>
        <c:crossAx val="28860802"/>
        <c:crosses val="autoZero"/>
        <c:crossBetween val="midCat"/>
      </c:valAx>
      <c:valAx>
        <c:axId val="28860802"/>
        <c:scaling>
          <c:orientation val="minMax"/>
        </c:scaling>
        <c:delete val="0"/>
        <c:axPos val="l"/>
        <c:majorGridlines>
          <c:spPr>
            <a:ln w="9360">
              <a:solidFill>
                <a:srgbClr val="D4E3EC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Cash Flow</a:t>
                </a:r>
                <a:r>
                  <a:rPr lang="en-US" baseline="0"/>
                  <a:t> </a:t>
                </a:r>
                <a:r>
                  <a:rPr lang="en-US"/>
                  <a:t>(Millions)</a:t>
                </a:r>
              </a:p>
            </c:rich>
          </c:tx>
          <c:layout>
            <c:manualLayout>
              <c:xMode val="edge"/>
              <c:yMode val="edge"/>
              <c:x val="2.3559767310940141E-2"/>
              <c:y val="0.36962529830500074"/>
            </c:manualLayout>
          </c:layout>
          <c:overlay val="0"/>
        </c:title>
        <c:numFmt formatCode="[$R-1C09]#,##0" sourceLinked="0"/>
        <c:majorTickMark val="out"/>
        <c:minorTickMark val="none"/>
        <c:tickLblPos val="nextTo"/>
        <c:spPr>
          <a:ln w="9360">
            <a:solidFill>
              <a:srgbClr val="A3D3DC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2060"/>
                </a:solidFill>
                <a:latin typeface="Aptos Narrow"/>
              </a:defRPr>
            </a:pPr>
            <a:endParaRPr lang="en-US"/>
          </a:p>
        </c:txPr>
        <c:crossAx val="82483250"/>
        <c:crosses val="autoZero"/>
        <c:crossBetween val="midCat"/>
        <c:dispUnits>
          <c:builtInUnit val="millions"/>
        </c:dispUnits>
      </c:valAx>
      <c:spPr>
        <a:noFill/>
        <a:ln w="0">
          <a:noFill/>
        </a:ln>
      </c:spPr>
    </c:plotArea>
    <c:plotVisOnly val="1"/>
    <c:dispBlanksAs val="span"/>
    <c:showDLblsOverMax val="1"/>
  </c:chart>
  <c:spPr>
    <a:solidFill>
      <a:srgbClr val="FFFFFF"/>
    </a:solidFill>
    <a:ln w="9360">
      <a:solidFill>
        <a:srgbClr val="D4E3EC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vs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Visuals!$U$2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1D3443"/>
            </a:solidFill>
            <a:ln>
              <a:noFill/>
            </a:ln>
            <a:effectLst/>
          </c:spPr>
          <c:invertIfNegative val="0"/>
          <c:val>
            <c:numRef>
              <c:f>Visuals!$U$3:$U$7</c:f>
              <c:numCache>
                <c:formatCode>[$R-1C09]#\ ##0.00</c:formatCode>
                <c:ptCount val="5"/>
                <c:pt idx="0">
                  <c:v>200550157.12678835</c:v>
                </c:pt>
                <c:pt idx="1">
                  <c:v>539911459.72757244</c:v>
                </c:pt>
                <c:pt idx="2">
                  <c:v>896461354.3209976</c:v>
                </c:pt>
                <c:pt idx="3">
                  <c:v>1278508112.0790324</c:v>
                </c:pt>
                <c:pt idx="4">
                  <c:v>1689601033.8800778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E-4C19-B1CE-1ADBD4523822}"/>
            </c:ext>
          </c:extLst>
        </c:ser>
        <c:ser>
          <c:idx val="2"/>
          <c:order val="1"/>
          <c:tx>
            <c:strRef>
              <c:f>Visuals!$V$2</c:f>
              <c:strCache>
                <c:ptCount val="1"/>
                <c:pt idx="0">
                  <c:v>Net Profit/loss</c:v>
                </c:pt>
              </c:strCache>
            </c:strRef>
          </c:tx>
          <c:spPr>
            <a:solidFill>
              <a:srgbClr val="66B6C3"/>
            </a:solidFill>
            <a:ln w="28575">
              <a:solidFill>
                <a:srgbClr val="66B6C3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1.7969451931716084E-3"/>
                  <c:y val="2.69353707024245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C7-41D9-8313-F3477F12909D}"/>
                </c:ext>
              </c:extLst>
            </c:dLbl>
            <c:dLbl>
              <c:idx val="1"/>
              <c:layout>
                <c:manualLayout>
                  <c:x val="3.5938903863432167E-3"/>
                  <c:y val="1.9263740547283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C7-41D9-8313-F3477F12909D}"/>
                </c:ext>
              </c:extLst>
            </c:dLbl>
            <c:dLbl>
              <c:idx val="2"/>
              <c:layout>
                <c:manualLayout>
                  <c:x val="3.5938903863432167E-3"/>
                  <c:y val="5.44280034302642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C7-41D9-8313-F3477F12909D}"/>
                </c:ext>
              </c:extLst>
            </c:dLbl>
            <c:dLbl>
              <c:idx val="3"/>
              <c:layout>
                <c:manualLayout>
                  <c:x val="3.5938903863432167E-3"/>
                  <c:y val="6.74739221953691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2C7-41D9-8313-F3477F12909D}"/>
                </c:ext>
              </c:extLst>
            </c:dLbl>
            <c:dLbl>
              <c:idx val="4"/>
              <c:layout>
                <c:manualLayout>
                  <c:x val="5.3908355795148251E-3"/>
                  <c:y val="7.91486707725890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C7-41D9-8313-F3477F1290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D344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Visuals!$V$3:$V$7</c:f>
              <c:numCache>
                <c:formatCode>[$R-1C09]\ #\ ##0.00;[Red][$R-1C09]\-#\ ##0.00</c:formatCode>
                <c:ptCount val="5"/>
                <c:pt idx="0">
                  <c:v>-45706736.164494157</c:v>
                </c:pt>
                <c:pt idx="1">
                  <c:v>34438559.365999967</c:v>
                </c:pt>
                <c:pt idx="2">
                  <c:v>117153634.53441933</c:v>
                </c:pt>
                <c:pt idx="3">
                  <c:v>204859742.8084217</c:v>
                </c:pt>
                <c:pt idx="4">
                  <c:v>298357243.35609502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1E-4C19-B1CE-1ADBD452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065672"/>
        <c:axId val="1142071816"/>
      </c:barChart>
      <c:catAx>
        <c:axId val="114206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71816"/>
        <c:crosses val="autoZero"/>
        <c:auto val="1"/>
        <c:lblAlgn val="ctr"/>
        <c:lblOffset val="100"/>
        <c:noMultiLvlLbl val="0"/>
      </c:catAx>
      <c:valAx>
        <c:axId val="11420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6567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vs Net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Visuals!$U$2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rgbClr val="1D3443"/>
            </a:solidFill>
            <a:ln>
              <a:noFill/>
            </a:ln>
            <a:effectLst/>
          </c:spPr>
          <c:invertIfNegative val="0"/>
          <c:val>
            <c:numRef>
              <c:f>Visuals!$U$3:$U$7</c:f>
              <c:numCache>
                <c:formatCode>[$R-1C09]#\ ##0.00</c:formatCode>
                <c:ptCount val="5"/>
                <c:pt idx="0">
                  <c:v>200550157.12678835</c:v>
                </c:pt>
                <c:pt idx="1">
                  <c:v>539911459.72757244</c:v>
                </c:pt>
                <c:pt idx="2">
                  <c:v>896461354.3209976</c:v>
                </c:pt>
                <c:pt idx="3">
                  <c:v>1278508112.0790324</c:v>
                </c:pt>
                <c:pt idx="4">
                  <c:v>1689601033.8800778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9-464E-8A87-7183F50BC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065672"/>
        <c:axId val="1142071816"/>
      </c:barChart>
      <c:lineChart>
        <c:grouping val="standard"/>
        <c:varyColors val="0"/>
        <c:ser>
          <c:idx val="2"/>
          <c:order val="1"/>
          <c:tx>
            <c:strRef>
              <c:f>Visuals!$V$2</c:f>
              <c:strCache>
                <c:ptCount val="1"/>
                <c:pt idx="0">
                  <c:v>Net Profit/loss</c:v>
                </c:pt>
              </c:strCache>
            </c:strRef>
          </c:tx>
          <c:spPr>
            <a:ln w="28575" cap="rnd">
              <a:solidFill>
                <a:srgbClr val="66B6C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4486774058903E-2"/>
                  <c:y val="-3.1830669681141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F9-464E-8A87-7183F50BCB83}"/>
                </c:ext>
              </c:extLst>
            </c:dLbl>
            <c:dLbl>
              <c:idx val="1"/>
              <c:layout>
                <c:manualLayout>
                  <c:x val="-2.4442840871306246E-2"/>
                  <c:y val="-2.7831917049972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F9-464E-8A87-7183F50BCB83}"/>
                </c:ext>
              </c:extLst>
            </c:dLbl>
            <c:dLbl>
              <c:idx val="2"/>
              <c:layout>
                <c:manualLayout>
                  <c:x val="-4.1837411832954842E-2"/>
                  <c:y val="-2.5593513682076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F9-464E-8A87-7183F50BCB83}"/>
                </c:ext>
              </c:extLst>
            </c:dLbl>
            <c:dLbl>
              <c:idx val="3"/>
              <c:layout>
                <c:manualLayout>
                  <c:x val="-2.3694915494053809E-2"/>
                  <c:y val="-4.6040695408123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F9-464E-8A87-7183F50BCB83}"/>
                </c:ext>
              </c:extLst>
            </c:dLbl>
            <c:dLbl>
              <c:idx val="4"/>
              <c:layout>
                <c:manualLayout>
                  <c:x val="-4.351125920580682E-2"/>
                  <c:y val="-5.95016761518671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F9-464E-8A87-7183F50BC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D344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Visuals!$V$3:$V$7</c:f>
              <c:numCache>
                <c:formatCode>[$R-1C09]\ #\ ##0.00;[Red][$R-1C09]\-#\ ##0.00</c:formatCode>
                <c:ptCount val="5"/>
                <c:pt idx="0">
                  <c:v>-45706736.164494157</c:v>
                </c:pt>
                <c:pt idx="1">
                  <c:v>34438559.365999967</c:v>
                </c:pt>
                <c:pt idx="2">
                  <c:v>117153634.53441933</c:v>
                </c:pt>
                <c:pt idx="3">
                  <c:v>204859742.8084217</c:v>
                </c:pt>
                <c:pt idx="4">
                  <c:v>298357243.35609502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F9-464E-8A87-7183F50BC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293376"/>
        <c:axId val="508286176"/>
      </c:lineChart>
      <c:catAx>
        <c:axId val="114206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71816"/>
        <c:crosses val="autoZero"/>
        <c:auto val="1"/>
        <c:lblAlgn val="ctr"/>
        <c:lblOffset val="100"/>
        <c:noMultiLvlLbl val="0"/>
      </c:catAx>
      <c:valAx>
        <c:axId val="114207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</a:t>
                </a:r>
                <a:r>
                  <a:rPr lang="en-US"/>
                  <a:t>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65672"/>
        <c:crosses val="autoZero"/>
        <c:crossBetween val="between"/>
        <c:dispUnits>
          <c:builtInUnit val="millions"/>
        </c:dispUnits>
      </c:valAx>
      <c:valAx>
        <c:axId val="5082861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Profit</a:t>
                </a:r>
                <a:r>
                  <a:rPr lang="en-ZA" baseline="0"/>
                  <a:t> (Millions)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-1C09]#,##0;[Red]\-[$R-1C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93376"/>
        <c:crosses val="max"/>
        <c:crossBetween val="between"/>
        <c:dispUnits>
          <c:builtInUnit val="millions"/>
        </c:dispUnits>
      </c:valAx>
      <c:catAx>
        <c:axId val="508293376"/>
        <c:scaling>
          <c:orientation val="minMax"/>
        </c:scaling>
        <c:delete val="1"/>
        <c:axPos val="b"/>
        <c:majorTickMark val="out"/>
        <c:minorTickMark val="none"/>
        <c:tickLblPos val="nextTo"/>
        <c:crossAx val="5082861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558570</xdr:colOff>
      <xdr:row>23</xdr:row>
      <xdr:rowOff>173535</xdr:rowOff>
    </xdr:from>
    <xdr:to>
      <xdr:col>13</xdr:col>
      <xdr:colOff>482850</xdr:colOff>
      <xdr:row>42</xdr:row>
      <xdr:rowOff>107655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612775</xdr:colOff>
      <xdr:row>0</xdr:row>
      <xdr:rowOff>196850</xdr:rowOff>
    </xdr:from>
    <xdr:to>
      <xdr:col>13</xdr:col>
      <xdr:colOff>537055</xdr:colOff>
      <xdr:row>19</xdr:row>
      <xdr:rowOff>83345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698837-9FB0-47D6-942E-1FB231001CAA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228600</xdr:colOff>
      <xdr:row>8</xdr:row>
      <xdr:rowOff>38100</xdr:rowOff>
    </xdr:from>
    <xdr:to>
      <xdr:col>22</xdr:col>
      <xdr:colOff>476250</xdr:colOff>
      <xdr:row>25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B858E6-4653-DA43-BE10-D4B5DF4506B1}"/>
            </a:ext>
            <a:ext uri="{147F2762-F138-4A5C-976F-8EAC2B608ADB}">
              <a16:predDERef xmlns:a16="http://schemas.microsoft.com/office/drawing/2014/main" pred="{6F698837-9FB0-47D6-942E-1FB231001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35</xdr:col>
      <xdr:colOff>222250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BC72B4-2324-490C-A614-C9DB9928DF67}"/>
            </a:ext>
            <a:ext uri="{147F2762-F138-4A5C-976F-8EAC2B608ADB}">
              <a16:predDERef xmlns:a16="http://schemas.microsoft.com/office/drawing/2014/main" pred="{6F698837-9FB0-47D6-942E-1FB231001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rgbClr val="1D3443"/>
      </a:dk1>
      <a:lt1>
        <a:srgbClr val="FFFFFF"/>
      </a:lt1>
      <a:dk2>
        <a:srgbClr val="56646D"/>
      </a:dk2>
      <a:lt2>
        <a:srgbClr val="C0C5C9"/>
      </a:lt2>
      <a:accent1>
        <a:srgbClr val="66B6C3"/>
      </a:accent1>
      <a:accent2>
        <a:srgbClr val="A3D3DC"/>
      </a:accent2>
      <a:accent3>
        <a:srgbClr val="E0F0F3"/>
      </a:accent3>
      <a:accent4>
        <a:srgbClr val="FFFFFF"/>
      </a:accent4>
      <a:accent5>
        <a:srgbClr val="F7F7F7"/>
      </a:accent5>
      <a:accent6>
        <a:srgbClr val="0000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opLeftCell="A6" zoomScale="120" zoomScaleNormal="120" workbookViewId="0">
      <selection activeCell="B5" sqref="B5"/>
    </sheetView>
  </sheetViews>
  <sheetFormatPr defaultColWidth="8.88671875" defaultRowHeight="14.4" x14ac:dyDescent="0.3"/>
  <cols>
    <col min="1" max="1" width="27.6640625" style="1" bestFit="1" customWidth="1"/>
    <col min="2" max="2" width="39.5546875" style="2" customWidth="1"/>
    <col min="3" max="3" width="36.33203125" style="2" customWidth="1"/>
    <col min="4" max="4" width="37.33203125" style="2" customWidth="1"/>
    <col min="5" max="5" width="37.6640625" style="2" customWidth="1"/>
    <col min="6" max="16383" width="8.88671875" style="2"/>
    <col min="16384" max="16384" width="12.88671875" style="2" customWidth="1"/>
  </cols>
  <sheetData>
    <row r="1" spans="1:5" s="3" customFormat="1" x14ac:dyDescent="0.3">
      <c r="A1" s="8"/>
      <c r="B1" s="8" t="s">
        <v>0</v>
      </c>
      <c r="C1" s="8" t="s">
        <v>1</v>
      </c>
      <c r="D1" s="8" t="s">
        <v>2</v>
      </c>
      <c r="E1" s="45" t="s">
        <v>3</v>
      </c>
    </row>
    <row r="2" spans="1:5" x14ac:dyDescent="0.3">
      <c r="A2" s="8" t="s">
        <v>4</v>
      </c>
      <c r="B2" s="60">
        <v>600</v>
      </c>
      <c r="C2" s="60">
        <v>600</v>
      </c>
      <c r="D2" s="61">
        <v>300</v>
      </c>
      <c r="E2" s="43" t="s">
        <v>5</v>
      </c>
    </row>
    <row r="3" spans="1:5" x14ac:dyDescent="0.3">
      <c r="A3" s="8" t="s">
        <v>6</v>
      </c>
      <c r="B3" s="40">
        <v>0.05</v>
      </c>
      <c r="C3" s="40">
        <v>0.05</v>
      </c>
      <c r="D3" s="40">
        <v>0.05</v>
      </c>
      <c r="E3" s="43"/>
    </row>
    <row r="4" spans="1:5" x14ac:dyDescent="0.3">
      <c r="A4" s="8" t="s">
        <v>7</v>
      </c>
      <c r="B4" s="39">
        <v>6000</v>
      </c>
      <c r="C4" s="39">
        <v>1500</v>
      </c>
      <c r="D4" s="44">
        <v>1000</v>
      </c>
      <c r="E4" s="43" t="s">
        <v>5</v>
      </c>
    </row>
    <row r="5" spans="1:5" x14ac:dyDescent="0.3">
      <c r="A5" s="45" t="s">
        <v>8</v>
      </c>
      <c r="B5" s="40">
        <v>0.05</v>
      </c>
      <c r="C5" s="40">
        <v>0.05</v>
      </c>
      <c r="D5" s="40">
        <v>0.05</v>
      </c>
      <c r="E5" s="46"/>
    </row>
    <row r="6" spans="1:5" ht="86.4" x14ac:dyDescent="0.3">
      <c r="A6" s="45" t="s">
        <v>9</v>
      </c>
      <c r="B6" s="51" t="s">
        <v>10</v>
      </c>
      <c r="C6" s="49" t="s">
        <v>11</v>
      </c>
      <c r="D6" s="50" t="s">
        <v>12</v>
      </c>
      <c r="E6" s="46"/>
    </row>
    <row r="7" spans="1:5" x14ac:dyDescent="0.3">
      <c r="A7" s="47" t="s">
        <v>13</v>
      </c>
      <c r="B7" s="48">
        <v>0.25</v>
      </c>
      <c r="C7" s="48">
        <v>0.25</v>
      </c>
      <c r="D7" s="48">
        <v>0.25</v>
      </c>
      <c r="E7" s="43" t="s">
        <v>14</v>
      </c>
    </row>
    <row r="8" spans="1:5" x14ac:dyDescent="0.3">
      <c r="A8" s="47" t="s">
        <v>15</v>
      </c>
      <c r="B8" s="48">
        <v>0.4</v>
      </c>
      <c r="C8" s="48">
        <v>0.4</v>
      </c>
      <c r="D8" s="48">
        <v>0.4</v>
      </c>
      <c r="E8" s="43"/>
    </row>
    <row r="9" spans="1:5" x14ac:dyDescent="0.3">
      <c r="A9" s="28"/>
      <c r="B9" s="5"/>
      <c r="C9" s="5"/>
      <c r="D9" s="5"/>
    </row>
    <row r="10" spans="1:5" x14ac:dyDescent="0.3">
      <c r="A10" s="28"/>
      <c r="B10" s="5"/>
      <c r="C10" s="5"/>
      <c r="D10" s="5"/>
    </row>
    <row r="11" spans="1:5" x14ac:dyDescent="0.3">
      <c r="A11" s="47" t="s">
        <v>16</v>
      </c>
      <c r="B11" s="98" t="s">
        <v>17</v>
      </c>
      <c r="C11" s="99"/>
      <c r="D11" s="100"/>
    </row>
    <row r="12" spans="1:5" x14ac:dyDescent="0.3">
      <c r="A12" s="4" t="s">
        <v>18</v>
      </c>
      <c r="B12" s="41">
        <v>0.42</v>
      </c>
      <c r="C12" s="41">
        <v>0.22</v>
      </c>
      <c r="D12" s="41">
        <v>2.1999999999999999E-2</v>
      </c>
    </row>
    <row r="13" spans="1:5" x14ac:dyDescent="0.3">
      <c r="A13" s="4" t="s">
        <v>19</v>
      </c>
      <c r="B13" s="41">
        <v>0.105</v>
      </c>
      <c r="C13" s="41">
        <v>5.2499999999999998E-2</v>
      </c>
      <c r="D13" s="41">
        <v>5.0000000000000001E-3</v>
      </c>
    </row>
    <row r="14" spans="1:5" x14ac:dyDescent="0.3">
      <c r="A14" s="4" t="s">
        <v>20</v>
      </c>
      <c r="B14" s="41">
        <v>0.08</v>
      </c>
      <c r="C14" s="41">
        <v>0.04</v>
      </c>
      <c r="D14" s="41">
        <v>3.8E-3</v>
      </c>
    </row>
    <row r="15" spans="1:5" x14ac:dyDescent="0.3">
      <c r="A15" s="4" t="s">
        <v>21</v>
      </c>
      <c r="B15" s="41">
        <v>5.5E-2</v>
      </c>
      <c r="C15" s="41">
        <v>2.75E-2</v>
      </c>
      <c r="D15" s="41">
        <v>2.5000000000000001E-3</v>
      </c>
    </row>
    <row r="16" spans="1:5" x14ac:dyDescent="0.3">
      <c r="A16" s="4" t="s">
        <v>22</v>
      </c>
      <c r="B16" s="42">
        <v>0.05</v>
      </c>
      <c r="C16" s="41">
        <v>2.5000000000000001E-2</v>
      </c>
      <c r="D16" s="41">
        <v>2.3E-3</v>
      </c>
    </row>
    <row r="17" spans="1:4" x14ac:dyDescent="0.3">
      <c r="A17" s="4" t="s">
        <v>23</v>
      </c>
      <c r="B17" s="42">
        <v>4.4999999999999998E-2</v>
      </c>
      <c r="C17" s="41">
        <v>2.2499999999999999E-2</v>
      </c>
      <c r="D17" s="41">
        <v>2E-3</v>
      </c>
    </row>
    <row r="18" spans="1:4" x14ac:dyDescent="0.3">
      <c r="A18" s="4" t="s">
        <v>24</v>
      </c>
      <c r="B18" s="42">
        <v>0.04</v>
      </c>
      <c r="C18" s="41">
        <v>0.02</v>
      </c>
      <c r="D18" s="41">
        <v>1.8E-3</v>
      </c>
    </row>
    <row r="19" spans="1:4" x14ac:dyDescent="0.3">
      <c r="A19" s="4" t="s">
        <v>25</v>
      </c>
      <c r="B19" s="42">
        <v>3.5000000000000003E-2</v>
      </c>
      <c r="C19" s="41">
        <v>1.7500000000000002E-2</v>
      </c>
      <c r="D19" s="41">
        <v>1.5E-3</v>
      </c>
    </row>
    <row r="20" spans="1:4" x14ac:dyDescent="0.3">
      <c r="A20" s="4" t="s">
        <v>26</v>
      </c>
      <c r="B20" s="42">
        <v>0.03</v>
      </c>
      <c r="C20" s="41">
        <v>1.4999999999999999E-2</v>
      </c>
      <c r="D20" s="41">
        <v>1.2999999999999999E-3</v>
      </c>
    </row>
    <row r="21" spans="1:4" x14ac:dyDescent="0.3">
      <c r="A21" s="4" t="s">
        <v>27</v>
      </c>
      <c r="B21" s="42">
        <v>2.5000000000000001E-2</v>
      </c>
      <c r="C21" s="41">
        <v>1.2500000000000001E-2</v>
      </c>
      <c r="D21" s="41">
        <v>1E-3</v>
      </c>
    </row>
    <row r="22" spans="1:4" x14ac:dyDescent="0.3">
      <c r="A22" s="4" t="s">
        <v>28</v>
      </c>
      <c r="B22" s="42">
        <v>0.02</v>
      </c>
      <c r="C22" s="41">
        <v>0.01</v>
      </c>
      <c r="D22" s="41">
        <v>8.0000000000000004E-4</v>
      </c>
    </row>
    <row r="23" spans="1:4" x14ac:dyDescent="0.3">
      <c r="A23" s="4" t="s">
        <v>29</v>
      </c>
      <c r="B23" s="42">
        <v>0.01</v>
      </c>
      <c r="C23" s="41">
        <v>5.0000000000000001E-3</v>
      </c>
      <c r="D23" s="41">
        <v>5.0000000000000001E-4</v>
      </c>
    </row>
    <row r="24" spans="1:4" x14ac:dyDescent="0.3">
      <c r="A24" s="4" t="s">
        <v>30</v>
      </c>
      <c r="B24" s="42">
        <v>0.01</v>
      </c>
      <c r="C24" s="41">
        <v>5.0000000000000001E-3</v>
      </c>
      <c r="D24" s="41">
        <v>5.0000000000000001E-4</v>
      </c>
    </row>
    <row r="25" spans="1:4" x14ac:dyDescent="0.3">
      <c r="A25" s="4" t="s">
        <v>31</v>
      </c>
      <c r="B25" s="42">
        <v>0.01</v>
      </c>
      <c r="C25" s="41">
        <v>5.0000000000000001E-3</v>
      </c>
      <c r="D25" s="41">
        <v>5.0000000000000001E-4</v>
      </c>
    </row>
    <row r="26" spans="1:4" x14ac:dyDescent="0.3">
      <c r="A26" s="4" t="s">
        <v>32</v>
      </c>
      <c r="B26" s="42">
        <v>0.01</v>
      </c>
      <c r="C26" s="41">
        <v>5.0000000000000001E-3</v>
      </c>
      <c r="D26" s="41">
        <v>5.0000000000000001E-4</v>
      </c>
    </row>
    <row r="27" spans="1:4" x14ac:dyDescent="0.3">
      <c r="A27" s="4" t="s">
        <v>33</v>
      </c>
      <c r="B27" s="42">
        <v>0.01</v>
      </c>
      <c r="C27" s="41">
        <v>5.0000000000000001E-3</v>
      </c>
      <c r="D27" s="41">
        <v>5.0000000000000001E-4</v>
      </c>
    </row>
    <row r="28" spans="1:4" x14ac:dyDescent="0.3">
      <c r="A28" s="4" t="s">
        <v>34</v>
      </c>
      <c r="B28" s="42">
        <v>0.01</v>
      </c>
      <c r="C28" s="41">
        <v>5.0000000000000001E-3</v>
      </c>
      <c r="D28" s="41">
        <v>5.0000000000000001E-4</v>
      </c>
    </row>
    <row r="29" spans="1:4" x14ac:dyDescent="0.3">
      <c r="A29" s="4" t="s">
        <v>35</v>
      </c>
      <c r="B29" s="42">
        <v>0.01</v>
      </c>
      <c r="C29" s="41">
        <v>5.0000000000000001E-3</v>
      </c>
      <c r="D29" s="41">
        <v>5.0000000000000001E-4</v>
      </c>
    </row>
    <row r="30" spans="1:4" x14ac:dyDescent="0.3">
      <c r="A30" s="4" t="s">
        <v>36</v>
      </c>
      <c r="B30" s="42">
        <v>0.01</v>
      </c>
      <c r="C30" s="41">
        <v>5.0000000000000001E-3</v>
      </c>
      <c r="D30" s="41">
        <v>5.0000000000000001E-4</v>
      </c>
    </row>
    <row r="31" spans="1:4" x14ac:dyDescent="0.3">
      <c r="A31" s="4" t="s">
        <v>37</v>
      </c>
      <c r="B31" s="42">
        <v>0.01</v>
      </c>
      <c r="C31" s="41">
        <v>5.0000000000000001E-3</v>
      </c>
      <c r="D31" s="41">
        <v>5.0000000000000001E-4</v>
      </c>
    </row>
    <row r="32" spans="1:4" x14ac:dyDescent="0.3">
      <c r="A32" s="4" t="s">
        <v>38</v>
      </c>
      <c r="B32" s="42">
        <v>0.01</v>
      </c>
      <c r="C32" s="41">
        <v>5.0000000000000001E-3</v>
      </c>
      <c r="D32" s="41">
        <v>5.0000000000000001E-4</v>
      </c>
    </row>
    <row r="33" spans="1:4" x14ac:dyDescent="0.3">
      <c r="A33" s="4" t="s">
        <v>39</v>
      </c>
      <c r="B33" s="42">
        <v>0.01</v>
      </c>
      <c r="C33" s="41">
        <v>5.0000000000000001E-3</v>
      </c>
      <c r="D33" s="41">
        <v>5.0000000000000001E-4</v>
      </c>
    </row>
    <row r="34" spans="1:4" x14ac:dyDescent="0.3">
      <c r="A34" s="4" t="s">
        <v>40</v>
      </c>
      <c r="B34" s="42">
        <v>0.01</v>
      </c>
      <c r="C34" s="41">
        <v>5.0000000000000001E-3</v>
      </c>
      <c r="D34" s="41">
        <v>5.0000000000000001E-4</v>
      </c>
    </row>
    <row r="35" spans="1:4" x14ac:dyDescent="0.3">
      <c r="A35" s="4" t="s">
        <v>41</v>
      </c>
      <c r="B35" s="42">
        <v>0.01</v>
      </c>
      <c r="C35" s="41">
        <v>5.0000000000000001E-3</v>
      </c>
      <c r="D35" s="41">
        <v>5.0000000000000001E-4</v>
      </c>
    </row>
    <row r="36" spans="1:4" x14ac:dyDescent="0.3">
      <c r="A36" s="4" t="s">
        <v>42</v>
      </c>
      <c r="B36" s="42">
        <v>0.01</v>
      </c>
      <c r="C36" s="41">
        <v>5.0000000000000001E-3</v>
      </c>
      <c r="D36" s="41">
        <v>5.0000000000000001E-4</v>
      </c>
    </row>
    <row r="37" spans="1:4" x14ac:dyDescent="0.3">
      <c r="A37" s="4" t="s">
        <v>43</v>
      </c>
      <c r="B37" s="42">
        <v>0.01</v>
      </c>
      <c r="C37" s="41">
        <v>5.0000000000000001E-3</v>
      </c>
      <c r="D37" s="41">
        <v>5.0000000000000001E-4</v>
      </c>
    </row>
    <row r="38" spans="1:4" x14ac:dyDescent="0.3">
      <c r="A38" s="4" t="s">
        <v>44</v>
      </c>
      <c r="B38" s="42">
        <v>0.01</v>
      </c>
      <c r="C38" s="41">
        <v>5.0000000000000001E-3</v>
      </c>
      <c r="D38" s="41">
        <v>5.0000000000000001E-4</v>
      </c>
    </row>
    <row r="39" spans="1:4" x14ac:dyDescent="0.3">
      <c r="A39" s="4" t="s">
        <v>45</v>
      </c>
      <c r="B39" s="42">
        <v>0.01</v>
      </c>
      <c r="C39" s="41">
        <v>5.0000000000000001E-3</v>
      </c>
      <c r="D39" s="41">
        <v>5.0000000000000001E-4</v>
      </c>
    </row>
    <row r="40" spans="1:4" x14ac:dyDescent="0.3">
      <c r="A40" s="4" t="s">
        <v>46</v>
      </c>
      <c r="B40" s="42">
        <v>0.01</v>
      </c>
      <c r="C40" s="41">
        <v>5.0000000000000001E-3</v>
      </c>
      <c r="D40" s="41">
        <v>5.0000000000000001E-4</v>
      </c>
    </row>
    <row r="41" spans="1:4" x14ac:dyDescent="0.3">
      <c r="A41" s="4" t="s">
        <v>47</v>
      </c>
      <c r="B41" s="42">
        <v>0.01</v>
      </c>
      <c r="C41" s="41">
        <v>5.0000000000000001E-3</v>
      </c>
      <c r="D41" s="41">
        <v>5.0000000000000001E-4</v>
      </c>
    </row>
    <row r="42" spans="1:4" x14ac:dyDescent="0.3">
      <c r="A42" s="4" t="s">
        <v>48</v>
      </c>
      <c r="B42" s="42">
        <v>0.01</v>
      </c>
      <c r="C42" s="41">
        <v>5.0000000000000001E-3</v>
      </c>
      <c r="D42" s="41">
        <v>5.0000000000000001E-4</v>
      </c>
    </row>
    <row r="43" spans="1:4" x14ac:dyDescent="0.3">
      <c r="A43" s="4" t="s">
        <v>49</v>
      </c>
      <c r="B43" s="42">
        <v>0.01</v>
      </c>
      <c r="C43" s="41">
        <v>5.0000000000000001E-3</v>
      </c>
      <c r="D43" s="41">
        <v>5.0000000000000001E-4</v>
      </c>
    </row>
    <row r="44" spans="1:4" x14ac:dyDescent="0.3">
      <c r="A44" s="4" t="s">
        <v>50</v>
      </c>
      <c r="B44" s="42">
        <v>0.01</v>
      </c>
      <c r="C44" s="41">
        <v>5.0000000000000001E-3</v>
      </c>
      <c r="D44" s="41">
        <v>5.0000000000000001E-4</v>
      </c>
    </row>
    <row r="45" spans="1:4" x14ac:dyDescent="0.3">
      <c r="A45" s="4" t="s">
        <v>51</v>
      </c>
      <c r="B45" s="42">
        <v>0.01</v>
      </c>
      <c r="C45" s="41">
        <v>5.0000000000000001E-3</v>
      </c>
      <c r="D45" s="41">
        <v>5.0000000000000001E-4</v>
      </c>
    </row>
    <row r="46" spans="1:4" x14ac:dyDescent="0.3">
      <c r="A46" s="4" t="s">
        <v>52</v>
      </c>
      <c r="B46" s="42">
        <v>0.01</v>
      </c>
      <c r="C46" s="41">
        <v>5.0000000000000001E-3</v>
      </c>
      <c r="D46" s="41">
        <v>5.0000000000000001E-4</v>
      </c>
    </row>
    <row r="47" spans="1:4" x14ac:dyDescent="0.3">
      <c r="A47" s="4" t="s">
        <v>53</v>
      </c>
      <c r="B47" s="42">
        <v>0.01</v>
      </c>
      <c r="C47" s="41">
        <v>5.0000000000000001E-3</v>
      </c>
      <c r="D47" s="41">
        <v>5.0000000000000001E-4</v>
      </c>
    </row>
    <row r="48" spans="1:4" x14ac:dyDescent="0.3">
      <c r="A48" s="4" t="s">
        <v>54</v>
      </c>
      <c r="B48" s="42">
        <v>0.01</v>
      </c>
      <c r="C48" s="41">
        <v>5.0000000000000001E-3</v>
      </c>
      <c r="D48" s="41">
        <v>5.0000000000000001E-4</v>
      </c>
    </row>
    <row r="49" spans="1:4" x14ac:dyDescent="0.3">
      <c r="A49" s="4" t="s">
        <v>55</v>
      </c>
      <c r="B49" s="42">
        <v>0.01</v>
      </c>
      <c r="C49" s="41">
        <v>5.0000000000000001E-3</v>
      </c>
      <c r="D49" s="41">
        <v>5.0000000000000001E-4</v>
      </c>
    </row>
    <row r="50" spans="1:4" x14ac:dyDescent="0.3">
      <c r="A50" s="4" t="s">
        <v>56</v>
      </c>
      <c r="B50" s="42">
        <v>0.01</v>
      </c>
      <c r="C50" s="41">
        <v>5.0000000000000001E-3</v>
      </c>
      <c r="D50" s="41">
        <v>5.0000000000000001E-4</v>
      </c>
    </row>
    <row r="51" spans="1:4" x14ac:dyDescent="0.3">
      <c r="A51" s="4" t="s">
        <v>57</v>
      </c>
      <c r="B51" s="42">
        <v>0.01</v>
      </c>
      <c r="C51" s="41">
        <v>5.0000000000000001E-3</v>
      </c>
      <c r="D51" s="41">
        <v>5.0000000000000001E-4</v>
      </c>
    </row>
    <row r="52" spans="1:4" x14ac:dyDescent="0.3">
      <c r="A52" s="4" t="s">
        <v>58</v>
      </c>
      <c r="B52" s="42">
        <v>0.01</v>
      </c>
      <c r="C52" s="41">
        <v>5.0000000000000001E-3</v>
      </c>
      <c r="D52" s="41">
        <v>5.0000000000000001E-4</v>
      </c>
    </row>
    <row r="53" spans="1:4" x14ac:dyDescent="0.3">
      <c r="A53" s="4" t="s">
        <v>59</v>
      </c>
      <c r="B53" s="42">
        <v>0.01</v>
      </c>
      <c r="C53" s="41">
        <v>5.0000000000000001E-3</v>
      </c>
      <c r="D53" s="41">
        <v>5.0000000000000001E-4</v>
      </c>
    </row>
    <row r="54" spans="1:4" x14ac:dyDescent="0.3">
      <c r="A54" s="4" t="s">
        <v>60</v>
      </c>
      <c r="B54" s="42">
        <v>0.01</v>
      </c>
      <c r="C54" s="41">
        <v>5.0000000000000001E-3</v>
      </c>
      <c r="D54" s="41">
        <v>5.0000000000000001E-4</v>
      </c>
    </row>
    <row r="55" spans="1:4" x14ac:dyDescent="0.3">
      <c r="A55" s="4" t="s">
        <v>61</v>
      </c>
      <c r="B55" s="42">
        <v>0.01</v>
      </c>
      <c r="C55" s="41">
        <v>5.0000000000000001E-3</v>
      </c>
      <c r="D55" s="41">
        <v>5.0000000000000001E-4</v>
      </c>
    </row>
    <row r="56" spans="1:4" x14ac:dyDescent="0.3">
      <c r="A56" s="4" t="s">
        <v>62</v>
      </c>
      <c r="B56" s="42">
        <v>0.01</v>
      </c>
      <c r="C56" s="41">
        <v>5.0000000000000001E-3</v>
      </c>
      <c r="D56" s="41">
        <v>5.0000000000000001E-4</v>
      </c>
    </row>
    <row r="57" spans="1:4" x14ac:dyDescent="0.3">
      <c r="A57" s="4" t="s">
        <v>63</v>
      </c>
      <c r="B57" s="42">
        <v>0.01</v>
      </c>
      <c r="C57" s="41">
        <v>5.0000000000000001E-3</v>
      </c>
      <c r="D57" s="41">
        <v>5.0000000000000001E-4</v>
      </c>
    </row>
    <row r="58" spans="1:4" x14ac:dyDescent="0.3">
      <c r="A58" s="4" t="s">
        <v>64</v>
      </c>
      <c r="B58" s="42">
        <v>0.01</v>
      </c>
      <c r="C58" s="41">
        <v>5.0000000000000001E-3</v>
      </c>
      <c r="D58" s="41">
        <v>5.0000000000000001E-4</v>
      </c>
    </row>
    <row r="59" spans="1:4" x14ac:dyDescent="0.3">
      <c r="A59" s="4" t="s">
        <v>65</v>
      </c>
      <c r="B59" s="42">
        <v>0.01</v>
      </c>
      <c r="C59" s="41">
        <v>5.0000000000000001E-3</v>
      </c>
      <c r="D59" s="41">
        <v>5.0000000000000001E-4</v>
      </c>
    </row>
    <row r="60" spans="1:4" x14ac:dyDescent="0.3">
      <c r="A60" s="4" t="s">
        <v>66</v>
      </c>
      <c r="B60" s="42">
        <v>0.01</v>
      </c>
      <c r="C60" s="41">
        <v>5.0000000000000001E-3</v>
      </c>
      <c r="D60" s="41">
        <v>5.0000000000000001E-4</v>
      </c>
    </row>
    <row r="61" spans="1:4" x14ac:dyDescent="0.3">
      <c r="A61" s="4" t="s">
        <v>67</v>
      </c>
      <c r="B61" s="42">
        <v>0.01</v>
      </c>
      <c r="C61" s="41">
        <v>5.0000000000000001E-3</v>
      </c>
      <c r="D61" s="41">
        <v>5.0000000000000001E-4</v>
      </c>
    </row>
    <row r="62" spans="1:4" x14ac:dyDescent="0.3">
      <c r="A62" s="4" t="s">
        <v>68</v>
      </c>
      <c r="B62" s="42">
        <v>0.01</v>
      </c>
      <c r="C62" s="41">
        <v>5.0000000000000001E-3</v>
      </c>
      <c r="D62" s="41">
        <v>5.0000000000000001E-4</v>
      </c>
    </row>
    <row r="63" spans="1:4" x14ac:dyDescent="0.3">
      <c r="A63" s="4" t="s">
        <v>69</v>
      </c>
      <c r="B63" s="42">
        <v>0.01</v>
      </c>
      <c r="C63" s="41">
        <v>5.0000000000000001E-3</v>
      </c>
      <c r="D63" s="41">
        <v>5.0000000000000001E-4</v>
      </c>
    </row>
    <row r="64" spans="1:4" x14ac:dyDescent="0.3">
      <c r="A64" s="4" t="s">
        <v>70</v>
      </c>
      <c r="B64" s="42">
        <v>0.01</v>
      </c>
      <c r="C64" s="41">
        <v>5.0000000000000001E-3</v>
      </c>
      <c r="D64" s="41">
        <v>5.0000000000000001E-4</v>
      </c>
    </row>
    <row r="65" spans="1:4" x14ac:dyDescent="0.3">
      <c r="A65" s="4" t="s">
        <v>71</v>
      </c>
      <c r="B65" s="42">
        <v>0.01</v>
      </c>
      <c r="C65" s="41">
        <v>5.0000000000000001E-3</v>
      </c>
      <c r="D65" s="41">
        <v>5.0000000000000001E-4</v>
      </c>
    </row>
    <row r="66" spans="1:4" x14ac:dyDescent="0.3">
      <c r="A66" s="4" t="s">
        <v>72</v>
      </c>
      <c r="B66" s="42">
        <v>0.01</v>
      </c>
      <c r="C66" s="41">
        <v>5.0000000000000001E-3</v>
      </c>
      <c r="D66" s="41">
        <v>5.0000000000000001E-4</v>
      </c>
    </row>
    <row r="67" spans="1:4" x14ac:dyDescent="0.3">
      <c r="A67" s="4" t="s">
        <v>73</v>
      </c>
      <c r="B67" s="42">
        <v>0.01</v>
      </c>
      <c r="C67" s="41">
        <v>5.0000000000000001E-3</v>
      </c>
      <c r="D67" s="41">
        <v>5.0000000000000001E-4</v>
      </c>
    </row>
    <row r="68" spans="1:4" x14ac:dyDescent="0.3">
      <c r="A68" s="4" t="s">
        <v>74</v>
      </c>
      <c r="B68" s="42">
        <v>0.01</v>
      </c>
      <c r="C68" s="41">
        <v>5.0000000000000001E-3</v>
      </c>
      <c r="D68" s="41">
        <v>5.0000000000000001E-4</v>
      </c>
    </row>
    <row r="69" spans="1:4" x14ac:dyDescent="0.3">
      <c r="A69" s="4" t="s">
        <v>75</v>
      </c>
      <c r="B69" s="42">
        <v>0.01</v>
      </c>
      <c r="C69" s="41">
        <v>5.0000000000000001E-3</v>
      </c>
      <c r="D69" s="41">
        <v>5.0000000000000001E-4</v>
      </c>
    </row>
    <row r="70" spans="1:4" x14ac:dyDescent="0.3">
      <c r="A70" s="4" t="s">
        <v>76</v>
      </c>
      <c r="B70" s="42">
        <v>0.01</v>
      </c>
      <c r="C70" s="41">
        <v>5.0000000000000001E-3</v>
      </c>
      <c r="D70" s="41">
        <v>5.0000000000000001E-4</v>
      </c>
    </row>
    <row r="71" spans="1:4" x14ac:dyDescent="0.3">
      <c r="A71" s="4" t="s">
        <v>77</v>
      </c>
      <c r="B71" s="42">
        <v>0.01</v>
      </c>
      <c r="C71" s="41">
        <v>5.0000000000000001E-3</v>
      </c>
      <c r="D71" s="41">
        <v>5.0000000000000001E-4</v>
      </c>
    </row>
    <row r="72" spans="1:4" x14ac:dyDescent="0.3">
      <c r="A72" s="4" t="s">
        <v>78</v>
      </c>
      <c r="B72" s="42">
        <v>0.01</v>
      </c>
      <c r="C72" s="41">
        <v>5.0000000000000001E-3</v>
      </c>
      <c r="D72" s="41">
        <v>5.0000000000000001E-4</v>
      </c>
    </row>
  </sheetData>
  <mergeCells count="1">
    <mergeCell ref="B11:D11"/>
  </mergeCells>
  <conditionalFormatting sqref="A1:A8">
    <cfRule type="cellIs" dxfId="30" priority="2" operator="lessThan">
      <formula>0</formula>
    </cfRule>
  </conditionalFormatting>
  <conditionalFormatting sqref="A11:B11">
    <cfRule type="cellIs" dxfId="29" priority="1" operator="lessThan">
      <formula>0</formula>
    </cfRule>
  </conditionalFormatting>
  <conditionalFormatting sqref="B1:E1">
    <cfRule type="cellIs" dxfId="28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8"/>
  <sheetViews>
    <sheetView showGridLines="0" topLeftCell="A13" zoomScale="120" zoomScaleNormal="120" workbookViewId="0">
      <selection activeCell="A11" sqref="A11:XFD12"/>
    </sheetView>
  </sheetViews>
  <sheetFormatPr defaultColWidth="8.5546875" defaultRowHeight="14.4" x14ac:dyDescent="0.3"/>
  <cols>
    <col min="1" max="1" width="4.6640625" style="5" customWidth="1"/>
    <col min="2" max="2" width="17.44140625" style="5" customWidth="1"/>
    <col min="3" max="3" width="17.6640625" style="5" customWidth="1"/>
    <col min="4" max="4" width="16.88671875" style="5" customWidth="1"/>
    <col min="5" max="5" width="17.44140625" style="5" customWidth="1"/>
    <col min="6" max="6" width="15.6640625" style="5" customWidth="1"/>
    <col min="7" max="8" width="9.109375" style="5" customWidth="1"/>
    <col min="9" max="9" width="14.88671875" style="5" customWidth="1"/>
    <col min="10" max="10" width="18.44140625" style="5" customWidth="1"/>
    <col min="11" max="11" width="17.33203125" style="5" customWidth="1"/>
    <col min="12" max="12" width="17.5546875" style="5" customWidth="1"/>
    <col min="13" max="14" width="15.88671875" style="5" customWidth="1"/>
    <col min="15" max="15" width="9.109375" style="5" customWidth="1"/>
    <col min="16" max="19" width="16.6640625" style="5" customWidth="1"/>
    <col min="20" max="22" width="17.44140625" style="5" customWidth="1"/>
    <col min="23" max="31" width="9.109375" style="5" customWidth="1"/>
  </cols>
  <sheetData>
    <row r="1" spans="1:11" ht="15.6" hidden="1" x14ac:dyDescent="0.3">
      <c r="A1" s="101"/>
      <c r="B1" s="101"/>
      <c r="C1" s="101"/>
      <c r="D1" s="6"/>
      <c r="E1" s="6"/>
      <c r="F1" s="6"/>
      <c r="G1" s="6"/>
      <c r="H1" s="6"/>
      <c r="I1" s="6"/>
      <c r="J1" s="6"/>
      <c r="K1" s="6"/>
    </row>
    <row r="2" spans="1:11" hidden="1" x14ac:dyDescent="0.3">
      <c r="A2" s="7"/>
      <c r="B2" s="7"/>
    </row>
    <row r="3" spans="1:11" hidden="1" x14ac:dyDescent="0.3">
      <c r="A3" s="7"/>
      <c r="B3" s="7"/>
    </row>
    <row r="4" spans="1:11" hidden="1" x14ac:dyDescent="0.3">
      <c r="A4" s="7"/>
      <c r="B4" s="7"/>
    </row>
    <row r="5" spans="1:11" hidden="1" x14ac:dyDescent="0.3"/>
    <row r="6" spans="1:11" hidden="1" x14ac:dyDescent="0.3"/>
    <row r="7" spans="1:11" ht="15.6" hidden="1" x14ac:dyDescent="0.3">
      <c r="A7" s="101"/>
      <c r="B7" s="101"/>
      <c r="C7" s="101"/>
    </row>
    <row r="8" spans="1:11" hidden="1" x14ac:dyDescent="0.3"/>
    <row r="9" spans="1:11" hidden="1" x14ac:dyDescent="0.3"/>
    <row r="10" spans="1:11" hidden="1" x14ac:dyDescent="0.3"/>
    <row r="11" spans="1:11" hidden="1" x14ac:dyDescent="0.3"/>
    <row r="12" spans="1:11" hidden="1" x14ac:dyDescent="0.3"/>
    <row r="14" spans="1:11" ht="18" x14ac:dyDescent="0.35">
      <c r="A14" s="105" t="s">
        <v>79</v>
      </c>
      <c r="B14" s="105"/>
      <c r="C14" s="105"/>
      <c r="D14" s="105"/>
      <c r="E14" s="105"/>
      <c r="F14" s="105"/>
    </row>
    <row r="15" spans="1:11" x14ac:dyDescent="0.3">
      <c r="A15" s="8" t="s">
        <v>80</v>
      </c>
      <c r="B15" s="8" t="s">
        <v>81</v>
      </c>
      <c r="C15" s="8" t="s">
        <v>82</v>
      </c>
      <c r="D15" s="8" t="s">
        <v>83</v>
      </c>
      <c r="E15" s="8" t="s">
        <v>84</v>
      </c>
      <c r="F15" s="8" t="s">
        <v>85</v>
      </c>
    </row>
    <row r="16" spans="1:11" x14ac:dyDescent="0.3">
      <c r="A16" s="8">
        <v>1</v>
      </c>
      <c r="B16" s="9">
        <f t="shared" ref="B16:F20" ca="1" si="0">+B28+B36+B44</f>
        <v>200550157.12678835</v>
      </c>
      <c r="C16" s="9">
        <f t="shared" ca="1" si="0"/>
        <v>-115899291.15887007</v>
      </c>
      <c r="D16" s="9">
        <f t="shared" ca="1" si="0"/>
        <v>-80220062.850715324</v>
      </c>
      <c r="E16" s="9">
        <f t="shared" ca="1" si="0"/>
        <v>-50137539.281697087</v>
      </c>
      <c r="F16" s="9">
        <f t="shared" ca="1" si="0"/>
        <v>-45706736.164494157</v>
      </c>
    </row>
    <row r="17" spans="1:6" x14ac:dyDescent="0.3">
      <c r="A17" s="8">
        <f>+A16+1</f>
        <v>2</v>
      </c>
      <c r="B17" s="10">
        <f t="shared" ca="1" si="0"/>
        <v>539911459.72757244</v>
      </c>
      <c r="C17" s="10">
        <f t="shared" ca="1" si="0"/>
        <v>-154530451.53865033</v>
      </c>
      <c r="D17" s="10">
        <f t="shared" ca="1" si="0"/>
        <v>-215964583.89102897</v>
      </c>
      <c r="E17" s="10">
        <f t="shared" ca="1" si="0"/>
        <v>-134977864.93189311</v>
      </c>
      <c r="F17" s="10">
        <f t="shared" ca="1" si="0"/>
        <v>34438559.365999967</v>
      </c>
    </row>
    <row r="18" spans="1:6" x14ac:dyDescent="0.3">
      <c r="A18" s="8">
        <f>+A17+1</f>
        <v>3</v>
      </c>
      <c r="B18" s="10">
        <f t="shared" ca="1" si="0"/>
        <v>896461354.3209976</v>
      </c>
      <c r="C18" s="10">
        <f t="shared" ca="1" si="0"/>
        <v>-196607839.4779298</v>
      </c>
      <c r="D18" s="10">
        <f t="shared" ca="1" si="0"/>
        <v>-358584541.7283991</v>
      </c>
      <c r="E18" s="10">
        <f t="shared" ca="1" si="0"/>
        <v>-224115338.5802494</v>
      </c>
      <c r="F18" s="10">
        <f t="shared" ca="1" si="0"/>
        <v>117153634.53441933</v>
      </c>
    </row>
    <row r="19" spans="1:6" x14ac:dyDescent="0.3">
      <c r="A19" s="8">
        <f>+A18+1</f>
        <v>4</v>
      </c>
      <c r="B19" s="10">
        <f t="shared" ca="1" si="0"/>
        <v>1278508112.0790324</v>
      </c>
      <c r="C19" s="10">
        <f t="shared" ca="1" si="0"/>
        <v>-242618096.4192397</v>
      </c>
      <c r="D19" s="10">
        <f t="shared" ca="1" si="0"/>
        <v>-511403244.83161306</v>
      </c>
      <c r="E19" s="10">
        <f t="shared" ca="1" si="0"/>
        <v>-319627028.01975811</v>
      </c>
      <c r="F19" s="10">
        <f t="shared" ca="1" si="0"/>
        <v>204859742.8084217</v>
      </c>
    </row>
    <row r="20" spans="1:6" x14ac:dyDescent="0.3">
      <c r="A20" s="8">
        <f>+A19+1</f>
        <v>5</v>
      </c>
      <c r="B20" s="11">
        <f t="shared" ca="1" si="0"/>
        <v>1689601033.8800778</v>
      </c>
      <c r="C20" s="11">
        <f t="shared" ca="1" si="0"/>
        <v>-293003118.5019322</v>
      </c>
      <c r="D20" s="11">
        <f t="shared" ca="1" si="0"/>
        <v>-675840413.55203116</v>
      </c>
      <c r="E20" s="11">
        <f t="shared" ca="1" si="0"/>
        <v>-422400258.47001946</v>
      </c>
      <c r="F20" s="11">
        <f t="shared" ca="1" si="0"/>
        <v>298357243.35609502</v>
      </c>
    </row>
    <row r="26" spans="1:6" ht="18" x14ac:dyDescent="0.35">
      <c r="A26" s="105" t="s">
        <v>0</v>
      </c>
      <c r="B26" s="105"/>
      <c r="C26" s="105"/>
      <c r="D26" s="105"/>
      <c r="E26" s="105"/>
      <c r="F26" s="105"/>
    </row>
    <row r="27" spans="1:6" x14ac:dyDescent="0.3">
      <c r="A27" s="8" t="s">
        <v>80</v>
      </c>
      <c r="B27" s="45" t="s">
        <v>81</v>
      </c>
      <c r="C27" s="45" t="s">
        <v>82</v>
      </c>
      <c r="D27" s="45" t="s">
        <v>83</v>
      </c>
      <c r="E27" s="45" t="s">
        <v>84</v>
      </c>
      <c r="F27" s="45" t="s">
        <v>85</v>
      </c>
    </row>
    <row r="28" spans="1:6" x14ac:dyDescent="0.3">
      <c r="A28" s="71">
        <v>1</v>
      </c>
      <c r="B28" s="89">
        <f ca="1">+SUM(OFFSET('Channel 1_calculations'!$E$6,(ROW($A28)-28)*12,0,12,1))</f>
        <v>128367672.9070503</v>
      </c>
      <c r="C28" s="89">
        <f ca="1">+SUM(OFFSET('Channel 1_calculations'!$F$6,(ROW($A28)-28)*12,0,12,1))</f>
        <v>-100224000.00000001</v>
      </c>
      <c r="D28" s="89">
        <f ca="1">+SUM(OFFSET('Channel 1_calculations'!$H$6,(ROW($A28)-28)*12,0,12,1))</f>
        <v>-51347069.162820116</v>
      </c>
      <c r="E28" s="89">
        <f ca="1">+SUM(OFFSET('Channel 1_calculations'!$G$6,(ROW($A28)-28)*12,0,12,1))</f>
        <v>-32091918.226762574</v>
      </c>
      <c r="F28" s="89">
        <f ca="1">+SUM(OFFSET('Channel 1_calculations'!$I$6,(ROW($A28)-28)*12,0,12,1))</f>
        <v>-55295314.482532412</v>
      </c>
    </row>
    <row r="29" spans="1:6" x14ac:dyDescent="0.3">
      <c r="A29" s="71">
        <f>+A28+1</f>
        <v>2</v>
      </c>
      <c r="B29" s="89">
        <f ca="1">+SUM(OFFSET('Channel 1_calculations'!$E$6,(ROW($A29)-28)*12,0,12,1))</f>
        <v>334436809.52491236</v>
      </c>
      <c r="C29" s="89">
        <f ca="1">+SUM(OFFSET('Channel 1_calculations'!$F$6,(ROW($A29)-28)*12,0,12,1))</f>
        <v>-110496960.00000001</v>
      </c>
      <c r="D29" s="89">
        <f ca="1">+SUM(OFFSET('Channel 1_calculations'!$H$6,(ROW($A29)-28)*12,0,12,1))</f>
        <v>-133774723.80996495</v>
      </c>
      <c r="E29" s="89">
        <f ca="1">+SUM(OFFSET('Channel 1_calculations'!$G$6,(ROW($A29)-28)*12,0,12,1))</f>
        <v>-83609202.381228089</v>
      </c>
      <c r="F29" s="89">
        <f ca="1">+SUM(OFFSET('Channel 1_calculations'!$I$6,(ROW($A29)-28)*12,0,12,1))</f>
        <v>6555923.3337192954</v>
      </c>
    </row>
    <row r="30" spans="1:6" x14ac:dyDescent="0.3">
      <c r="A30" s="71">
        <f>+A29+1</f>
        <v>3</v>
      </c>
      <c r="B30" s="89">
        <f ca="1">+SUM(OFFSET('Channel 1_calculations'!$E$6,(ROW($A30)-28)*12,0,12,1))</f>
        <v>543482854.68388772</v>
      </c>
      <c r="C30" s="89">
        <f ca="1">+SUM(OFFSET('Channel 1_calculations'!$F$6,(ROW($A30)-28)*12,0,12,1))</f>
        <v>-121822898.40000002</v>
      </c>
      <c r="D30" s="89">
        <f ca="1">+SUM(OFFSET('Channel 1_calculations'!$H$6,(ROW($A30)-28)*12,0,12,1))</f>
        <v>-217393141.87355512</v>
      </c>
      <c r="E30" s="89">
        <f ca="1">+SUM(OFFSET('Channel 1_calculations'!$G$6,(ROW($A30)-28)*12,0,12,1))</f>
        <v>-135870713.67097193</v>
      </c>
      <c r="F30" s="89">
        <f ca="1">+SUM(OFFSET('Channel 1_calculations'!$I$6,(ROW($A30)-28)*12,0,12,1))</f>
        <v>68396100.739360675</v>
      </c>
    </row>
    <row r="31" spans="1:6" x14ac:dyDescent="0.3">
      <c r="A31" s="71">
        <f>+A30+1</f>
        <v>4</v>
      </c>
      <c r="B31" s="89">
        <f ca="1">+SUM(OFFSET('Channel 1_calculations'!$E$6,(ROW($A31)-28)*12,0,12,1))</f>
        <v>761845536.02537727</v>
      </c>
      <c r="C31" s="89">
        <f ca="1">+SUM(OFFSET('Channel 1_calculations'!$F$6,(ROW($A31)-28)*12,0,12,1))</f>
        <v>-134309745.48600003</v>
      </c>
      <c r="D31" s="89">
        <f ca="1">+SUM(OFFSET('Channel 1_calculations'!$H$6,(ROW($A31)-28)*12,0,12,1))</f>
        <v>-304738214.41015095</v>
      </c>
      <c r="E31" s="89">
        <f ca="1">+SUM(OFFSET('Channel 1_calculations'!$G$6,(ROW($A31)-28)*12,0,12,1))</f>
        <v>-190461384.00634432</v>
      </c>
      <c r="F31" s="89">
        <f ca="1">+SUM(OFFSET('Channel 1_calculations'!$I$6,(ROW($A31)-28)*12,0,12,1))</f>
        <v>132336192.12288205</v>
      </c>
    </row>
    <row r="32" spans="1:6" x14ac:dyDescent="0.3">
      <c r="A32" s="71">
        <f>+A31+1</f>
        <v>5</v>
      </c>
      <c r="B32" s="89">
        <f ca="1">+SUM(OFFSET('Channel 1_calculations'!$E$6,(ROW($A32)-28)*12,0,12,1))</f>
        <v>991319022.3522085</v>
      </c>
      <c r="C32" s="89">
        <f ca="1">+SUM(OFFSET('Channel 1_calculations'!$F$6,(ROW($A32)-28)*12,0,12,1))</f>
        <v>-148076494.39831498</v>
      </c>
      <c r="D32" s="89">
        <f ca="1">+SUM(OFFSET('Channel 1_calculations'!$H$6,(ROW($A32)-28)*12,0,12,1))</f>
        <v>-396527608.9408834</v>
      </c>
      <c r="E32" s="89">
        <f ca="1">+SUM(OFFSET('Channel 1_calculations'!$G$6,(ROW($A32)-28)*12,0,12,1))</f>
        <v>-247829755.58805212</v>
      </c>
      <c r="F32" s="89">
        <f ca="1">+SUM(OFFSET('Channel 1_calculations'!$I$6,(ROW($A32)-28)*12,0,12,1))</f>
        <v>198885163.42495799</v>
      </c>
    </row>
    <row r="33" spans="1:22" hidden="1" x14ac:dyDescent="0.3">
      <c r="J33" s="13"/>
      <c r="K33" s="13"/>
      <c r="L33" s="13"/>
      <c r="M33" s="13"/>
      <c r="N33" s="13"/>
      <c r="R33" s="13"/>
      <c r="S33" s="13"/>
      <c r="T33" s="13"/>
      <c r="U33" s="13"/>
      <c r="V33" s="13"/>
    </row>
    <row r="34" spans="1:22" ht="18" x14ac:dyDescent="0.35">
      <c r="A34" s="105" t="s">
        <v>1</v>
      </c>
      <c r="B34" s="105"/>
      <c r="C34" s="105"/>
      <c r="D34" s="105"/>
      <c r="E34" s="105"/>
      <c r="F34" s="105"/>
    </row>
    <row r="35" spans="1:22" x14ac:dyDescent="0.3">
      <c r="A35" s="8" t="s">
        <v>80</v>
      </c>
      <c r="B35" s="8" t="s">
        <v>81</v>
      </c>
      <c r="C35" s="8" t="s">
        <v>82</v>
      </c>
      <c r="D35" s="8" t="s">
        <v>83</v>
      </c>
      <c r="E35" s="8" t="s">
        <v>84</v>
      </c>
      <c r="F35" s="8" t="s">
        <v>85</v>
      </c>
    </row>
    <row r="36" spans="1:22" x14ac:dyDescent="0.3">
      <c r="A36" s="8">
        <v>1</v>
      </c>
      <c r="B36" s="89">
        <f ca="1">+SUM(OFFSET('Channel 2_calculations'!$E$6,(ROW($A28)-28)*12,0,12,1))</f>
        <v>49551772.596897915</v>
      </c>
      <c r="C36" s="89">
        <f ca="1">+SUM(OFFSET('Channel 2_calculations'!$F$6,(ROW($A28)-28)*12,0,12,1))</f>
        <v>-11149148.834302031</v>
      </c>
      <c r="D36" s="89">
        <f ca="1">+SUM(OFFSET('Channel 2_calculations'!$H$6,(ROW($A28)-28)*12,0,12,1))</f>
        <v>-19820709.038759165</v>
      </c>
      <c r="E36" s="89">
        <f ca="1">+SUM(OFFSET('Channel 2_calculations'!$G$6,(ROW($A28)-28)*12,0,12,1))</f>
        <v>-12387943.149224479</v>
      </c>
      <c r="F36" s="89">
        <f ca="1">+SUM(OFFSET('Channel 2_calculations'!$I$6,(ROW($A28)-28)*12,0,12,1))</f>
        <v>6193971.5746122366</v>
      </c>
    </row>
    <row r="37" spans="1:22" x14ac:dyDescent="0.3">
      <c r="A37" s="8">
        <f>+A36+1</f>
        <v>2</v>
      </c>
      <c r="B37" s="89">
        <f ca="1">+SUM(OFFSET('Channel 2_calculations'!$E$6,(ROW($A29)-28)*12,0,12,1))</f>
        <v>137132869.91218865</v>
      </c>
      <c r="C37" s="89">
        <f ca="1">+SUM(OFFSET('Channel 2_calculations'!$F$6,(ROW($A29)-28)*12,0,12,1))</f>
        <v>-30365135.480556052</v>
      </c>
      <c r="D37" s="89">
        <f ca="1">+SUM(OFFSET('Channel 2_calculations'!$H$6,(ROW($A29)-28)*12,0,12,1))</f>
        <v>-54853147.96487546</v>
      </c>
      <c r="E37" s="89">
        <f ca="1">+SUM(OFFSET('Channel 2_calculations'!$G$6,(ROW($A29)-28)*12,0,12,1))</f>
        <v>-34283217.478047162</v>
      </c>
      <c r="F37" s="89">
        <f ca="1">+SUM(OFFSET('Channel 2_calculations'!$I$6,(ROW($A29)-28)*12,0,12,1))</f>
        <v>17631368.988709968</v>
      </c>
    </row>
    <row r="38" spans="1:22" x14ac:dyDescent="0.3">
      <c r="A38" s="8">
        <f>+A37+1</f>
        <v>3</v>
      </c>
      <c r="B38" s="89">
        <f ca="1">+SUM(OFFSET('Channel 2_calculations'!$E$6,(ROW($A30)-28)*12,0,12,1))</f>
        <v>232384320.42439529</v>
      </c>
      <c r="C38" s="89">
        <f ca="1">+SUM(OFFSET('Channel 2_calculations'!$F$6,(ROW($A30)-28)*12,0,12,1))</f>
        <v>-50666105.235386878</v>
      </c>
      <c r="D38" s="89">
        <f ca="1">+SUM(OFFSET('Channel 2_calculations'!$H$6,(ROW($A30)-28)*12,0,12,1))</f>
        <v>-92953728.169758141</v>
      </c>
      <c r="E38" s="89">
        <f ca="1">+SUM(OFFSET('Channel 2_calculations'!$G$6,(ROW($A30)-28)*12,0,12,1))</f>
        <v>-58096080.106098823</v>
      </c>
      <c r="F38" s="89">
        <f ca="1">+SUM(OFFSET('Channel 2_calculations'!$I$6,(ROW($A30)-28)*12,0,12,1))</f>
        <v>30668406.913151469</v>
      </c>
    </row>
    <row r="39" spans="1:22" x14ac:dyDescent="0.3">
      <c r="A39" s="8">
        <f>+A38+1</f>
        <v>4</v>
      </c>
      <c r="B39" s="89">
        <f ca="1">+SUM(OFFSET('Channel 2_calculations'!$E$6,(ROW($A31)-28)*12,0,12,1))</f>
        <v>336482034.51005709</v>
      </c>
      <c r="C39" s="89">
        <f ca="1">+SUM(OFFSET('Channel 2_calculations'!$F$6,(ROW($A31)-28)*12,0,12,1))</f>
        <v>-72272242.624520048</v>
      </c>
      <c r="D39" s="89">
        <f ca="1">+SUM(OFFSET('Channel 2_calculations'!$H$6,(ROW($A31)-28)*12,0,12,1))</f>
        <v>-134592813.80402285</v>
      </c>
      <c r="E39" s="89">
        <f ca="1">+SUM(OFFSET('Channel 2_calculations'!$G$6,(ROW($A31)-28)*12,0,12,1))</f>
        <v>-84120508.627514273</v>
      </c>
      <c r="F39" s="89">
        <f ca="1">+SUM(OFFSET('Channel 2_calculations'!$I$6,(ROW($A31)-28)*12,0,12,1))</f>
        <v>45496469.453999929</v>
      </c>
    </row>
    <row r="40" spans="1:22" x14ac:dyDescent="0.3">
      <c r="A40" s="8">
        <f>+A39+1</f>
        <v>5</v>
      </c>
      <c r="B40" s="89">
        <f ca="1">+SUM(OFFSET('Channel 2_calculations'!$E$6,(ROW($A32)-28)*12,0,12,1))</f>
        <v>450342936.13887668</v>
      </c>
      <c r="C40" s="89">
        <f ca="1">+SUM(OFFSET('Channel 2_calculations'!$F$6,(ROW($A32)-28)*12,0,12,1))</f>
        <v>-95338809.025818691</v>
      </c>
      <c r="D40" s="89">
        <f ca="1">+SUM(OFFSET('Channel 2_calculations'!$H$6,(ROW($A32)-28)*12,0,12,1))</f>
        <v>-180137174.45555067</v>
      </c>
      <c r="E40" s="89">
        <f ca="1">+SUM(OFFSET('Channel 2_calculations'!$G$6,(ROW($A32)-28)*12,0,12,1))</f>
        <v>-112585734.03471917</v>
      </c>
      <c r="F40" s="89">
        <f ca="1">+SUM(OFFSET('Channel 2_calculations'!$I$6,(ROW($A32)-28)*12,0,12,1))</f>
        <v>62281218.622788101</v>
      </c>
    </row>
    <row r="41" spans="1:22" hidden="1" x14ac:dyDescent="0.3"/>
    <row r="42" spans="1:22" ht="18" x14ac:dyDescent="0.35">
      <c r="A42" s="102" t="s">
        <v>86</v>
      </c>
      <c r="B42" s="103"/>
      <c r="C42" s="103"/>
      <c r="D42" s="103"/>
      <c r="E42" s="103"/>
      <c r="F42" s="104"/>
    </row>
    <row r="43" spans="1:22" x14ac:dyDescent="0.3">
      <c r="A43" s="8" t="s">
        <v>80</v>
      </c>
      <c r="B43" s="8" t="s">
        <v>81</v>
      </c>
      <c r="C43" s="8" t="s">
        <v>82</v>
      </c>
      <c r="D43" s="8" t="s">
        <v>83</v>
      </c>
      <c r="E43" s="8" t="s">
        <v>84</v>
      </c>
      <c r="F43" s="8" t="s">
        <v>85</v>
      </c>
    </row>
    <row r="44" spans="1:22" x14ac:dyDescent="0.3">
      <c r="A44" s="8">
        <v>1</v>
      </c>
      <c r="B44" s="89">
        <f ca="1">+SUM(OFFSET('Channel 3_calculations'!$E$6,(ROW($A28)-28)*12,0,12,1))</f>
        <v>22630711.62284014</v>
      </c>
      <c r="C44" s="89">
        <f ca="1">+SUM(OFFSET('Channel 3_calculations'!$F$6,(ROW($A28)-28)*12,0,12,1))</f>
        <v>-4526142.3245680276</v>
      </c>
      <c r="D44" s="89">
        <f ca="1">+SUM(OFFSET('Channel 3_calculations'!$H$6,(ROW($A28)-28)*12,0,12,1))</f>
        <v>-9052284.6491360553</v>
      </c>
      <c r="E44" s="89">
        <f ca="1">+SUM(OFFSET('Channel 3_calculations'!$G$6,(ROW($A28)-28)*12,0,12,1))</f>
        <v>-5657677.905710035</v>
      </c>
      <c r="F44" s="89">
        <f ca="1">+SUM(OFFSET('Channel 3_calculations'!$I$6,(ROW($A28)-28)*12,0,12,1))</f>
        <v>3394606.7434260198</v>
      </c>
    </row>
    <row r="45" spans="1:22" x14ac:dyDescent="0.3">
      <c r="A45" s="8">
        <f>+A44+1</f>
        <v>2</v>
      </c>
      <c r="B45" s="89">
        <f ca="1">+SUM(OFFSET('Channel 3_calculations'!$E$6,(ROW($A29)-28)*12,0,12,1))</f>
        <v>68341780.290471375</v>
      </c>
      <c r="C45" s="89">
        <f ca="1">+SUM(OFFSET('Channel 3_calculations'!$F$6,(ROW($A29)-28)*12,0,12,1))</f>
        <v>-13668356.058094276</v>
      </c>
      <c r="D45" s="89">
        <f ca="1">+SUM(OFFSET('Channel 3_calculations'!$H$6,(ROW($A29)-28)*12,0,12,1))</f>
        <v>-27336712.116188552</v>
      </c>
      <c r="E45" s="89">
        <f ca="1">+SUM(OFFSET('Channel 3_calculations'!$G$6,(ROW($A29)-28)*12,0,12,1))</f>
        <v>-17085445.072617844</v>
      </c>
      <c r="F45" s="89">
        <f ca="1">+SUM(OFFSET('Channel 3_calculations'!$I$6,(ROW($A29)-28)*12,0,12,1))</f>
        <v>10251267.043570707</v>
      </c>
    </row>
    <row r="46" spans="1:22" x14ac:dyDescent="0.3">
      <c r="A46" s="8">
        <f>+A45+1</f>
        <v>3</v>
      </c>
      <c r="B46" s="89">
        <f ca="1">+SUM(OFFSET('Channel 3_calculations'!$E$6,(ROW($A30)-28)*12,0,12,1))</f>
        <v>120594179.21271457</v>
      </c>
      <c r="C46" s="89">
        <f ca="1">+SUM(OFFSET('Channel 3_calculations'!$F$6,(ROW($A30)-28)*12,0,12,1))</f>
        <v>-24118835.842542913</v>
      </c>
      <c r="D46" s="89">
        <f ca="1">+SUM(OFFSET('Channel 3_calculations'!$H$6,(ROW($A30)-28)*12,0,12,1))</f>
        <v>-48237671.685085826</v>
      </c>
      <c r="E46" s="89">
        <f ca="1">+SUM(OFFSET('Channel 3_calculations'!$G$6,(ROW($A30)-28)*12,0,12,1))</f>
        <v>-30148544.803178642</v>
      </c>
      <c r="F46" s="89">
        <f ca="1">+SUM(OFFSET('Channel 3_calculations'!$I$6,(ROW($A30)-28)*12,0,12,1))</f>
        <v>18089126.881907184</v>
      </c>
    </row>
    <row r="47" spans="1:22" x14ac:dyDescent="0.3">
      <c r="A47" s="8">
        <f>+A46+1</f>
        <v>4</v>
      </c>
      <c r="B47" s="89">
        <f ca="1">+SUM(OFFSET('Channel 3_calculations'!$E$6,(ROW($A31)-28)*12,0,12,1))</f>
        <v>180180541.54359818</v>
      </c>
      <c r="C47" s="89">
        <f ca="1">+SUM(OFFSET('Channel 3_calculations'!$F$6,(ROW($A31)-28)*12,0,12,1))</f>
        <v>-36036108.30871965</v>
      </c>
      <c r="D47" s="89">
        <f ca="1">+SUM(OFFSET('Channel 3_calculations'!$H$6,(ROW($A31)-28)*12,0,12,1))</f>
        <v>-72072216.6174393</v>
      </c>
      <c r="E47" s="89">
        <f ca="1">+SUM(OFFSET('Channel 3_calculations'!$G$6,(ROW($A31)-28)*12,0,12,1))</f>
        <v>-45045135.385899544</v>
      </c>
      <c r="F47" s="89">
        <f ca="1">+SUM(OFFSET('Channel 3_calculations'!$I$6,(ROW($A31)-28)*12,0,12,1))</f>
        <v>27027081.231539719</v>
      </c>
    </row>
    <row r="48" spans="1:22" x14ac:dyDescent="0.3">
      <c r="A48" s="8">
        <f>+A47+1</f>
        <v>5</v>
      </c>
      <c r="B48" s="89">
        <f ca="1">+SUM(OFFSET('Channel 3_calculations'!$E$6,(ROW($A32)-28)*12,0,12,1))</f>
        <v>247939075.38899279</v>
      </c>
      <c r="C48" s="89">
        <f ca="1">+SUM(OFFSET('Channel 3_calculations'!$F$6,(ROW($A32)-28)*12,0,12,1))</f>
        <v>-49587815.077798568</v>
      </c>
      <c r="D48" s="89">
        <f ca="1">+SUM(OFFSET('Channel 3_calculations'!$H$6,(ROW($A32)-28)*12,0,12,1))</f>
        <v>-99175630.155597135</v>
      </c>
      <c r="E48" s="89">
        <f ca="1">+SUM(OFFSET('Channel 3_calculations'!$G$6,(ROW($A32)-28)*12,0,12,1))</f>
        <v>-61984768.847248197</v>
      </c>
      <c r="F48" s="89">
        <f ca="1">+SUM(OFFSET('Channel 3_calculations'!$I$6,(ROW($A32)-28)*12,0,12,1))</f>
        <v>37190861.308348909</v>
      </c>
    </row>
  </sheetData>
  <mergeCells count="6">
    <mergeCell ref="A7:C7"/>
    <mergeCell ref="A1:C1"/>
    <mergeCell ref="A42:F42"/>
    <mergeCell ref="A14:F14"/>
    <mergeCell ref="A26:F26"/>
    <mergeCell ref="A34:F34"/>
  </mergeCells>
  <conditionalFormatting sqref="A1:XFD25 A26:H32 O26:P32 W26:XFD32 A33:XFD1048576">
    <cfRule type="cellIs" dxfId="27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2"/>
  <sheetViews>
    <sheetView tabSelected="1" topLeftCell="D2" zoomScale="120" zoomScaleNormal="120" workbookViewId="0">
      <selection activeCell="Y8" sqref="Y8"/>
    </sheetView>
  </sheetViews>
  <sheetFormatPr defaultColWidth="9.109375" defaultRowHeight="14.4" x14ac:dyDescent="0.3"/>
  <cols>
    <col min="1" max="1" width="9.109375" style="5"/>
    <col min="2" max="5" width="16.33203125" style="5" customWidth="1"/>
    <col min="6" max="17" width="9.109375" style="5"/>
    <col min="18" max="18" width="15.109375" style="5" customWidth="1"/>
    <col min="19" max="20" width="16.109375" style="5" bestFit="1" customWidth="1"/>
    <col min="21" max="21" width="17.88671875" style="5" bestFit="1" customWidth="1"/>
    <col min="22" max="22" width="16.109375" style="5" bestFit="1" customWidth="1"/>
    <col min="23" max="16384" width="9.109375" style="5"/>
  </cols>
  <sheetData>
    <row r="1" spans="1:23" ht="18" x14ac:dyDescent="0.35">
      <c r="A1" s="106" t="s">
        <v>87</v>
      </c>
      <c r="B1" s="107"/>
      <c r="C1" s="107"/>
      <c r="D1" s="107"/>
      <c r="E1" s="107"/>
      <c r="Q1" s="108" t="s">
        <v>88</v>
      </c>
      <c r="R1" s="108"/>
      <c r="S1" s="108"/>
      <c r="T1" s="108"/>
      <c r="U1" s="108"/>
    </row>
    <row r="2" spans="1:23" x14ac:dyDescent="0.3">
      <c r="A2" s="38" t="s">
        <v>89</v>
      </c>
      <c r="B2" s="59" t="s">
        <v>0</v>
      </c>
      <c r="C2" s="45" t="s">
        <v>1</v>
      </c>
      <c r="D2" s="83" t="s">
        <v>2</v>
      </c>
      <c r="E2" s="84" t="s">
        <v>90</v>
      </c>
      <c r="Q2" s="91" t="s">
        <v>80</v>
      </c>
      <c r="R2" s="92" t="s">
        <v>0</v>
      </c>
      <c r="S2" s="93" t="s">
        <v>1</v>
      </c>
      <c r="T2" s="94" t="s">
        <v>2</v>
      </c>
      <c r="U2" s="95" t="s">
        <v>91</v>
      </c>
      <c r="V2" s="84" t="s">
        <v>85</v>
      </c>
      <c r="W2" s="84" t="s">
        <v>92</v>
      </c>
    </row>
    <row r="3" spans="1:23" x14ac:dyDescent="0.3">
      <c r="A3" s="37">
        <v>1</v>
      </c>
      <c r="B3" s="52">
        <f>+'Channel 1_calculations'!J6</f>
        <v>-7621200.0000000009</v>
      </c>
      <c r="C3" s="53">
        <f>+'Channel 2_calculations'!J6</f>
        <v>87750</v>
      </c>
      <c r="D3" s="53">
        <f>+'Channel 3_calculations'!J6</f>
        <v>44010</v>
      </c>
      <c r="E3" s="55">
        <f>+SUM(B3:D3)</f>
        <v>-7489440.0000000009</v>
      </c>
      <c r="Q3" s="88">
        <v>1</v>
      </c>
      <c r="R3" s="90">
        <f ca="1">+SUM(OFFSET('Channel 1_calculations'!$E$6,(ROW(Visuals!Q3)-3)*12,0,12,1))</f>
        <v>128367672.9070503</v>
      </c>
      <c r="S3" s="90">
        <f ca="1">+SUM(OFFSET('Channel 2_calculations'!$E$6,(ROW(Visuals!Q3)-3)*12,0,12,1))</f>
        <v>49551772.596897915</v>
      </c>
      <c r="T3" s="90">
        <f ca="1">+SUM(OFFSET('Channel 3_calculations'!$E$6,(ROW(Visuals!Q3)-3)*12,0,12,1))</f>
        <v>22630711.62284014</v>
      </c>
      <c r="U3" s="90">
        <f ca="1">+SUM(R3:T3)</f>
        <v>200550157.12678835</v>
      </c>
      <c r="V3" s="89">
        <f ca="1">+Summary!F16</f>
        <v>-45706736.164494157</v>
      </c>
    </row>
    <row r="4" spans="1:23" x14ac:dyDescent="0.3">
      <c r="A4" s="37">
        <f t="shared" ref="A4:A35" si="0">+A3+1</f>
        <v>2</v>
      </c>
      <c r="B4" s="54">
        <f>+'Channel 1_calculations'!J7</f>
        <v>-14588334.000000002</v>
      </c>
      <c r="C4" s="13">
        <f>+'Channel 2_calculations'!J7</f>
        <v>258643.125</v>
      </c>
      <c r="D4" s="13">
        <f>+'Channel 3_calculations'!J7</f>
        <v>131809.95000000001</v>
      </c>
      <c r="E4" s="55">
        <f t="shared" ref="E4:E62" si="1">+SUM(B4:D4)</f>
        <v>-14197880.925000003</v>
      </c>
      <c r="Q4" s="88">
        <f>+Q3+1</f>
        <v>2</v>
      </c>
      <c r="R4" s="90">
        <f ca="1">+SUM(OFFSET('Channel 1_calculations'!$E$6,(ROW(Visuals!Q4)-3)*12,0,12,1))</f>
        <v>334436809.52491236</v>
      </c>
      <c r="S4" s="90">
        <f ca="1">+SUM(OFFSET('Channel 2_calculations'!$E$6,(ROW(Visuals!Q4)-3)*12,0,12,1))</f>
        <v>137132869.91218865</v>
      </c>
      <c r="T4" s="90">
        <f ca="1">+SUM(OFFSET('Channel 3_calculations'!$E$6,(ROW(Visuals!Q4)-3)*12,0,12,1))</f>
        <v>68341780.290471375</v>
      </c>
      <c r="U4" s="90">
        <f t="shared" ref="U4:U7" ca="1" si="2">+SUM(R4:T4)</f>
        <v>539911459.72757244</v>
      </c>
      <c r="V4" s="89">
        <f ca="1">+Summary!F17</f>
        <v>34438559.365999967</v>
      </c>
    </row>
    <row r="5" spans="1:23" x14ac:dyDescent="0.3">
      <c r="A5" s="37">
        <f t="shared" si="0"/>
        <v>3</v>
      </c>
      <c r="B5" s="54">
        <f>+'Channel 1_calculations'!J8</f>
        <v>-20953727.280000001</v>
      </c>
      <c r="C5" s="13">
        <f>+'Channel 2_calculations'!J8</f>
        <v>509353.64999999979</v>
      </c>
      <c r="D5" s="13">
        <f>+'Channel 3_calculations'!J8</f>
        <v>263233.44819000002</v>
      </c>
      <c r="E5" s="55">
        <f t="shared" si="1"/>
        <v>-20181140.181810003</v>
      </c>
      <c r="Q5" s="88">
        <f t="shared" ref="Q5:Q7" si="3">+Q4+1</f>
        <v>3</v>
      </c>
      <c r="R5" s="90">
        <f ca="1">+SUM(OFFSET('Channel 1_calculations'!$E$6,(ROW(Visuals!Q5)-3)*12,0,12,1))</f>
        <v>543482854.68388772</v>
      </c>
      <c r="S5" s="90">
        <f ca="1">+SUM(OFFSET('Channel 2_calculations'!$E$6,(ROW(Visuals!Q5)-3)*12,0,12,1))</f>
        <v>232384320.42439529</v>
      </c>
      <c r="T5" s="90">
        <f ca="1">+SUM(OFFSET('Channel 3_calculations'!$E$6,(ROW(Visuals!Q5)-3)*12,0,12,1))</f>
        <v>120594179.21271457</v>
      </c>
      <c r="U5" s="90">
        <f t="shared" ca="1" si="2"/>
        <v>896461354.3209976</v>
      </c>
      <c r="V5" s="89">
        <f ca="1">+Summary!F18</f>
        <v>117153634.53441933</v>
      </c>
    </row>
    <row r="6" spans="1:23" x14ac:dyDescent="0.3">
      <c r="A6" s="37">
        <f t="shared" si="0"/>
        <v>4</v>
      </c>
      <c r="B6" s="54">
        <f>+'Channel 1_calculations'!J9</f>
        <v>-26750475.579600003</v>
      </c>
      <c r="C6" s="13">
        <f>+'Channel 2_calculations'!J9</f>
        <v>925436.59649999964</v>
      </c>
      <c r="D6" s="13">
        <f>+'Channel 3_calculations'!J9</f>
        <v>438171.43569952494</v>
      </c>
      <c r="E6" s="55">
        <f t="shared" si="1"/>
        <v>-25386867.547400478</v>
      </c>
      <c r="Q6" s="88">
        <f t="shared" si="3"/>
        <v>4</v>
      </c>
      <c r="R6" s="90">
        <f ca="1">+SUM(OFFSET('Channel 1_calculations'!$E$6,(ROW(Visuals!Q6)-3)*12,0,12,1))</f>
        <v>761845536.02537727</v>
      </c>
      <c r="S6" s="90">
        <f ca="1">+SUM(OFFSET('Channel 2_calculations'!$E$6,(ROW(Visuals!Q6)-3)*12,0,12,1))</f>
        <v>336482034.51005709</v>
      </c>
      <c r="T6" s="90">
        <f ca="1">+SUM(OFFSET('Channel 3_calculations'!$E$6,(ROW(Visuals!Q6)-3)*12,0,12,1))</f>
        <v>180180541.54359818</v>
      </c>
      <c r="U6" s="90">
        <f t="shared" ca="1" si="2"/>
        <v>1278508112.0790324</v>
      </c>
      <c r="V6" s="89">
        <f ca="1">+Summary!F19</f>
        <v>204859742.8084217</v>
      </c>
    </row>
    <row r="7" spans="1:23" x14ac:dyDescent="0.3">
      <c r="A7" s="37">
        <f t="shared" si="0"/>
        <v>5</v>
      </c>
      <c r="B7" s="54">
        <f>+'Channel 1_calculations'!J10</f>
        <v>-32007011.147820003</v>
      </c>
      <c r="C7" s="13">
        <f>+'Channel 2_calculations'!J10</f>
        <v>1334058.2789624995</v>
      </c>
      <c r="D7" s="13">
        <f>+'Channel 3_calculations'!J10</f>
        <v>656523.82920314011</v>
      </c>
      <c r="E7" s="55">
        <f t="shared" si="1"/>
        <v>-30016429.039654363</v>
      </c>
      <c r="Q7" s="88">
        <f t="shared" si="3"/>
        <v>5</v>
      </c>
      <c r="R7" s="90">
        <f ca="1">+SUM(OFFSET('Channel 1_calculations'!$E$6,(ROW(Visuals!Q7)-3)*12,0,12,1))</f>
        <v>991319022.3522085</v>
      </c>
      <c r="S7" s="90">
        <f ca="1">+SUM(OFFSET('Channel 2_calculations'!$E$6,(ROW(Visuals!Q7)-3)*12,0,12,1))</f>
        <v>450342936.13887668</v>
      </c>
      <c r="T7" s="90">
        <f ca="1">+SUM(OFFSET('Channel 3_calculations'!$E$6,(ROW(Visuals!Q7)-3)*12,0,12,1))</f>
        <v>247939075.38899279</v>
      </c>
      <c r="U7" s="90">
        <f t="shared" ca="1" si="2"/>
        <v>1689601033.8800778</v>
      </c>
      <c r="V7" s="89">
        <f ca="1">+Summary!F20</f>
        <v>298357243.35609502</v>
      </c>
      <c r="W7" s="96">
        <f ca="1">+(V7/U7)</f>
        <v>0.17658443465256035</v>
      </c>
    </row>
    <row r="8" spans="1:23" x14ac:dyDescent="0.3">
      <c r="A8" s="37">
        <f t="shared" si="0"/>
        <v>6</v>
      </c>
      <c r="B8" s="54">
        <f>+'Channel 1_calculations'!J11</f>
        <v>-36747643.557572104</v>
      </c>
      <c r="C8" s="13">
        <f>+'Channel 2_calculations'!J11</f>
        <v>1816474.7055158429</v>
      </c>
      <c r="D8" s="13">
        <f>+'Channel 3_calculations'!J11</f>
        <v>918203.79988885694</v>
      </c>
      <c r="E8" s="55">
        <f t="shared" si="1"/>
        <v>-34012965.052167408</v>
      </c>
    </row>
    <row r="9" spans="1:23" x14ac:dyDescent="0.3">
      <c r="A9" s="37">
        <f t="shared" si="0"/>
        <v>7</v>
      </c>
      <c r="B9" s="54">
        <f>+'Channel 1_calculations'!J12</f>
        <v>-40993008.935195021</v>
      </c>
      <c r="C9" s="13">
        <f>+'Channel 2_calculations'!J12</f>
        <v>2371268.9492782131</v>
      </c>
      <c r="D9" s="13">
        <f>+'Channel 3_calculations'!J12</f>
        <v>1223133.3581177481</v>
      </c>
      <c r="E9" s="55">
        <f t="shared" si="1"/>
        <v>-37398606.627799064</v>
      </c>
    </row>
    <row r="10" spans="1:23" x14ac:dyDescent="0.3">
      <c r="A10" s="37">
        <f t="shared" si="0"/>
        <v>8</v>
      </c>
      <c r="B10" s="54">
        <f>+'Channel 1_calculations'!J13</f>
        <v>-44760441.626813278</v>
      </c>
      <c r="C10" s="13">
        <f>+'Channel 2_calculations'!J13</f>
        <v>2997186.367109702</v>
      </c>
      <c r="D10" s="13">
        <f>+'Channel 3_calculations'!J13</f>
        <v>1571247.6295084986</v>
      </c>
      <c r="E10" s="55">
        <f t="shared" si="1"/>
        <v>-40192007.630195081</v>
      </c>
    </row>
    <row r="11" spans="1:23" x14ac:dyDescent="0.3">
      <c r="A11" s="37">
        <f t="shared" si="0"/>
        <v>9</v>
      </c>
      <c r="B11" s="54">
        <f>+'Channel 1_calculations'!J14</f>
        <v>-48064279.613007009</v>
      </c>
      <c r="C11" s="13">
        <f>+'Channel 2_calculations'!J14</f>
        <v>3693171.6702789925</v>
      </c>
      <c r="D11" s="13">
        <f>+'Channel 3_calculations'!J14</f>
        <v>1962490.473933998</v>
      </c>
      <c r="E11" s="55">
        <f t="shared" si="1"/>
        <v>-42408617.468794018</v>
      </c>
    </row>
    <row r="12" spans="1:23" x14ac:dyDescent="0.3">
      <c r="A12" s="37">
        <f t="shared" si="0"/>
        <v>10</v>
      </c>
      <c r="B12" s="54">
        <f>+'Channel 1_calculations'!J15</f>
        <v>-50916112.761411831</v>
      </c>
      <c r="C12" s="13">
        <f>+'Channel 2_calculations'!J15</f>
        <v>4458360.2014998235</v>
      </c>
      <c r="D12" s="13">
        <f>+'Channel 3_calculations'!J15</f>
        <v>2396818.7628212115</v>
      </c>
      <c r="E12" s="55">
        <f t="shared" si="1"/>
        <v>-44060933.797090799</v>
      </c>
    </row>
    <row r="13" spans="1:23" x14ac:dyDescent="0.3">
      <c r="A13" s="37">
        <f t="shared" si="0"/>
        <v>11</v>
      </c>
      <c r="B13" s="54">
        <f>+'Channel 1_calculations'!J16</f>
        <v>-53324981.168783523</v>
      </c>
      <c r="C13" s="13">
        <f>+'Channel 2_calculations'!J16</f>
        <v>5292070.7911101822</v>
      </c>
      <c r="D13" s="13">
        <f>+'Channel 3_calculations'!J16</f>
        <v>2874198.0278145699</v>
      </c>
      <c r="E13" s="55">
        <f t="shared" si="1"/>
        <v>-45158712.349858776</v>
      </c>
      <c r="R13" s="5">
        <f>+ROW(Visuals!Q3)</f>
        <v>3</v>
      </c>
    </row>
    <row r="14" spans="1:23" x14ac:dyDescent="0.3">
      <c r="A14" s="37">
        <f t="shared" si="0"/>
        <v>12</v>
      </c>
      <c r="B14" s="54">
        <f>+'Channel 1_calculations'!J17</f>
        <v>-55295314.482532412</v>
      </c>
      <c r="C14" s="13">
        <f>+'Channel 2_calculations'!J17</f>
        <v>6193971.5746122366</v>
      </c>
      <c r="D14" s="13">
        <f>+'Channel 3_calculations'!J17</f>
        <v>3394606.7434260198</v>
      </c>
      <c r="E14" s="55">
        <f t="shared" si="1"/>
        <v>-45706736.164494157</v>
      </c>
    </row>
    <row r="15" spans="1:23" x14ac:dyDescent="0.3">
      <c r="A15" s="37">
        <f t="shared" si="0"/>
        <v>13</v>
      </c>
      <c r="B15" s="54">
        <f>+'Channel 1_calculations'!J18</f>
        <v>-57308420.23214785</v>
      </c>
      <c r="C15" s="13">
        <f>+'Channel 2_calculations'!J18</f>
        <v>7246051.239102276</v>
      </c>
      <c r="D15" s="13">
        <f>+'Channel 3_calculations'!J18</f>
        <v>3988504.7525054645</v>
      </c>
      <c r="E15" s="55">
        <f t="shared" si="1"/>
        <v>-46073864.24054011</v>
      </c>
    </row>
    <row r="16" spans="1:23" x14ac:dyDescent="0.3">
      <c r="A16" s="37">
        <f t="shared" si="0"/>
        <v>14</v>
      </c>
      <c r="B16" s="54">
        <f>+'Channel 1_calculations'!J19</f>
        <v>-58835888.859240592</v>
      </c>
      <c r="C16" s="13">
        <f>+'Channel 2_calculations'!J19</f>
        <v>8375553.2680397835</v>
      </c>
      <c r="D16" s="13">
        <f>+'Channel 3_calculations'!J19</f>
        <v>4629837.4874809869</v>
      </c>
      <c r="E16" s="55">
        <f t="shared" si="1"/>
        <v>-45830498.103719816</v>
      </c>
    </row>
    <row r="17" spans="1:5" x14ac:dyDescent="0.3">
      <c r="A17" s="37">
        <f t="shared" si="0"/>
        <v>15</v>
      </c>
      <c r="B17" s="54">
        <f>+'Channel 1_calculations'!J20</f>
        <v>-59884980.42758587</v>
      </c>
      <c r="C17" s="13">
        <f>+'Channel 2_calculations'!J20</f>
        <v>9581954.1398161221</v>
      </c>
      <c r="D17" s="13">
        <f>+'Channel 3_calculations'!J20</f>
        <v>5318573.6443808014</v>
      </c>
      <c r="E17" s="55">
        <f t="shared" si="1"/>
        <v>-44984452.643388949</v>
      </c>
    </row>
    <row r="18" spans="1:5" x14ac:dyDescent="0.3">
      <c r="A18" s="37">
        <f t="shared" si="0"/>
        <v>16</v>
      </c>
      <c r="B18" s="54">
        <f>+'Channel 1_calculations'!J21</f>
        <v>-60461900.320222162</v>
      </c>
      <c r="C18" s="13">
        <f>+'Channel 2_calculations'!J21</f>
        <v>10864772.382076096</v>
      </c>
      <c r="D18" s="13">
        <f>+'Channel 3_calculations'!J21</f>
        <v>6054684.9410213865</v>
      </c>
      <c r="E18" s="55">
        <f t="shared" si="1"/>
        <v>-43542442.997124687</v>
      </c>
    </row>
    <row r="19" spans="1:5" x14ac:dyDescent="0.3">
      <c r="A19" s="37">
        <f t="shared" si="0"/>
        <v>17</v>
      </c>
      <c r="B19" s="54">
        <f>+'Channel 1_calculations'!J22</f>
        <v>-60572564.408365391</v>
      </c>
      <c r="C19" s="13">
        <f>+'Channel 2_calculations'!J22</f>
        <v>12223542.075752068</v>
      </c>
      <c r="D19" s="13">
        <f>+'Channel 3_calculations'!J22</f>
        <v>6838143.5777136311</v>
      </c>
      <c r="E19" s="55">
        <f t="shared" si="1"/>
        <v>-41510878.754899688</v>
      </c>
    </row>
    <row r="20" spans="1:5" x14ac:dyDescent="0.3">
      <c r="A20" s="37">
        <f t="shared" si="0"/>
        <v>18</v>
      </c>
      <c r="B20" s="54">
        <f>+'Channel 1_calculations'!J23</f>
        <v>-60222627.890954405</v>
      </c>
      <c r="C20" s="13">
        <f>+'Channel 2_calculations'!J23</f>
        <v>13657811.944228351</v>
      </c>
      <c r="D20" s="13">
        <f>+'Channel 3_calculations'!J23</f>
        <v>7668922.4619030384</v>
      </c>
      <c r="E20" s="55">
        <f t="shared" si="1"/>
        <v>-38895893.484823018</v>
      </c>
    </row>
    <row r="21" spans="1:5" x14ac:dyDescent="0.3">
      <c r="A21" s="37">
        <f t="shared" si="0"/>
        <v>19</v>
      </c>
      <c r="B21" s="54">
        <f>+'Channel 1_calculations'!J24</f>
        <v>-59417509.32151933</v>
      </c>
      <c r="C21" s="13">
        <f>+'Channel 2_calculations'!J24</f>
        <v>15167144.563625477</v>
      </c>
      <c r="D21" s="13">
        <f>+'Channel 3_calculations'!J24</f>
        <v>8546994.9763587154</v>
      </c>
      <c r="E21" s="55">
        <f t="shared" si="1"/>
        <v>-35703369.781535134</v>
      </c>
    </row>
    <row r="22" spans="1:5" x14ac:dyDescent="0.3">
      <c r="A22" s="37">
        <f t="shared" si="0"/>
        <v>20</v>
      </c>
      <c r="B22" s="54">
        <f>+'Channel 1_calculations'!J25</f>
        <v>-58162410.558560073</v>
      </c>
      <c r="C22" s="13">
        <f>+'Channel 2_calculations'!J25</f>
        <v>16751115.683067713</v>
      </c>
      <c r="D22" s="13">
        <f>+'Channel 3_calculations'!J25</f>
        <v>9472335.2036621831</v>
      </c>
      <c r="E22" s="55">
        <f t="shared" si="1"/>
        <v>-31938959.671830181</v>
      </c>
    </row>
    <row r="23" spans="1:5" x14ac:dyDescent="0.3">
      <c r="A23" s="37">
        <f t="shared" si="0"/>
        <v>21</v>
      </c>
      <c r="B23" s="54">
        <f>+'Channel 1_calculations'!J26</f>
        <v>-56462333.233332187</v>
      </c>
      <c r="C23" s="13">
        <f>+'Channel 2_calculations'!J26</f>
        <v>18409313.645477626</v>
      </c>
      <c r="D23" s="13">
        <f>+'Channel 3_calculations'!J26</f>
        <v>10444917.696199067</v>
      </c>
      <c r="E23" s="55">
        <f t="shared" si="1"/>
        <v>-27608101.891655497</v>
      </c>
    </row>
    <row r="24" spans="1:5" x14ac:dyDescent="0.3">
      <c r="A24" s="37">
        <f t="shared" si="0"/>
        <v>22</v>
      </c>
      <c r="B24" s="54">
        <f>+'Channel 1_calculations'!J27</f>
        <v>-54322092.212288871</v>
      </c>
      <c r="C24" s="13">
        <f>+'Channel 2_calculations'!J27</f>
        <v>20141338.90093397</v>
      </c>
      <c r="D24" s="13">
        <f>+'Channel 3_calculations'!J27</f>
        <v>11464717.700711705</v>
      </c>
      <c r="E24" s="55">
        <f t="shared" si="1"/>
        <v>-22716035.610643201</v>
      </c>
    </row>
    <row r="25" spans="1:5" x14ac:dyDescent="0.3">
      <c r="A25" s="37">
        <f t="shared" si="0"/>
        <v>23</v>
      </c>
      <c r="B25" s="54">
        <f>+'Channel 1_calculations'!J28</f>
        <v>-51746326.434928127</v>
      </c>
      <c r="C25" s="13">
        <f>+'Channel 2_calculations'!J28</f>
        <v>21946803.605964787</v>
      </c>
      <c r="D25" s="13">
        <f>+'Channel 3_calculations'!J28</f>
        <v>12531710.929848362</v>
      </c>
      <c r="E25" s="55">
        <f t="shared" si="1"/>
        <v>-17267811.899114978</v>
      </c>
    </row>
    <row r="26" spans="1:5" x14ac:dyDescent="0.3">
      <c r="A26" s="37">
        <f t="shared" si="0"/>
        <v>24</v>
      </c>
      <c r="B26" s="54">
        <f>+'Channel 1_calculations'!J29</f>
        <v>-48739391.148813121</v>
      </c>
      <c r="C26" s="13">
        <f>+'Channel 2_calculations'!J29</f>
        <v>23825340.563322205</v>
      </c>
      <c r="D26" s="13">
        <f>+'Channel 3_calculations'!J29</f>
        <v>13645873.786996724</v>
      </c>
      <c r="E26" s="55">
        <f t="shared" si="1"/>
        <v>-11268176.798494192</v>
      </c>
    </row>
    <row r="27" spans="1:5" x14ac:dyDescent="0.3">
      <c r="A27" s="37">
        <f t="shared" si="0"/>
        <v>25</v>
      </c>
      <c r="B27" s="54">
        <f>+'Channel 1_calculations'!J30</f>
        <v>-45575032.976542316</v>
      </c>
      <c r="C27" s="13">
        <f>+'Channel 2_calculations'!J30</f>
        <v>25933710.224677447</v>
      </c>
      <c r="D27" s="13">
        <f>+'Channel 3_calculations'!J30</f>
        <v>14867795.486172589</v>
      </c>
      <c r="E27" s="55">
        <f t="shared" si="1"/>
        <v>-4773527.2656922806</v>
      </c>
    </row>
    <row r="28" spans="1:5" x14ac:dyDescent="0.3">
      <c r="A28" s="37">
        <f t="shared" si="0"/>
        <v>26</v>
      </c>
      <c r="B28" s="54">
        <f>+'Channel 1_calculations'!J31</f>
        <v>-41929097.949302465</v>
      </c>
      <c r="C28" s="13">
        <f>+'Channel 2_calculations'!J31</f>
        <v>28125130.824525166</v>
      </c>
      <c r="D28" s="13">
        <f>+'Channel 3_calculations'!J31</f>
        <v>16141730.396076797</v>
      </c>
      <c r="E28" s="55">
        <f t="shared" si="1"/>
        <v>2337763.2712994982</v>
      </c>
    </row>
    <row r="29" spans="1:5" x14ac:dyDescent="0.3">
      <c r="A29" s="37">
        <f t="shared" si="0"/>
        <v>27</v>
      </c>
      <c r="B29" s="54">
        <f>+'Channel 1_calculations'!J32</f>
        <v>-37809051.90667963</v>
      </c>
      <c r="C29" s="13">
        <f>+'Channel 2_calculations'!J32</f>
        <v>30399009.277499992</v>
      </c>
      <c r="D29" s="13">
        <f>+'Channel 3_calculations'!J32</f>
        <v>17467644.145867739</v>
      </c>
      <c r="E29" s="55">
        <f t="shared" si="1"/>
        <v>10057601.516688101</v>
      </c>
    </row>
    <row r="30" spans="1:5" x14ac:dyDescent="0.3">
      <c r="A30" s="37">
        <f t="shared" si="0"/>
        <v>28</v>
      </c>
      <c r="B30" s="54">
        <f>+'Channel 1_calculations'!J33</f>
        <v>-33221203.286554873</v>
      </c>
      <c r="C30" s="13">
        <f>+'Channel 2_calculations'!J33</f>
        <v>32754823.547406729</v>
      </c>
      <c r="D30" s="13">
        <f>+'Channel 3_calculations'!J33</f>
        <v>18845505.696154475</v>
      </c>
      <c r="E30" s="55">
        <f t="shared" si="1"/>
        <v>18379125.957006332</v>
      </c>
    </row>
    <row r="31" spans="1:5" x14ac:dyDescent="0.3">
      <c r="A31" s="37">
        <f t="shared" si="0"/>
        <v>29</v>
      </c>
      <c r="B31" s="54">
        <f>+'Channel 1_calculations'!J34</f>
        <v>-28171546.669994075</v>
      </c>
      <c r="C31" s="13">
        <f>+'Channel 2_calculations'!J34</f>
        <v>35192069.085037157</v>
      </c>
      <c r="D31" s="13">
        <f>+'Channel 3_calculations'!J34</f>
        <v>20275284.539425299</v>
      </c>
      <c r="E31" s="55">
        <f t="shared" si="1"/>
        <v>27295806.954468381</v>
      </c>
    </row>
    <row r="32" spans="1:5" x14ac:dyDescent="0.3">
      <c r="A32" s="37">
        <f t="shared" si="0"/>
        <v>30</v>
      </c>
      <c r="B32" s="54">
        <f>+'Channel 1_calculations'!J35</f>
        <v>-22665794.523547143</v>
      </c>
      <c r="C32" s="13">
        <f>+'Channel 2_calculations'!J35</f>
        <v>37710257.797978498</v>
      </c>
      <c r="D32" s="13">
        <f>+'Channel 3_calculations'!J35</f>
        <v>21756950.947713584</v>
      </c>
      <c r="E32" s="55">
        <f t="shared" si="1"/>
        <v>36801414.222144939</v>
      </c>
    </row>
    <row r="33" spans="1:5" x14ac:dyDescent="0.3">
      <c r="A33" s="37">
        <f t="shared" si="0"/>
        <v>31</v>
      </c>
      <c r="B33" s="54">
        <f>+'Channel 1_calculations'!J36</f>
        <v>-16709403.636103664</v>
      </c>
      <c r="C33" s="13">
        <f>+'Channel 2_calculations'!J36</f>
        <v>40308917.157486349</v>
      </c>
      <c r="D33" s="13">
        <f>+'Channel 3_calculations'!J36</f>
        <v>23290475.717026196</v>
      </c>
      <c r="E33" s="55">
        <f t="shared" si="1"/>
        <v>46889989.238408878</v>
      </c>
    </row>
    <row r="34" spans="1:5" x14ac:dyDescent="0.3">
      <c r="A34" s="37">
        <f t="shared" si="0"/>
        <v>32</v>
      </c>
      <c r="B34" s="54">
        <f>+'Channel 1_calculations'!J37</f>
        <v>-10307597.061946187</v>
      </c>
      <c r="C34" s="13">
        <f>+'Channel 2_calculations'!J37</f>
        <v>42987589.429819137</v>
      </c>
      <c r="D34" s="13">
        <f>+'Channel 3_calculations'!J37</f>
        <v>24875830.414842434</v>
      </c>
      <c r="E34" s="55">
        <f t="shared" si="1"/>
        <v>57555822.78271538</v>
      </c>
    </row>
    <row r="35" spans="1:5" x14ac:dyDescent="0.3">
      <c r="A35" s="37">
        <f t="shared" si="0"/>
        <v>33</v>
      </c>
      <c r="B35" s="54">
        <f>+'Channel 1_calculations'!J38</f>
        <v>-3465382.2247674949</v>
      </c>
      <c r="C35" s="13">
        <f>+'Channel 2_calculations'!J38</f>
        <v>45745831.02133286</v>
      </c>
      <c r="D35" s="13">
        <f>+'Channel 3_calculations'!J38</f>
        <v>26512987.126529906</v>
      </c>
      <c r="E35" s="55">
        <f t="shared" si="1"/>
        <v>68793435.923095271</v>
      </c>
    </row>
    <row r="36" spans="1:5" x14ac:dyDescent="0.3">
      <c r="A36" s="37">
        <f t="shared" ref="A36:A62" si="4">+A35+1</f>
        <v>34</v>
      </c>
      <c r="B36" s="54">
        <f>+'Channel 1_calculations'!J39</f>
        <v>3812434.2911865525</v>
      </c>
      <c r="C36" s="13">
        <f>+'Channel 2_calculations'!J39</f>
        <v>48583211.928323857</v>
      </c>
      <c r="D36" s="13">
        <f>+'Channel 3_calculations'!J39</f>
        <v>28201918.702913817</v>
      </c>
      <c r="E36" s="55">
        <f t="shared" si="1"/>
        <v>80597564.922424227</v>
      </c>
    </row>
    <row r="37" spans="1:5" x14ac:dyDescent="0.3">
      <c r="A37" s="37">
        <f t="shared" si="4"/>
        <v>35</v>
      </c>
      <c r="B37" s="54">
        <f>+'Channel 1_calculations'!J40</f>
        <v>11521234.843078032</v>
      </c>
      <c r="C37" s="13">
        <f>+'Channel 2_calculations'!J40</f>
        <v>51499315.284118801</v>
      </c>
      <c r="D37" s="13">
        <f>+'Channel 3_calculations'!J40</f>
        <v>29942598.508409999</v>
      </c>
      <c r="E37" s="55">
        <f t="shared" si="1"/>
        <v>92963148.635606825</v>
      </c>
    </row>
    <row r="38" spans="1:5" x14ac:dyDescent="0.3">
      <c r="A38" s="37">
        <f t="shared" si="4"/>
        <v>36</v>
      </c>
      <c r="B38" s="54">
        <f>+'Channel 1_calculations'!J41</f>
        <v>19656709.590547562</v>
      </c>
      <c r="C38" s="13">
        <f>+'Channel 2_calculations'!J41</f>
        <v>54493747.476473674</v>
      </c>
      <c r="D38" s="13">
        <f>+'Channel 3_calculations'!J41</f>
        <v>31735000.668903902</v>
      </c>
      <c r="E38" s="55">
        <f t="shared" si="1"/>
        <v>105885457.73592514</v>
      </c>
    </row>
    <row r="39" spans="1:5" x14ac:dyDescent="0.3">
      <c r="A39" s="37">
        <f t="shared" si="4"/>
        <v>37</v>
      </c>
      <c r="B39" s="54">
        <f>+'Channel 1_calculations'!J42</f>
        <v>28156146.049487714</v>
      </c>
      <c r="C39" s="13">
        <f>+'Channel 2_calculations'!J42</f>
        <v>57804977.273718044</v>
      </c>
      <c r="D39" s="13">
        <f>+'Channel 3_calculations'!J42</f>
        <v>33674112.713512011</v>
      </c>
      <c r="E39" s="55">
        <f t="shared" si="1"/>
        <v>119635236.03671777</v>
      </c>
    </row>
    <row r="40" spans="1:5" x14ac:dyDescent="0.3">
      <c r="A40" s="37">
        <f t="shared" si="4"/>
        <v>38</v>
      </c>
      <c r="B40" s="54">
        <f>+'Channel 1_calculations'!J43</f>
        <v>37136413.675291121</v>
      </c>
      <c r="C40" s="13">
        <f>+'Channel 2_calculations'!J43</f>
        <v>61205369.763910487</v>
      </c>
      <c r="D40" s="13">
        <f>+'Channel 3_calculations'!J43</f>
        <v>35670273.351262487</v>
      </c>
      <c r="E40" s="55">
        <f t="shared" si="1"/>
        <v>134012056.7904641</v>
      </c>
    </row>
    <row r="41" spans="1:5" x14ac:dyDescent="0.3">
      <c r="A41" s="37">
        <f t="shared" si="4"/>
        <v>39</v>
      </c>
      <c r="B41" s="54">
        <f>+'Channel 1_calculations'!J44</f>
        <v>46589782.452971555</v>
      </c>
      <c r="C41" s="13">
        <f>+'Channel 2_calculations'!J44</f>
        <v>64694278.262841389</v>
      </c>
      <c r="D41" s="13">
        <f>+'Channel 3_calculations'!J44</f>
        <v>37723444.836288296</v>
      </c>
      <c r="E41" s="55">
        <f t="shared" si="1"/>
        <v>149007505.55210125</v>
      </c>
    </row>
    <row r="42" spans="1:5" x14ac:dyDescent="0.3">
      <c r="A42" s="37">
        <f t="shared" si="4"/>
        <v>40</v>
      </c>
      <c r="B42" s="54">
        <f>+'Channel 1_calculations'!J45</f>
        <v>56509793.392190978</v>
      </c>
      <c r="C42" s="13">
        <f>+'Channel 2_calculations'!J45</f>
        <v>68271136.224521637</v>
      </c>
      <c r="D42" s="13">
        <f>+'Channel 3_calculations'!J45</f>
        <v>39833593.095572785</v>
      </c>
      <c r="E42" s="55">
        <f t="shared" si="1"/>
        <v>164614522.7122854</v>
      </c>
    </row>
    <row r="43" spans="1:5" x14ac:dyDescent="0.3">
      <c r="A43" s="37">
        <f t="shared" si="4"/>
        <v>41</v>
      </c>
      <c r="B43" s="54">
        <f>+'Channel 1_calculations'!J46</f>
        <v>66890328.569125816</v>
      </c>
      <c r="C43" s="13">
        <f>+'Channel 2_calculations'!J46</f>
        <v>71935396.739964679</v>
      </c>
      <c r="D43" s="13">
        <f>+'Channel 3_calculations'!J46</f>
        <v>42000684.642422177</v>
      </c>
      <c r="E43" s="55">
        <f t="shared" si="1"/>
        <v>180826409.95151266</v>
      </c>
    </row>
    <row r="44" spans="1:5" x14ac:dyDescent="0.3">
      <c r="A44" s="37">
        <f t="shared" si="4"/>
        <v>42</v>
      </c>
      <c r="B44" s="54">
        <f>+'Channel 1_calculations'!J47</f>
        <v>77725576.180188358</v>
      </c>
      <c r="C44" s="13">
        <f>+'Channel 2_calculations'!J47</f>
        <v>75686531.374099582</v>
      </c>
      <c r="D44" s="13">
        <f>+'Channel 3_calculations'!J47</f>
        <v>44224686.849517249</v>
      </c>
      <c r="E44" s="55">
        <f t="shared" si="1"/>
        <v>197636794.4038052</v>
      </c>
    </row>
    <row r="45" spans="1:5" x14ac:dyDescent="0.3">
      <c r="A45" s="37">
        <f t="shared" si="4"/>
        <v>43</v>
      </c>
      <c r="B45" s="54">
        <f>+'Channel 1_calculations'!J48</f>
        <v>89010001.444503546</v>
      </c>
      <c r="C45" s="13">
        <f>+'Channel 2_calculations'!J48</f>
        <v>79524029.157504037</v>
      </c>
      <c r="D45" s="13">
        <f>+'Channel 3_calculations'!J48</f>
        <v>46505567.667145662</v>
      </c>
      <c r="E45" s="55">
        <f t="shared" si="1"/>
        <v>215039598.26915324</v>
      </c>
    </row>
    <row r="46" spans="1:5" x14ac:dyDescent="0.3">
      <c r="A46" s="37">
        <f t="shared" si="4"/>
        <v>44</v>
      </c>
      <c r="B46" s="54">
        <f>+'Channel 1_calculations'!J49</f>
        <v>100738322.46031183</v>
      </c>
      <c r="C46" s="13">
        <f>+'Channel 2_calculations'!J49</f>
        <v>83447395.718721479</v>
      </c>
      <c r="D46" s="13">
        <f>+'Channel 3_calculations'!J49</f>
        <v>48843295.896069594</v>
      </c>
      <c r="E46" s="55">
        <f t="shared" si="1"/>
        <v>233029014.0751029</v>
      </c>
    </row>
    <row r="47" spans="1:5" x14ac:dyDescent="0.3">
      <c r="A47" s="37">
        <f t="shared" si="4"/>
        <v>45</v>
      </c>
      <c r="B47" s="54">
        <f>+'Channel 1_calculations'!J50</f>
        <v>112905490.293423</v>
      </c>
      <c r="C47" s="13">
        <f>+'Channel 2_calculations'!J50</f>
        <v>87456152.545074597</v>
      </c>
      <c r="D47" s="13">
        <f>+'Channel 3_calculations'!J50</f>
        <v>51237840.907949269</v>
      </c>
      <c r="E47" s="55">
        <f t="shared" si="1"/>
        <v>251599483.74644685</v>
      </c>
    </row>
    <row r="48" spans="1:5" x14ac:dyDescent="0.3">
      <c r="A48" s="37">
        <f t="shared" si="4"/>
        <v>46</v>
      </c>
      <c r="B48" s="54">
        <f>+'Channel 1_calculations'!J51</f>
        <v>125506672.71763279</v>
      </c>
      <c r="C48" s="13">
        <f>+'Channel 2_calculations'!J51</f>
        <v>91549836.361795396</v>
      </c>
      <c r="D48" s="13">
        <f>+'Channel 3_calculations'!J51</f>
        <v>53689172.918288141</v>
      </c>
      <c r="E48" s="55">
        <f t="shared" si="1"/>
        <v>270745681.99771631</v>
      </c>
    </row>
    <row r="49" spans="1:5" x14ac:dyDescent="0.3">
      <c r="A49" s="37">
        <f t="shared" si="4"/>
        <v>47</v>
      </c>
      <c r="B49" s="54">
        <f>+'Channel 1_calculations'!J52</f>
        <v>138537241.14430988</v>
      </c>
      <c r="C49" s="13">
        <f>+'Channel 2_calculations'!J52</f>
        <v>95727998.620999202</v>
      </c>
      <c r="D49" s="13">
        <f>+'Channel 3_calculations'!J52</f>
        <v>56197262.708749615</v>
      </c>
      <c r="E49" s="55">
        <f t="shared" si="1"/>
        <v>290462502.47405869</v>
      </c>
    </row>
    <row r="50" spans="1:5" x14ac:dyDescent="0.3">
      <c r="A50" s="37">
        <f t="shared" si="4"/>
        <v>48</v>
      </c>
      <c r="B50" s="54">
        <f>+'Channel 1_calculations'!J53</f>
        <v>151992901.71342963</v>
      </c>
      <c r="C50" s="13">
        <f>+'Channel 2_calculations'!J53</f>
        <v>99990216.930473596</v>
      </c>
      <c r="D50" s="13">
        <f>+'Channel 3_calculations'!J53</f>
        <v>58762081.900443621</v>
      </c>
      <c r="E50" s="55">
        <f t="shared" si="1"/>
        <v>310745200.54434687</v>
      </c>
    </row>
    <row r="51" spans="1:5" x14ac:dyDescent="0.3">
      <c r="A51" s="37">
        <f t="shared" si="4"/>
        <v>49</v>
      </c>
      <c r="B51" s="54">
        <f>+'Channel 1_calculations'!J54</f>
        <v>166027038.90601709</v>
      </c>
      <c r="C51" s="13">
        <f>+'Channel 2_calculations'!J54</f>
        <v>104664311.36264157</v>
      </c>
      <c r="D51" s="13">
        <f>+'Channel 3_calculations'!J54</f>
        <v>61517774.464560896</v>
      </c>
      <c r="E51" s="55">
        <f t="shared" si="1"/>
        <v>332209124.7332195</v>
      </c>
    </row>
    <row r="52" spans="1:5" x14ac:dyDescent="0.3">
      <c r="A52" s="37">
        <f t="shared" si="4"/>
        <v>50</v>
      </c>
      <c r="B52" s="54">
        <f>+'Channel 1_calculations'!J55</f>
        <v>180544657.37510523</v>
      </c>
      <c r="C52" s="13">
        <f>+'Channel 2_calculations'!J55</f>
        <v>109434249.7800938</v>
      </c>
      <c r="D52" s="13">
        <f>+'Channel 3_calculations'!J55</f>
        <v>64336054.191850163</v>
      </c>
      <c r="E52" s="55">
        <f t="shared" si="1"/>
        <v>354314961.34704924</v>
      </c>
    </row>
    <row r="53" spans="1:5" x14ac:dyDescent="0.3">
      <c r="A53" s="37">
        <f t="shared" si="4"/>
        <v>51</v>
      </c>
      <c r="B53" s="54">
        <f>+'Channel 1_calculations'!J56</f>
        <v>195537701.13002139</v>
      </c>
      <c r="C53" s="13">
        <f>+'Channel 2_calculations'!J56</f>
        <v>114299326.44985823</v>
      </c>
      <c r="D53" s="13">
        <f>+'Channel 3_calculations'!J56</f>
        <v>67216879.621948391</v>
      </c>
      <c r="E53" s="55">
        <f t="shared" si="1"/>
        <v>377053907.201828</v>
      </c>
    </row>
    <row r="54" spans="1:5" x14ac:dyDescent="0.3">
      <c r="A54" s="37">
        <f t="shared" si="4"/>
        <v>52</v>
      </c>
      <c r="B54" s="54">
        <f>+'Channel 1_calculations'!J57</f>
        <v>210999510.82125905</v>
      </c>
      <c r="C54" s="13">
        <f>+'Channel 2_calculations'!J57</f>
        <v>119258925.88976514</v>
      </c>
      <c r="D54" s="13">
        <f>+'Channel 3_calculations'!J57</f>
        <v>70160213.343732893</v>
      </c>
      <c r="E54" s="55">
        <f t="shared" si="1"/>
        <v>400418650.05475706</v>
      </c>
    </row>
    <row r="55" spans="1:5" x14ac:dyDescent="0.3">
      <c r="A55" s="37">
        <f t="shared" si="4"/>
        <v>53</v>
      </c>
      <c r="B55" s="54">
        <f>+'Channel 1_calculations'!J58</f>
        <v>226923798.50827047</v>
      </c>
      <c r="C55" s="13">
        <f>+'Channel 2_calculations'!J58</f>
        <v>124312454.64448985</v>
      </c>
      <c r="D55" s="13">
        <f>+'Channel 3_calculations'!J58</f>
        <v>73166018.592424735</v>
      </c>
      <c r="E55" s="55">
        <f t="shared" si="1"/>
        <v>424402271.74518508</v>
      </c>
    </row>
    <row r="56" spans="1:5" x14ac:dyDescent="0.3">
      <c r="A56" s="37">
        <f t="shared" si="4"/>
        <v>54</v>
      </c>
      <c r="B56" s="54">
        <f>+'Channel 1_calculations'!J59</f>
        <v>243304609.17736328</v>
      </c>
      <c r="C56" s="13">
        <f>+'Channel 2_calculations'!J59</f>
        <v>129459339.97457583</v>
      </c>
      <c r="D56" s="13">
        <f>+'Channel 3_calculations'!J59</f>
        <v>76234259.550628304</v>
      </c>
      <c r="E56" s="55">
        <f t="shared" si="1"/>
        <v>448998208.7025674</v>
      </c>
    </row>
    <row r="57" spans="1:5" x14ac:dyDescent="0.3">
      <c r="A57" s="37">
        <f t="shared" si="4"/>
        <v>55</v>
      </c>
      <c r="B57" s="54">
        <f>+'Channel 1_calculations'!J60</f>
        <v>260136288.70738816</v>
      </c>
      <c r="C57" s="13">
        <f>+'Channel 2_calculations'!J60</f>
        <v>134699028.72003832</v>
      </c>
      <c r="D57" s="13">
        <f>+'Channel 3_calculations'!J60</f>
        <v>79364901.037682429</v>
      </c>
      <c r="E57" s="55">
        <f t="shared" si="1"/>
        <v>474200218.46510887</v>
      </c>
    </row>
    <row r="58" spans="1:5" x14ac:dyDescent="0.3">
      <c r="A58" s="37">
        <f t="shared" si="4"/>
        <v>56</v>
      </c>
      <c r="B58" s="54">
        <f>+'Channel 1_calculations'!J61</f>
        <v>277413457.296673</v>
      </c>
      <c r="C58" s="13">
        <f>+'Channel 2_calculations'!J61</f>
        <v>140030986.32249564</v>
      </c>
      <c r="D58" s="13">
        <f>+'Channel 3_calculations'!J61</f>
        <v>82557908.81049706</v>
      </c>
      <c r="E58" s="55">
        <f t="shared" si="1"/>
        <v>500002352.42966568</v>
      </c>
    </row>
    <row r="59" spans="1:5" x14ac:dyDescent="0.3">
      <c r="A59" s="37">
        <f t="shared" si="4"/>
        <v>57</v>
      </c>
      <c r="B59" s="54">
        <f>+'Channel 1_calculations'!J62</f>
        <v>295130987.55534071</v>
      </c>
      <c r="C59" s="13">
        <f>+'Channel 2_calculations'!J62</f>
        <v>145454695.99219719</v>
      </c>
      <c r="D59" s="13">
        <f>+'Channel 3_calculations'!J62</f>
        <v>85813249.255320191</v>
      </c>
      <c r="E59" s="55">
        <f t="shared" si="1"/>
        <v>526398932.80285811</v>
      </c>
    </row>
    <row r="60" spans="1:5" x14ac:dyDescent="0.3">
      <c r="A60" s="37">
        <f t="shared" si="4"/>
        <v>58</v>
      </c>
      <c r="B60" s="54">
        <f>+'Channel 1_calculations'!J63</f>
        <v>313283986.62346804</v>
      </c>
      <c r="C60" s="13">
        <f>+'Channel 2_calculations'!J63</f>
        <v>150969658.00846905</v>
      </c>
      <c r="D60" s="13">
        <f>+'Channel 3_calculations'!J63</f>
        <v>89130889.688659966</v>
      </c>
      <c r="E60" s="55">
        <f t="shared" si="1"/>
        <v>553384534.32059705</v>
      </c>
    </row>
    <row r="61" spans="1:5" x14ac:dyDescent="0.3">
      <c r="A61" s="37">
        <f t="shared" si="4"/>
        <v>59</v>
      </c>
      <c r="B61" s="54">
        <f>+'Channel 1_calculations'!J64</f>
        <v>331867781.80486119</v>
      </c>
      <c r="C61" s="13">
        <f>+'Channel 2_calculations'!J64</f>
        <v>156575389.1440227</v>
      </c>
      <c r="D61" s="13">
        <f>+'Channel 3_calculations'!J64</f>
        <v>92510798.051138937</v>
      </c>
      <c r="E61" s="55">
        <f t="shared" si="1"/>
        <v>580953969.00002289</v>
      </c>
    </row>
    <row r="62" spans="1:5" x14ac:dyDescent="0.3">
      <c r="A62" s="37">
        <f t="shared" si="4"/>
        <v>60</v>
      </c>
      <c r="B62" s="56">
        <f>+'Channel 1_calculations'!J65</f>
        <v>350878065.13838756</v>
      </c>
      <c r="C62" s="57">
        <f>+'Channel 2_calculations'!J65</f>
        <v>162271435.55326176</v>
      </c>
      <c r="D62" s="57">
        <f>+'Channel 3_calculations'!J65</f>
        <v>95952943.208792537</v>
      </c>
      <c r="E62" s="58">
        <f t="shared" si="1"/>
        <v>609102443.90044188</v>
      </c>
    </row>
  </sheetData>
  <mergeCells count="2">
    <mergeCell ref="A1:E1"/>
    <mergeCell ref="Q1:U1"/>
  </mergeCells>
  <conditionalFormatting sqref="A1:A62">
    <cfRule type="cellIs" dxfId="26" priority="8" operator="lessThan">
      <formula>0</formula>
    </cfRule>
  </conditionalFormatting>
  <conditionalFormatting sqref="A2:E2">
    <cfRule type="cellIs" dxfId="25" priority="9" operator="lessThan">
      <formula>0</formula>
    </cfRule>
  </conditionalFormatting>
  <conditionalFormatting sqref="Q1:Q7">
    <cfRule type="cellIs" dxfId="24" priority="6" operator="lessThan">
      <formula>0</formula>
    </cfRule>
  </conditionalFormatting>
  <conditionalFormatting sqref="Q2:W2">
    <cfRule type="cellIs" dxfId="23" priority="3" operator="lessThan">
      <formula>0</formula>
    </cfRule>
  </conditionalFormatting>
  <conditionalFormatting sqref="V3:V7">
    <cfRule type="cellIs" dxfId="22" priority="2" operator="lessThan">
      <formula>0</formula>
    </cfRule>
  </conditionalFormatting>
  <conditionalFormatting sqref="W7">
    <cfRule type="cellIs" dxfId="21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1"/>
  <sheetViews>
    <sheetView zoomScale="120" zoomScaleNormal="120" workbookViewId="0">
      <selection activeCell="D6" sqref="D6:D7"/>
    </sheetView>
  </sheetViews>
  <sheetFormatPr defaultColWidth="9.109375" defaultRowHeight="14.4" x14ac:dyDescent="0.3"/>
  <cols>
    <col min="1" max="1" width="9.109375" style="5"/>
    <col min="2" max="2" width="16.44140625" style="5" customWidth="1"/>
    <col min="3" max="3" width="11.33203125" style="5" customWidth="1"/>
    <col min="4" max="4" width="13.6640625" style="31" customWidth="1"/>
    <col min="5" max="5" width="15.33203125" style="5" customWidth="1"/>
    <col min="6" max="6" width="17" style="5" customWidth="1"/>
    <col min="7" max="7" width="18.44140625" style="5" customWidth="1"/>
    <col min="8" max="8" width="25.44140625" style="5" customWidth="1"/>
    <col min="9" max="9" width="16.33203125" style="5" customWidth="1"/>
    <col min="10" max="10" width="27.5546875" style="5" customWidth="1"/>
    <col min="11" max="11" width="9.109375" style="5"/>
    <col min="12" max="12" width="39.6640625" style="5" customWidth="1"/>
    <col min="13" max="16384" width="9.109375" style="5"/>
  </cols>
  <sheetData>
    <row r="1" spans="1:10" x14ac:dyDescent="0.3">
      <c r="B1" s="8" t="s">
        <v>93</v>
      </c>
      <c r="C1" s="4">
        <f>+'Inputs &amp; Assuptions'!$B$2</f>
        <v>600</v>
      </c>
      <c r="E1" s="8" t="s">
        <v>94</v>
      </c>
      <c r="F1" s="4">
        <v>4</v>
      </c>
      <c r="H1" s="28"/>
      <c r="J1" s="28"/>
    </row>
    <row r="2" spans="1:10" x14ac:dyDescent="0.3">
      <c r="B2" s="8" t="s">
        <v>95</v>
      </c>
      <c r="C2" s="14">
        <f>+'Inputs &amp; Assuptions'!$B$3</f>
        <v>0.05</v>
      </c>
      <c r="E2" s="8" t="s">
        <v>96</v>
      </c>
      <c r="F2" s="15">
        <f>+'Inputs &amp; Assuptions'!$B$7</f>
        <v>0.25</v>
      </c>
    </row>
    <row r="3" spans="1:10" x14ac:dyDescent="0.3">
      <c r="B3" s="8" t="s">
        <v>15</v>
      </c>
      <c r="C3" s="14">
        <f>+'Inputs &amp; Assuptions'!$B$8</f>
        <v>0.4</v>
      </c>
    </row>
    <row r="5" spans="1:10" x14ac:dyDescent="0.3">
      <c r="A5" s="8" t="s">
        <v>89</v>
      </c>
      <c r="B5" s="8" t="s">
        <v>97</v>
      </c>
      <c r="C5" s="8" t="s">
        <v>98</v>
      </c>
      <c r="D5" s="8" t="s">
        <v>99</v>
      </c>
      <c r="E5" s="8" t="s">
        <v>100</v>
      </c>
      <c r="F5" s="8" t="s">
        <v>9</v>
      </c>
      <c r="G5" s="8" t="s">
        <v>13</v>
      </c>
      <c r="H5" s="8" t="s">
        <v>101</v>
      </c>
      <c r="I5" s="8" t="s">
        <v>102</v>
      </c>
      <c r="J5" s="85" t="s">
        <v>103</v>
      </c>
    </row>
    <row r="6" spans="1:10" x14ac:dyDescent="0.3">
      <c r="A6" s="8">
        <v>1</v>
      </c>
      <c r="B6" s="16">
        <f>+'Channel 1 Sales'!C6</f>
        <v>3480.0000000000005</v>
      </c>
      <c r="C6" s="17">
        <f t="array" ref="C6:C65">+TRANSPOSE('Channel 1 Sales'!$F$67:$BM$67)</f>
        <v>3480.0000000000005</v>
      </c>
      <c r="D6" s="31">
        <f>IF(MOD($A6, 12) = 0, $C$1 * 1.05, $C$1)</f>
        <v>600</v>
      </c>
      <c r="E6" s="18">
        <f t="shared" ref="E6:E37" si="0">+C6*D6</f>
        <v>2088000.0000000002</v>
      </c>
      <c r="F6" s="18">
        <f t="shared" ref="F6:F37" si="1">-$F$1*B6*D6</f>
        <v>-8352000.0000000009</v>
      </c>
      <c r="G6" s="18">
        <f t="shared" ref="G6:G37" si="2">-E6*$F$2</f>
        <v>-522000.00000000006</v>
      </c>
      <c r="H6" s="18">
        <f t="shared" ref="H6:H37" si="3">-E6*$C$3</f>
        <v>-835200.00000000012</v>
      </c>
      <c r="I6" s="18">
        <f t="shared" ref="I6:I37" si="4">+E6+F6+G6+H6</f>
        <v>-7621200.0000000009</v>
      </c>
      <c r="J6" s="86">
        <f>+I6</f>
        <v>-7621200.0000000009</v>
      </c>
    </row>
    <row r="7" spans="1:10" x14ac:dyDescent="0.3">
      <c r="A7" s="8">
        <f t="shared" ref="A7:A38" si="5">+A6+1</f>
        <v>2</v>
      </c>
      <c r="B7" s="20">
        <f>+'Channel 1 Sales'!C7</f>
        <v>3480.0000000000005</v>
      </c>
      <c r="C7" s="21">
        <v>6594.6</v>
      </c>
      <c r="D7" s="31">
        <f>IF(MOD($A7-1, 12) = 0, D6 * 1.05, D6)</f>
        <v>600</v>
      </c>
      <c r="E7" s="22">
        <f t="shared" si="0"/>
        <v>3956760</v>
      </c>
      <c r="F7" s="22">
        <f t="shared" si="1"/>
        <v>-8352000.0000000009</v>
      </c>
      <c r="G7" s="22">
        <f t="shared" si="2"/>
        <v>-989190</v>
      </c>
      <c r="H7" s="22">
        <f t="shared" si="3"/>
        <v>-1582704</v>
      </c>
      <c r="I7" s="22">
        <f t="shared" si="4"/>
        <v>-6967134.0000000009</v>
      </c>
      <c r="J7" s="86">
        <f t="shared" ref="J7:J38" si="6">+J6+I7</f>
        <v>-14588334.000000002</v>
      </c>
    </row>
    <row r="8" spans="1:10" x14ac:dyDescent="0.3">
      <c r="A8" s="8">
        <f t="shared" si="5"/>
        <v>3</v>
      </c>
      <c r="B8" s="20">
        <f>+'Channel 1 Sales'!C8</f>
        <v>3480.0000000000005</v>
      </c>
      <c r="C8" s="21">
        <v>9460.0320000000011</v>
      </c>
      <c r="D8" s="31">
        <f t="shared" ref="D8:D65" si="7">IF(MOD($A8-1, 12) = 0, D7 * 1.05, D7)</f>
        <v>600</v>
      </c>
      <c r="E8" s="22">
        <f t="shared" si="0"/>
        <v>5676019.2000000002</v>
      </c>
      <c r="F8" s="22">
        <f t="shared" si="1"/>
        <v>-8352000.0000000009</v>
      </c>
      <c r="G8" s="22">
        <f t="shared" si="2"/>
        <v>-1419004.8</v>
      </c>
      <c r="H8" s="22">
        <f t="shared" si="3"/>
        <v>-2270407.6800000002</v>
      </c>
      <c r="I8" s="22">
        <f t="shared" si="4"/>
        <v>-6365393.2800000012</v>
      </c>
      <c r="J8" s="86">
        <f t="shared" si="6"/>
        <v>-20953727.280000001</v>
      </c>
    </row>
    <row r="9" spans="1:10" x14ac:dyDescent="0.3">
      <c r="A9" s="8">
        <f t="shared" si="5"/>
        <v>4</v>
      </c>
      <c r="B9" s="20">
        <f>+'Channel 1 Sales'!C9</f>
        <v>3480.0000000000005</v>
      </c>
      <c r="C9" s="21">
        <v>12167.865240000001</v>
      </c>
      <c r="D9" s="31">
        <f t="shared" si="7"/>
        <v>600</v>
      </c>
      <c r="E9" s="22">
        <f t="shared" si="0"/>
        <v>7300719.1440000003</v>
      </c>
      <c r="F9" s="22">
        <f t="shared" si="1"/>
        <v>-8352000.0000000009</v>
      </c>
      <c r="G9" s="22">
        <f t="shared" si="2"/>
        <v>-1825179.7860000001</v>
      </c>
      <c r="H9" s="22">
        <f t="shared" si="3"/>
        <v>-2920287.6576000005</v>
      </c>
      <c r="I9" s="22">
        <f t="shared" si="4"/>
        <v>-5796748.2996000014</v>
      </c>
      <c r="J9" s="86">
        <f t="shared" si="6"/>
        <v>-26750475.579600003</v>
      </c>
    </row>
    <row r="10" spans="1:10" x14ac:dyDescent="0.3">
      <c r="A10" s="8">
        <f t="shared" si="5"/>
        <v>5</v>
      </c>
      <c r="B10" s="20">
        <f>+'Channel 1 Sales'!C10</f>
        <v>3480.0000000000005</v>
      </c>
      <c r="C10" s="21">
        <v>14740.306818000001</v>
      </c>
      <c r="D10" s="31">
        <f t="shared" si="7"/>
        <v>600</v>
      </c>
      <c r="E10" s="22">
        <f t="shared" si="0"/>
        <v>8844184.0908000004</v>
      </c>
      <c r="F10" s="22">
        <f t="shared" si="1"/>
        <v>-8352000.0000000009</v>
      </c>
      <c r="G10" s="22">
        <f t="shared" si="2"/>
        <v>-2211046.0227000001</v>
      </c>
      <c r="H10" s="22">
        <f t="shared" si="3"/>
        <v>-3537673.6363200005</v>
      </c>
      <c r="I10" s="22">
        <f t="shared" si="4"/>
        <v>-5256535.5682200007</v>
      </c>
      <c r="J10" s="86">
        <f t="shared" si="6"/>
        <v>-32007011.147820003</v>
      </c>
    </row>
    <row r="11" spans="1:10" x14ac:dyDescent="0.3">
      <c r="A11" s="8">
        <f t="shared" si="5"/>
        <v>6</v>
      </c>
      <c r="B11" s="20">
        <f>+'Channel 1 Sales'!C11</f>
        <v>3480.0000000000005</v>
      </c>
      <c r="C11" s="21">
        <v>17196.98852499</v>
      </c>
      <c r="D11" s="31">
        <f t="shared" si="7"/>
        <v>600</v>
      </c>
      <c r="E11" s="22">
        <f t="shared" si="0"/>
        <v>10318193.114994001</v>
      </c>
      <c r="F11" s="22">
        <f t="shared" si="1"/>
        <v>-8352000.0000000009</v>
      </c>
      <c r="G11" s="22">
        <f t="shared" si="2"/>
        <v>-2579548.2787485002</v>
      </c>
      <c r="H11" s="22">
        <f t="shared" si="3"/>
        <v>-4127277.2459976003</v>
      </c>
      <c r="I11" s="22">
        <f t="shared" si="4"/>
        <v>-4740632.4097521007</v>
      </c>
      <c r="J11" s="86">
        <f t="shared" si="6"/>
        <v>-36747643.557572104</v>
      </c>
    </row>
    <row r="12" spans="1:10" x14ac:dyDescent="0.3">
      <c r="A12" s="8">
        <f t="shared" si="5"/>
        <v>7</v>
      </c>
      <c r="B12" s="20">
        <f>+'Channel 1 Sales'!C12</f>
        <v>3480.0000000000005</v>
      </c>
      <c r="C12" s="21">
        <v>19555.402963700402</v>
      </c>
      <c r="D12" s="31">
        <f t="shared" si="7"/>
        <v>600</v>
      </c>
      <c r="E12" s="22">
        <f t="shared" si="0"/>
        <v>11733241.778220242</v>
      </c>
      <c r="F12" s="22">
        <f t="shared" si="1"/>
        <v>-8352000.0000000009</v>
      </c>
      <c r="G12" s="22">
        <f t="shared" si="2"/>
        <v>-2933310.4445550605</v>
      </c>
      <c r="H12" s="22">
        <f t="shared" si="3"/>
        <v>-4693296.7112880973</v>
      </c>
      <c r="I12" s="22">
        <f t="shared" si="4"/>
        <v>-4245365.3776229173</v>
      </c>
      <c r="J12" s="86">
        <f t="shared" si="6"/>
        <v>-40993008.935195021</v>
      </c>
    </row>
    <row r="13" spans="1:10" x14ac:dyDescent="0.3">
      <c r="A13" s="8">
        <f t="shared" si="5"/>
        <v>8</v>
      </c>
      <c r="B13" s="20">
        <f>+'Channel 1 Sales'!C13</f>
        <v>3480.0000000000005</v>
      </c>
      <c r="C13" s="21">
        <v>21831.272897055933</v>
      </c>
      <c r="D13" s="31">
        <f t="shared" si="7"/>
        <v>600</v>
      </c>
      <c r="E13" s="22">
        <f t="shared" si="0"/>
        <v>13098763.738233559</v>
      </c>
      <c r="F13" s="22">
        <f t="shared" si="1"/>
        <v>-8352000.0000000009</v>
      </c>
      <c r="G13" s="22">
        <f t="shared" si="2"/>
        <v>-3274690.9345583897</v>
      </c>
      <c r="H13" s="22">
        <f t="shared" si="3"/>
        <v>-5239505.4952934235</v>
      </c>
      <c r="I13" s="22">
        <f t="shared" si="4"/>
        <v>-3767432.6916182553</v>
      </c>
      <c r="J13" s="86">
        <f t="shared" si="6"/>
        <v>-44760441.626813278</v>
      </c>
    </row>
    <row r="14" spans="1:10" x14ac:dyDescent="0.3">
      <c r="A14" s="8">
        <f t="shared" si="5"/>
        <v>9</v>
      </c>
      <c r="B14" s="20">
        <f>+'Channel 1 Sales'!C14</f>
        <v>3480.0000000000005</v>
      </c>
      <c r="C14" s="21">
        <v>24038.866732410803</v>
      </c>
      <c r="D14" s="31">
        <f t="shared" si="7"/>
        <v>600</v>
      </c>
      <c r="E14" s="22">
        <f t="shared" si="0"/>
        <v>14423320.039446482</v>
      </c>
      <c r="F14" s="22">
        <f t="shared" si="1"/>
        <v>-8352000.0000000009</v>
      </c>
      <c r="G14" s="22">
        <f t="shared" si="2"/>
        <v>-3605830.0098616206</v>
      </c>
      <c r="H14" s="22">
        <f t="shared" si="3"/>
        <v>-5769328.0157785937</v>
      </c>
      <c r="I14" s="22">
        <f t="shared" si="4"/>
        <v>-3303837.9861937328</v>
      </c>
      <c r="J14" s="86">
        <f t="shared" si="6"/>
        <v>-48064279.613007009</v>
      </c>
    </row>
    <row r="15" spans="1:10" x14ac:dyDescent="0.3">
      <c r="A15" s="8">
        <f t="shared" si="5"/>
        <v>10</v>
      </c>
      <c r="B15" s="20">
        <f>+'Channel 1 Sales'!C15</f>
        <v>3480.0000000000005</v>
      </c>
      <c r="C15" s="21">
        <v>26191.270721881803</v>
      </c>
      <c r="D15" s="31">
        <f t="shared" si="7"/>
        <v>600</v>
      </c>
      <c r="E15" s="22">
        <f t="shared" si="0"/>
        <v>15714762.433129082</v>
      </c>
      <c r="F15" s="22">
        <f t="shared" si="1"/>
        <v>-8352000.0000000009</v>
      </c>
      <c r="G15" s="22">
        <f t="shared" si="2"/>
        <v>-3928690.6082822704</v>
      </c>
      <c r="H15" s="22">
        <f t="shared" si="3"/>
        <v>-6285904.9732516333</v>
      </c>
      <c r="I15" s="22">
        <f t="shared" si="4"/>
        <v>-2851833.1484048232</v>
      </c>
      <c r="J15" s="86">
        <f t="shared" si="6"/>
        <v>-50916112.761411831</v>
      </c>
    </row>
    <row r="16" spans="1:10" x14ac:dyDescent="0.3">
      <c r="A16" s="8">
        <f t="shared" si="5"/>
        <v>11</v>
      </c>
      <c r="B16" s="20">
        <f>+'Channel 1 Sales'!C16</f>
        <v>3480.0000000000005</v>
      </c>
      <c r="C16" s="21">
        <v>28300.626631563377</v>
      </c>
      <c r="D16" s="31">
        <f t="shared" si="7"/>
        <v>600</v>
      </c>
      <c r="E16" s="22">
        <f t="shared" si="0"/>
        <v>16980375.978938024</v>
      </c>
      <c r="F16" s="22">
        <f t="shared" si="1"/>
        <v>-8352000.0000000009</v>
      </c>
      <c r="G16" s="22">
        <f t="shared" si="2"/>
        <v>-4245093.9947345061</v>
      </c>
      <c r="H16" s="22">
        <f t="shared" si="3"/>
        <v>-6792150.3915752098</v>
      </c>
      <c r="I16" s="22">
        <f t="shared" si="4"/>
        <v>-2408868.4073716914</v>
      </c>
      <c r="J16" s="86">
        <f t="shared" si="6"/>
        <v>-53324981.168783523</v>
      </c>
    </row>
    <row r="17" spans="1:10" x14ac:dyDescent="0.3">
      <c r="A17" s="8">
        <f t="shared" si="5"/>
        <v>12</v>
      </c>
      <c r="B17" s="20">
        <f>+'Channel 1 Sales'!C17</f>
        <v>3480.0000000000005</v>
      </c>
      <c r="C17" s="21">
        <v>30388.888982148143</v>
      </c>
      <c r="D17" s="31">
        <f t="shared" si="7"/>
        <v>600</v>
      </c>
      <c r="E17" s="22">
        <f t="shared" si="0"/>
        <v>18233333.389288887</v>
      </c>
      <c r="F17" s="22">
        <f t="shared" si="1"/>
        <v>-8352000.0000000009</v>
      </c>
      <c r="G17" s="22">
        <f t="shared" si="2"/>
        <v>-4558333.3473222218</v>
      </c>
      <c r="H17" s="22">
        <f t="shared" si="3"/>
        <v>-7293333.3557155551</v>
      </c>
      <c r="I17" s="22">
        <f t="shared" si="4"/>
        <v>-1970333.3137488896</v>
      </c>
      <c r="J17" s="86">
        <f t="shared" si="6"/>
        <v>-55295314.482532412</v>
      </c>
    </row>
    <row r="18" spans="1:10" x14ac:dyDescent="0.3">
      <c r="A18" s="8">
        <f t="shared" si="5"/>
        <v>13</v>
      </c>
      <c r="B18" s="20">
        <f>+'Channel 1 Sales'!C18</f>
        <v>3654.0000000000005</v>
      </c>
      <c r="C18" s="21">
        <v>32630.268709227057</v>
      </c>
      <c r="D18" s="31">
        <f t="shared" si="7"/>
        <v>630</v>
      </c>
      <c r="E18" s="22">
        <f t="shared" si="0"/>
        <v>20557069.286813047</v>
      </c>
      <c r="F18" s="22">
        <f t="shared" si="1"/>
        <v>-9208080.0000000019</v>
      </c>
      <c r="G18" s="22">
        <f t="shared" si="2"/>
        <v>-5139267.3217032617</v>
      </c>
      <c r="H18" s="22">
        <f t="shared" si="3"/>
        <v>-8222827.7147252187</v>
      </c>
      <c r="I18" s="22">
        <f t="shared" si="4"/>
        <v>-2013105.7496154355</v>
      </c>
      <c r="J18" s="86">
        <f t="shared" si="6"/>
        <v>-57308420.23214785</v>
      </c>
    </row>
    <row r="19" spans="1:10" x14ac:dyDescent="0.3">
      <c r="A19" s="8">
        <f t="shared" si="5"/>
        <v>14</v>
      </c>
      <c r="B19" s="20">
        <f>+'Channel 1 Sales'!C19</f>
        <v>3654.0000000000005</v>
      </c>
      <c r="C19" s="21">
        <v>34832.704639035182</v>
      </c>
      <c r="D19" s="31">
        <f t="shared" si="7"/>
        <v>630</v>
      </c>
      <c r="E19" s="22">
        <f t="shared" si="0"/>
        <v>21944603.922592167</v>
      </c>
      <c r="F19" s="22">
        <f t="shared" si="1"/>
        <v>-9208080.0000000019</v>
      </c>
      <c r="G19" s="22">
        <f t="shared" si="2"/>
        <v>-5486150.9806480417</v>
      </c>
      <c r="H19" s="22">
        <f t="shared" si="3"/>
        <v>-8777841.5690368675</v>
      </c>
      <c r="I19" s="22">
        <f t="shared" si="4"/>
        <v>-1527468.6270927442</v>
      </c>
      <c r="J19" s="86">
        <f t="shared" si="6"/>
        <v>-58835888.859240592</v>
      </c>
    </row>
    <row r="20" spans="1:10" x14ac:dyDescent="0.3">
      <c r="A20" s="8">
        <f t="shared" si="5"/>
        <v>15</v>
      </c>
      <c r="B20" s="20">
        <f>+'Channel 1 Sales'!C20</f>
        <v>3654.0000000000005</v>
      </c>
      <c r="C20" s="21">
        <v>37002.215109545221</v>
      </c>
      <c r="D20" s="31">
        <f t="shared" si="7"/>
        <v>630</v>
      </c>
      <c r="E20" s="22">
        <f t="shared" si="0"/>
        <v>23311395.519013491</v>
      </c>
      <c r="F20" s="22">
        <f t="shared" si="1"/>
        <v>-9208080.0000000019</v>
      </c>
      <c r="G20" s="22">
        <f t="shared" si="2"/>
        <v>-5827848.8797533726</v>
      </c>
      <c r="H20" s="22">
        <f t="shared" si="3"/>
        <v>-9324558.2076053973</v>
      </c>
      <c r="I20" s="22">
        <f t="shared" si="4"/>
        <v>-1049091.5683452813</v>
      </c>
      <c r="J20" s="86">
        <f t="shared" si="6"/>
        <v>-59884980.42758587</v>
      </c>
    </row>
    <row r="21" spans="1:10" x14ac:dyDescent="0.3">
      <c r="A21" s="8">
        <f t="shared" si="5"/>
        <v>16</v>
      </c>
      <c r="B21" s="20">
        <f>+'Channel 1 Sales'!C21</f>
        <v>3654.0000000000005</v>
      </c>
      <c r="C21" s="21">
        <v>39143.583253350167</v>
      </c>
      <c r="D21" s="31">
        <f t="shared" si="7"/>
        <v>630</v>
      </c>
      <c r="E21" s="22">
        <f t="shared" si="0"/>
        <v>24660457.449610606</v>
      </c>
      <c r="F21" s="22">
        <f t="shared" si="1"/>
        <v>-9208080.0000000019</v>
      </c>
      <c r="G21" s="22">
        <f t="shared" si="2"/>
        <v>-6165114.3624026515</v>
      </c>
      <c r="H21" s="22">
        <f t="shared" si="3"/>
        <v>-9864182.9798442423</v>
      </c>
      <c r="I21" s="22">
        <f t="shared" si="4"/>
        <v>-576919.89263628982</v>
      </c>
      <c r="J21" s="86">
        <f t="shared" si="6"/>
        <v>-60461900.320222162</v>
      </c>
    </row>
    <row r="22" spans="1:10" x14ac:dyDescent="0.3">
      <c r="A22" s="8">
        <f t="shared" si="5"/>
        <v>17</v>
      </c>
      <c r="B22" s="20">
        <f>+'Channel 1 Sales'!C22</f>
        <v>3654.0000000000005</v>
      </c>
      <c r="C22" s="21">
        <v>41258.122049237063</v>
      </c>
      <c r="D22" s="31">
        <f t="shared" si="7"/>
        <v>630</v>
      </c>
      <c r="E22" s="22">
        <f t="shared" si="0"/>
        <v>25992616.891019348</v>
      </c>
      <c r="F22" s="22">
        <f t="shared" si="1"/>
        <v>-9208080.0000000019</v>
      </c>
      <c r="G22" s="22">
        <f t="shared" si="2"/>
        <v>-6498154.222754837</v>
      </c>
      <c r="H22" s="22">
        <f t="shared" si="3"/>
        <v>-10397046.75640774</v>
      </c>
      <c r="I22" s="22">
        <f t="shared" si="4"/>
        <v>-110664.08814323135</v>
      </c>
      <c r="J22" s="86">
        <f t="shared" si="6"/>
        <v>-60572564.408365391</v>
      </c>
    </row>
    <row r="23" spans="1:10" x14ac:dyDescent="0.3">
      <c r="A23" s="8">
        <f t="shared" si="5"/>
        <v>18</v>
      </c>
      <c r="B23" s="20">
        <f>+'Channel 1 Sales'!C23</f>
        <v>3654.0000000000005</v>
      </c>
      <c r="C23" s="21">
        <v>43347.013684403588</v>
      </c>
      <c r="D23" s="31">
        <f t="shared" si="7"/>
        <v>630</v>
      </c>
      <c r="E23" s="22">
        <f t="shared" si="0"/>
        <v>27308618.621174261</v>
      </c>
      <c r="F23" s="22">
        <f t="shared" si="1"/>
        <v>-9208080.0000000019</v>
      </c>
      <c r="G23" s="22">
        <f t="shared" si="2"/>
        <v>-6827154.6552935652</v>
      </c>
      <c r="H23" s="22">
        <f t="shared" si="3"/>
        <v>-10923447.448469706</v>
      </c>
      <c r="I23" s="22">
        <f t="shared" si="4"/>
        <v>349936.51741098985</v>
      </c>
      <c r="J23" s="86">
        <f t="shared" si="6"/>
        <v>-60222627.890954405</v>
      </c>
    </row>
    <row r="24" spans="1:10" x14ac:dyDescent="0.3">
      <c r="A24" s="8">
        <f t="shared" si="5"/>
        <v>19</v>
      </c>
      <c r="B24" s="20">
        <f>+'Channel 1 Sales'!C24</f>
        <v>3654.0000000000005</v>
      </c>
      <c r="C24" s="21">
        <v>45411.331380657961</v>
      </c>
      <c r="D24" s="31">
        <f t="shared" si="7"/>
        <v>630</v>
      </c>
      <c r="E24" s="22">
        <f t="shared" si="0"/>
        <v>28609138.769814514</v>
      </c>
      <c r="F24" s="22">
        <f t="shared" si="1"/>
        <v>-9208080.0000000019</v>
      </c>
      <c r="G24" s="22">
        <f t="shared" si="2"/>
        <v>-7152284.6924536284</v>
      </c>
      <c r="H24" s="22">
        <f t="shared" si="3"/>
        <v>-11443655.507925807</v>
      </c>
      <c r="I24" s="22">
        <f t="shared" si="4"/>
        <v>805118.56943507865</v>
      </c>
      <c r="J24" s="86">
        <f t="shared" si="6"/>
        <v>-59417509.32151933</v>
      </c>
    </row>
    <row r="25" spans="1:10" x14ac:dyDescent="0.3">
      <c r="A25" s="8">
        <f t="shared" si="5"/>
        <v>20</v>
      </c>
      <c r="B25" s="20">
        <f>+'Channel 1 Sales'!C25</f>
        <v>3654.0000000000005</v>
      </c>
      <c r="C25" s="21">
        <v>47452.057881901404</v>
      </c>
      <c r="D25" s="31">
        <f t="shared" si="7"/>
        <v>630</v>
      </c>
      <c r="E25" s="22">
        <f t="shared" si="0"/>
        <v>29894796.465597887</v>
      </c>
      <c r="F25" s="22">
        <f t="shared" si="1"/>
        <v>-9208080.0000000019</v>
      </c>
      <c r="G25" s="22">
        <f t="shared" si="2"/>
        <v>-7473699.1163994716</v>
      </c>
      <c r="H25" s="22">
        <f t="shared" si="3"/>
        <v>-11957918.586239155</v>
      </c>
      <c r="I25" s="22">
        <f t="shared" si="4"/>
        <v>1255098.7629592568</v>
      </c>
      <c r="J25" s="86">
        <f t="shared" si="6"/>
        <v>-58162410.558560073</v>
      </c>
    </row>
    <row r="26" spans="1:10" x14ac:dyDescent="0.3">
      <c r="A26" s="8">
        <f t="shared" si="5"/>
        <v>21</v>
      </c>
      <c r="B26" s="20">
        <f>+'Channel 1 Sales'!C26</f>
        <v>3654.0000000000005</v>
      </c>
      <c r="C26" s="21">
        <v>49470.101248199062</v>
      </c>
      <c r="D26" s="31">
        <f t="shared" si="7"/>
        <v>630</v>
      </c>
      <c r="E26" s="22">
        <f t="shared" si="0"/>
        <v>31166163.786365408</v>
      </c>
      <c r="F26" s="22">
        <f t="shared" si="1"/>
        <v>-9208080.0000000019</v>
      </c>
      <c r="G26" s="22">
        <f t="shared" si="2"/>
        <v>-7791540.9465913521</v>
      </c>
      <c r="H26" s="22">
        <f t="shared" si="3"/>
        <v>-12466465.514546163</v>
      </c>
      <c r="I26" s="22">
        <f t="shared" si="4"/>
        <v>1700077.3252278902</v>
      </c>
      <c r="J26" s="86">
        <f t="shared" si="6"/>
        <v>-56462333.233332187</v>
      </c>
    </row>
    <row r="27" spans="1:10" x14ac:dyDescent="0.3">
      <c r="A27" s="8">
        <f t="shared" si="5"/>
        <v>22</v>
      </c>
      <c r="B27" s="20">
        <f>+'Channel 1 Sales'!C27</f>
        <v>3654.0000000000005</v>
      </c>
      <c r="C27" s="21">
        <v>51466.308485457223</v>
      </c>
      <c r="D27" s="31">
        <f t="shared" si="7"/>
        <v>630</v>
      </c>
      <c r="E27" s="22">
        <f t="shared" si="0"/>
        <v>32423774.345838051</v>
      </c>
      <c r="F27" s="22">
        <f t="shared" si="1"/>
        <v>-9208080.0000000019</v>
      </c>
      <c r="G27" s="22">
        <f t="shared" si="2"/>
        <v>-8105943.5864595128</v>
      </c>
      <c r="H27" s="22">
        <f t="shared" si="3"/>
        <v>-12969509.738335222</v>
      </c>
      <c r="I27" s="22">
        <f t="shared" si="4"/>
        <v>2140241.0210433118</v>
      </c>
      <c r="J27" s="86">
        <f t="shared" si="6"/>
        <v>-54322092.212288871</v>
      </c>
    </row>
    <row r="28" spans="1:10" x14ac:dyDescent="0.3">
      <c r="A28" s="8">
        <f t="shared" si="5"/>
        <v>23</v>
      </c>
      <c r="B28" s="20">
        <f>+'Channel 1 Sales'!C28</f>
        <v>3654.0000000000005</v>
      </c>
      <c r="C28" s="21">
        <v>53441.477448348058</v>
      </c>
      <c r="D28" s="31">
        <f t="shared" si="7"/>
        <v>630</v>
      </c>
      <c r="E28" s="22">
        <f t="shared" si="0"/>
        <v>33668130.792459279</v>
      </c>
      <c r="F28" s="22">
        <f t="shared" si="1"/>
        <v>-9208080.0000000019</v>
      </c>
      <c r="G28" s="22">
        <f t="shared" si="2"/>
        <v>-8417032.6981148198</v>
      </c>
      <c r="H28" s="22">
        <f t="shared" si="3"/>
        <v>-13467252.316983713</v>
      </c>
      <c r="I28" s="22">
        <f t="shared" si="4"/>
        <v>2575765.7773607466</v>
      </c>
      <c r="J28" s="86">
        <f t="shared" si="6"/>
        <v>-51746326.434928127</v>
      </c>
    </row>
    <row r="29" spans="1:10" x14ac:dyDescent="0.3">
      <c r="A29" s="8">
        <f t="shared" si="5"/>
        <v>24</v>
      </c>
      <c r="B29" s="20">
        <f>+'Channel 1 Sales'!C29</f>
        <v>3654.0000000000005</v>
      </c>
      <c r="C29" s="21">
        <v>55396.894721610006</v>
      </c>
      <c r="D29" s="31">
        <f t="shared" si="7"/>
        <v>630</v>
      </c>
      <c r="E29" s="22">
        <f t="shared" si="0"/>
        <v>34900043.674614303</v>
      </c>
      <c r="F29" s="22">
        <f t="shared" si="1"/>
        <v>-9208080.0000000019</v>
      </c>
      <c r="G29" s="22">
        <f t="shared" si="2"/>
        <v>-8725010.9186535757</v>
      </c>
      <c r="H29" s="22">
        <f t="shared" si="3"/>
        <v>-13960017.469845721</v>
      </c>
      <c r="I29" s="22">
        <f t="shared" si="4"/>
        <v>3006935.2861150037</v>
      </c>
      <c r="J29" s="86">
        <f t="shared" si="6"/>
        <v>-48739391.148813121</v>
      </c>
    </row>
    <row r="30" spans="1:10" x14ac:dyDescent="0.3">
      <c r="A30" s="8">
        <f t="shared" si="5"/>
        <v>25</v>
      </c>
      <c r="B30" s="20">
        <f>+'Channel 1 Sales'!C30</f>
        <v>3836.7000000000003</v>
      </c>
      <c r="C30" s="21">
        <v>57515.457822139317</v>
      </c>
      <c r="D30" s="31">
        <f t="shared" si="7"/>
        <v>661.5</v>
      </c>
      <c r="E30" s="22">
        <f t="shared" si="0"/>
        <v>38046475.349345155</v>
      </c>
      <c r="F30" s="22">
        <f t="shared" si="1"/>
        <v>-10151908.200000001</v>
      </c>
      <c r="G30" s="22">
        <f t="shared" si="2"/>
        <v>-9511618.8373362888</v>
      </c>
      <c r="H30" s="22">
        <f t="shared" si="3"/>
        <v>-15218590.139738062</v>
      </c>
      <c r="I30" s="22">
        <f t="shared" si="4"/>
        <v>3164358.1722708028</v>
      </c>
      <c r="J30" s="86">
        <f t="shared" si="6"/>
        <v>-45575032.976542316</v>
      </c>
    </row>
    <row r="31" spans="1:10" x14ac:dyDescent="0.3">
      <c r="A31" s="8">
        <f t="shared" si="5"/>
        <v>26</v>
      </c>
      <c r="B31" s="20">
        <f>+'Channel 1 Sales'!C31</f>
        <v>3836.7000000000003</v>
      </c>
      <c r="C31" s="21">
        <v>59595.478791663336</v>
      </c>
      <c r="D31" s="31">
        <f t="shared" si="7"/>
        <v>661.5</v>
      </c>
      <c r="E31" s="22">
        <f t="shared" si="0"/>
        <v>39422409.220685296</v>
      </c>
      <c r="F31" s="22">
        <f t="shared" si="1"/>
        <v>-10151908.200000001</v>
      </c>
      <c r="G31" s="22">
        <f t="shared" si="2"/>
        <v>-9855602.3051713239</v>
      </c>
      <c r="H31" s="22">
        <f t="shared" si="3"/>
        <v>-15768963.688274119</v>
      </c>
      <c r="I31" s="22">
        <f t="shared" si="4"/>
        <v>3645935.0272398479</v>
      </c>
      <c r="J31" s="86">
        <f t="shared" si="6"/>
        <v>-41929097.949302465</v>
      </c>
    </row>
    <row r="32" spans="1:10" x14ac:dyDescent="0.3">
      <c r="A32" s="8">
        <f t="shared" si="5"/>
        <v>27</v>
      </c>
      <c r="B32" s="20">
        <f>+'Channel 1 Sales'!C32</f>
        <v>3836.7000000000003</v>
      </c>
      <c r="C32" s="21">
        <v>61643.253396492109</v>
      </c>
      <c r="D32" s="31">
        <f t="shared" si="7"/>
        <v>661.5</v>
      </c>
      <c r="E32" s="22">
        <f t="shared" si="0"/>
        <v>40777012.121779531</v>
      </c>
      <c r="F32" s="22">
        <f t="shared" si="1"/>
        <v>-10151908.200000001</v>
      </c>
      <c r="G32" s="22">
        <f t="shared" si="2"/>
        <v>-10194253.030444883</v>
      </c>
      <c r="H32" s="22">
        <f t="shared" si="3"/>
        <v>-16310804.848711813</v>
      </c>
      <c r="I32" s="22">
        <f t="shared" si="4"/>
        <v>4120046.0426228326</v>
      </c>
      <c r="J32" s="86">
        <f t="shared" si="6"/>
        <v>-37809051.90667963</v>
      </c>
    </row>
    <row r="33" spans="1:10" x14ac:dyDescent="0.3">
      <c r="A33" s="8">
        <f t="shared" si="5"/>
        <v>28</v>
      </c>
      <c r="B33" s="20">
        <f>+'Channel 1 Sales'!C33</f>
        <v>3836.7000000000003</v>
      </c>
      <c r="C33" s="21">
        <v>63663.780672172601</v>
      </c>
      <c r="D33" s="31">
        <f t="shared" si="7"/>
        <v>661.5</v>
      </c>
      <c r="E33" s="22">
        <f t="shared" si="0"/>
        <v>42113590.914642178</v>
      </c>
      <c r="F33" s="22">
        <f t="shared" si="1"/>
        <v>-10151908.200000001</v>
      </c>
      <c r="G33" s="22">
        <f t="shared" si="2"/>
        <v>-10528397.728660544</v>
      </c>
      <c r="H33" s="22">
        <f t="shared" si="3"/>
        <v>-16845436.365856871</v>
      </c>
      <c r="I33" s="22">
        <f t="shared" si="4"/>
        <v>4587848.6201247573</v>
      </c>
      <c r="J33" s="86">
        <f t="shared" si="6"/>
        <v>-33221203.286554873</v>
      </c>
    </row>
    <row r="34" spans="1:10" x14ac:dyDescent="0.3">
      <c r="A34" s="8">
        <f t="shared" si="5"/>
        <v>29</v>
      </c>
      <c r="B34" s="20">
        <f>+'Channel 1 Sales'!C34</f>
        <v>3836.7000000000003</v>
      </c>
      <c r="C34" s="21">
        <v>65658.416225292298</v>
      </c>
      <c r="D34" s="31">
        <f t="shared" si="7"/>
        <v>661.5</v>
      </c>
      <c r="E34" s="22">
        <f t="shared" si="0"/>
        <v>43433042.333030857</v>
      </c>
      <c r="F34" s="22">
        <f t="shared" si="1"/>
        <v>-10151908.200000001</v>
      </c>
      <c r="G34" s="22">
        <f t="shared" si="2"/>
        <v>-10858260.583257714</v>
      </c>
      <c r="H34" s="22">
        <f t="shared" si="3"/>
        <v>-17373216.933212344</v>
      </c>
      <c r="I34" s="22">
        <f t="shared" si="4"/>
        <v>5049656.6165607981</v>
      </c>
      <c r="J34" s="86">
        <f t="shared" si="6"/>
        <v>-28171546.669994075</v>
      </c>
    </row>
    <row r="35" spans="1:10" x14ac:dyDescent="0.3">
      <c r="A35" s="8">
        <f t="shared" si="5"/>
        <v>30</v>
      </c>
      <c r="B35" s="20">
        <f>+'Channel 1 Sales'!C35</f>
        <v>3836.7000000000003</v>
      </c>
      <c r="C35" s="21">
        <v>67628.378561481208</v>
      </c>
      <c r="D35" s="31">
        <f t="shared" si="7"/>
        <v>661.5</v>
      </c>
      <c r="E35" s="22">
        <f t="shared" si="0"/>
        <v>44736172.418419816</v>
      </c>
      <c r="F35" s="22">
        <f t="shared" si="1"/>
        <v>-10151908.200000001</v>
      </c>
      <c r="G35" s="22">
        <f t="shared" si="2"/>
        <v>-11184043.104604954</v>
      </c>
      <c r="H35" s="22">
        <f t="shared" si="3"/>
        <v>-17894468.967367928</v>
      </c>
      <c r="I35" s="22">
        <f t="shared" si="4"/>
        <v>5505752.1464469321</v>
      </c>
      <c r="J35" s="86">
        <f t="shared" si="6"/>
        <v>-22665794.523547143</v>
      </c>
    </row>
    <row r="36" spans="1:10" x14ac:dyDescent="0.3">
      <c r="A36" s="8">
        <f t="shared" si="5"/>
        <v>31</v>
      </c>
      <c r="B36" s="20">
        <f>+'Channel 1 Sales'!C36</f>
        <v>3836.7000000000003</v>
      </c>
      <c r="C36" s="21">
        <v>69574.772000619734</v>
      </c>
      <c r="D36" s="31">
        <f t="shared" si="7"/>
        <v>661.5</v>
      </c>
      <c r="E36" s="22">
        <f t="shared" si="0"/>
        <v>46023711.678409956</v>
      </c>
      <c r="F36" s="22">
        <f t="shared" si="1"/>
        <v>-10151908.200000001</v>
      </c>
      <c r="G36" s="22">
        <f t="shared" si="2"/>
        <v>-11505927.919602489</v>
      </c>
      <c r="H36" s="22">
        <f t="shared" si="3"/>
        <v>-18409484.671363983</v>
      </c>
      <c r="I36" s="22">
        <f t="shared" si="4"/>
        <v>5956390.8874434792</v>
      </c>
      <c r="J36" s="86">
        <f t="shared" si="6"/>
        <v>-16709403.636103664</v>
      </c>
    </row>
    <row r="37" spans="1:10" x14ac:dyDescent="0.3">
      <c r="A37" s="8">
        <f t="shared" si="5"/>
        <v>32</v>
      </c>
      <c r="B37" s="20">
        <f>+'Channel 1 Sales'!C37</f>
        <v>3836.7000000000003</v>
      </c>
      <c r="C37" s="21">
        <v>71498.606086416068</v>
      </c>
      <c r="D37" s="31">
        <f t="shared" si="7"/>
        <v>661.5</v>
      </c>
      <c r="E37" s="22">
        <f t="shared" si="0"/>
        <v>47296327.926164232</v>
      </c>
      <c r="F37" s="22">
        <f t="shared" si="1"/>
        <v>-10151908.200000001</v>
      </c>
      <c r="G37" s="22">
        <f t="shared" si="2"/>
        <v>-11824081.981541058</v>
      </c>
      <c r="H37" s="22">
        <f t="shared" si="3"/>
        <v>-18918531.170465693</v>
      </c>
      <c r="I37" s="22">
        <f t="shared" si="4"/>
        <v>6401806.5741574764</v>
      </c>
      <c r="J37" s="86">
        <f t="shared" si="6"/>
        <v>-10307597.061946187</v>
      </c>
    </row>
    <row r="38" spans="1:10" x14ac:dyDescent="0.3">
      <c r="A38" s="8">
        <f t="shared" si="5"/>
        <v>33</v>
      </c>
      <c r="B38" s="20">
        <f>+'Channel 1 Sales'!C38</f>
        <v>3836.7000000000003</v>
      </c>
      <c r="C38" s="21">
        <v>73400.812167924407</v>
      </c>
      <c r="D38" s="31">
        <f t="shared" si="7"/>
        <v>661.5</v>
      </c>
      <c r="E38" s="22">
        <f t="shared" ref="E38:E69" si="8">+C38*D38</f>
        <v>48554637.249081992</v>
      </c>
      <c r="F38" s="22">
        <f t="shared" ref="F38:F65" si="9">-$F$1*B38*D38</f>
        <v>-10151908.200000001</v>
      </c>
      <c r="G38" s="22">
        <f t="shared" ref="G38:G65" si="10">-E38*$F$2</f>
        <v>-12138659.312270498</v>
      </c>
      <c r="H38" s="22">
        <f t="shared" ref="H38:H65" si="11">-E38*$C$3</f>
        <v>-19421854.899632797</v>
      </c>
      <c r="I38" s="22">
        <f t="shared" ref="I38:I69" si="12">+E38+F38+G38+H38</f>
        <v>6842214.8371786922</v>
      </c>
      <c r="J38" s="86">
        <f t="shared" si="6"/>
        <v>-3465382.2247674949</v>
      </c>
    </row>
    <row r="39" spans="1:10" x14ac:dyDescent="0.3">
      <c r="A39" s="8">
        <f t="shared" ref="A39:A65" si="13">+A38+1</f>
        <v>34</v>
      </c>
      <c r="B39" s="20">
        <f>+'Channel 1 Sales'!C39</f>
        <v>3836.7000000000003</v>
      </c>
      <c r="C39" s="21">
        <v>75282.257708472316</v>
      </c>
      <c r="D39" s="31">
        <f t="shared" si="7"/>
        <v>661.5</v>
      </c>
      <c r="E39" s="22">
        <f t="shared" si="8"/>
        <v>49799213.474154435</v>
      </c>
      <c r="F39" s="22">
        <f t="shared" si="9"/>
        <v>-10151908.200000001</v>
      </c>
      <c r="G39" s="22">
        <f t="shared" si="10"/>
        <v>-12449803.368538609</v>
      </c>
      <c r="H39" s="22">
        <f t="shared" si="11"/>
        <v>-19919685.389661774</v>
      </c>
      <c r="I39" s="22">
        <f t="shared" si="12"/>
        <v>7277816.5159540474</v>
      </c>
      <c r="J39" s="86">
        <f t="shared" ref="J39:J70" si="14">+J38+I39</f>
        <v>3812434.2911865525</v>
      </c>
    </row>
    <row r="40" spans="1:10" x14ac:dyDescent="0.3">
      <c r="A40" s="8">
        <f t="shared" si="13"/>
        <v>35</v>
      </c>
      <c r="B40" s="20">
        <f>+'Channel 1 Sales'!C40</f>
        <v>3836.7000000000003</v>
      </c>
      <c r="C40" s="21">
        <v>77143.758781520286</v>
      </c>
      <c r="D40" s="31">
        <f t="shared" si="7"/>
        <v>661.5</v>
      </c>
      <c r="E40" s="22">
        <f t="shared" si="8"/>
        <v>51030596.433975667</v>
      </c>
      <c r="F40" s="22">
        <f t="shared" si="9"/>
        <v>-10151908.200000001</v>
      </c>
      <c r="G40" s="22">
        <f t="shared" si="10"/>
        <v>-12757649.108493917</v>
      </c>
      <c r="H40" s="22">
        <f t="shared" si="11"/>
        <v>-20412238.573590267</v>
      </c>
      <c r="I40" s="22">
        <f t="shared" si="12"/>
        <v>7708800.5518914796</v>
      </c>
      <c r="J40" s="86">
        <f t="shared" si="14"/>
        <v>11521234.843078032</v>
      </c>
    </row>
    <row r="41" spans="1:10" x14ac:dyDescent="0.3">
      <c r="A41" s="8">
        <f t="shared" si="13"/>
        <v>36</v>
      </c>
      <c r="B41" s="20">
        <f>+'Channel 1 Sales'!C41</f>
        <v>3836.7000000000003</v>
      </c>
      <c r="C41" s="21">
        <v>78986.644843837756</v>
      </c>
      <c r="D41" s="31">
        <f t="shared" si="7"/>
        <v>661.5</v>
      </c>
      <c r="E41" s="22">
        <f t="shared" si="8"/>
        <v>52249665.564198673</v>
      </c>
      <c r="F41" s="22">
        <f t="shared" si="9"/>
        <v>-10151908.200000001</v>
      </c>
      <c r="G41" s="22">
        <f t="shared" si="10"/>
        <v>-13062416.391049668</v>
      </c>
      <c r="H41" s="22">
        <f t="shared" si="11"/>
        <v>-20899866.225679472</v>
      </c>
      <c r="I41" s="22">
        <f t="shared" si="12"/>
        <v>8135474.7474695295</v>
      </c>
      <c r="J41" s="86">
        <f t="shared" si="14"/>
        <v>19656709.590547562</v>
      </c>
    </row>
    <row r="42" spans="1:10" x14ac:dyDescent="0.3">
      <c r="A42" s="8">
        <f t="shared" si="13"/>
        <v>37</v>
      </c>
      <c r="B42" s="20">
        <f>+'Channel 1 Sales'!C42</f>
        <v>4028.5350000000003</v>
      </c>
      <c r="C42" s="21">
        <v>81002.937045532075</v>
      </c>
      <c r="D42" s="31">
        <f t="shared" si="7"/>
        <v>694.57500000000005</v>
      </c>
      <c r="E42" s="22">
        <f t="shared" si="8"/>
        <v>56262614.998400442</v>
      </c>
      <c r="F42" s="22">
        <f t="shared" si="9"/>
        <v>-11192478.790500002</v>
      </c>
      <c r="G42" s="22">
        <f t="shared" si="10"/>
        <v>-14065653.749600111</v>
      </c>
      <c r="H42" s="22">
        <f t="shared" si="11"/>
        <v>-22505045.999360178</v>
      </c>
      <c r="I42" s="22">
        <f t="shared" si="12"/>
        <v>8499436.4589401521</v>
      </c>
      <c r="J42" s="86">
        <f t="shared" si="14"/>
        <v>28156146.049487714</v>
      </c>
    </row>
    <row r="43" spans="1:10" x14ac:dyDescent="0.3">
      <c r="A43" s="8">
        <f t="shared" si="13"/>
        <v>38</v>
      </c>
      <c r="B43" s="20">
        <f>+'Channel 1 Sales'!C43</f>
        <v>4028.5350000000003</v>
      </c>
      <c r="C43" s="21">
        <v>82980.842000209421</v>
      </c>
      <c r="D43" s="31">
        <f t="shared" si="7"/>
        <v>694.57500000000005</v>
      </c>
      <c r="E43" s="22">
        <f t="shared" si="8"/>
        <v>57636418.332295462</v>
      </c>
      <c r="F43" s="22">
        <f t="shared" si="9"/>
        <v>-11192478.790500002</v>
      </c>
      <c r="G43" s="22">
        <f t="shared" si="10"/>
        <v>-14409104.583073866</v>
      </c>
      <c r="H43" s="22">
        <f t="shared" si="11"/>
        <v>-23054567.332918186</v>
      </c>
      <c r="I43" s="22">
        <f t="shared" si="12"/>
        <v>8980267.625803411</v>
      </c>
      <c r="J43" s="86">
        <f t="shared" si="14"/>
        <v>37136413.675291121</v>
      </c>
    </row>
    <row r="44" spans="1:10" x14ac:dyDescent="0.3">
      <c r="A44" s="8">
        <f t="shared" si="13"/>
        <v>39</v>
      </c>
      <c r="B44" s="20">
        <f>+'Channel 1 Sales'!C44</f>
        <v>4028.5350000000003</v>
      </c>
      <c r="C44" s="21">
        <v>84926.949442590019</v>
      </c>
      <c r="D44" s="31">
        <f t="shared" si="7"/>
        <v>694.57500000000005</v>
      </c>
      <c r="E44" s="22">
        <f t="shared" si="8"/>
        <v>58988135.909086965</v>
      </c>
      <c r="F44" s="22">
        <f t="shared" si="9"/>
        <v>-11192478.790500002</v>
      </c>
      <c r="G44" s="22">
        <f t="shared" si="10"/>
        <v>-14747033.977271741</v>
      </c>
      <c r="H44" s="22">
        <f t="shared" si="11"/>
        <v>-23595254.363634787</v>
      </c>
      <c r="I44" s="22">
        <f t="shared" si="12"/>
        <v>9453368.7776804343</v>
      </c>
      <c r="J44" s="86">
        <f t="shared" si="14"/>
        <v>46589782.452971555</v>
      </c>
    </row>
    <row r="45" spans="1:10" x14ac:dyDescent="0.3">
      <c r="A45" s="8">
        <f t="shared" si="13"/>
        <v>40</v>
      </c>
      <c r="B45" s="20">
        <f>+'Channel 1 Sales'!C45</f>
        <v>4028.5350000000003</v>
      </c>
      <c r="C45" s="21">
        <v>86846.487748291809</v>
      </c>
      <c r="D45" s="31">
        <f t="shared" si="7"/>
        <v>694.57500000000005</v>
      </c>
      <c r="E45" s="22">
        <f t="shared" si="8"/>
        <v>60321399.227769785</v>
      </c>
      <c r="F45" s="22">
        <f t="shared" si="9"/>
        <v>-11192478.790500002</v>
      </c>
      <c r="G45" s="22">
        <f t="shared" si="10"/>
        <v>-15080349.806942446</v>
      </c>
      <c r="H45" s="22">
        <f t="shared" si="11"/>
        <v>-24128559.691107914</v>
      </c>
      <c r="I45" s="22">
        <f t="shared" si="12"/>
        <v>9920010.9392194226</v>
      </c>
      <c r="J45" s="86">
        <f t="shared" si="14"/>
        <v>56509793.392190978</v>
      </c>
    </row>
    <row r="46" spans="1:10" x14ac:dyDescent="0.3">
      <c r="A46" s="8">
        <f t="shared" si="13"/>
        <v>41</v>
      </c>
      <c r="B46" s="20">
        <f>+'Channel 1 Sales'!C46</f>
        <v>4028.5350000000003</v>
      </c>
      <c r="C46" s="21">
        <v>88740.859898642389</v>
      </c>
      <c r="D46" s="31">
        <f t="shared" si="7"/>
        <v>694.57500000000005</v>
      </c>
      <c r="E46" s="22">
        <f t="shared" si="8"/>
        <v>61637182.764099538</v>
      </c>
      <c r="F46" s="22">
        <f t="shared" si="9"/>
        <v>-11192478.790500002</v>
      </c>
      <c r="G46" s="22">
        <f t="shared" si="10"/>
        <v>-15409295.691024885</v>
      </c>
      <c r="H46" s="22">
        <f t="shared" si="11"/>
        <v>-24654873.105639815</v>
      </c>
      <c r="I46" s="22">
        <f t="shared" si="12"/>
        <v>10380535.176934838</v>
      </c>
      <c r="J46" s="86">
        <f t="shared" si="14"/>
        <v>66890328.569125816</v>
      </c>
    </row>
    <row r="47" spans="1:10" x14ac:dyDescent="0.3">
      <c r="A47" s="8">
        <f t="shared" si="13"/>
        <v>42</v>
      </c>
      <c r="B47" s="20">
        <f>+'Channel 1 Sales'!C47</f>
        <v>4028.5350000000003</v>
      </c>
      <c r="C47" s="21">
        <v>90611.325123019895</v>
      </c>
      <c r="D47" s="31">
        <f t="shared" si="7"/>
        <v>694.57500000000005</v>
      </c>
      <c r="E47" s="22">
        <f t="shared" si="8"/>
        <v>62936361.147321545</v>
      </c>
      <c r="F47" s="22">
        <f t="shared" si="9"/>
        <v>-11192478.790500002</v>
      </c>
      <c r="G47" s="22">
        <f t="shared" si="10"/>
        <v>-15734090.286830386</v>
      </c>
      <c r="H47" s="22">
        <f t="shared" si="11"/>
        <v>-25174544.458928619</v>
      </c>
      <c r="I47" s="22">
        <f t="shared" si="12"/>
        <v>10835247.611062538</v>
      </c>
      <c r="J47" s="86">
        <f t="shared" si="14"/>
        <v>77725576.180188358</v>
      </c>
    </row>
    <row r="48" spans="1:10" x14ac:dyDescent="0.3">
      <c r="A48" s="8">
        <f t="shared" si="13"/>
        <v>43</v>
      </c>
      <c r="B48" s="20">
        <f>+'Channel 1 Sales'!C48</f>
        <v>4028.5350000000003</v>
      </c>
      <c r="C48" s="21">
        <v>92459.022957780689</v>
      </c>
      <c r="D48" s="31">
        <f t="shared" si="7"/>
        <v>694.57500000000005</v>
      </c>
      <c r="E48" s="22">
        <f t="shared" si="8"/>
        <v>64219725.870900527</v>
      </c>
      <c r="F48" s="22">
        <f t="shared" si="9"/>
        <v>-11192478.790500002</v>
      </c>
      <c r="G48" s="22">
        <f t="shared" si="10"/>
        <v>-16054931.467725132</v>
      </c>
      <c r="H48" s="22">
        <f t="shared" si="11"/>
        <v>-25687890.348360211</v>
      </c>
      <c r="I48" s="22">
        <f t="shared" si="12"/>
        <v>11284425.264315188</v>
      </c>
      <c r="J48" s="86">
        <f t="shared" si="14"/>
        <v>89010001.444503546</v>
      </c>
    </row>
    <row r="49" spans="1:10" x14ac:dyDescent="0.3">
      <c r="A49" s="8">
        <f t="shared" si="13"/>
        <v>44</v>
      </c>
      <c r="B49" s="20">
        <f>+'Channel 1 Sales'!C49</f>
        <v>4028.5350000000003</v>
      </c>
      <c r="C49" s="21">
        <v>94284.993624295545</v>
      </c>
      <c r="D49" s="31">
        <f t="shared" si="7"/>
        <v>694.57500000000005</v>
      </c>
      <c r="E49" s="22">
        <f t="shared" si="8"/>
        <v>65487999.44659508</v>
      </c>
      <c r="F49" s="22">
        <f t="shared" si="9"/>
        <v>-11192478.790500002</v>
      </c>
      <c r="G49" s="22">
        <f t="shared" si="10"/>
        <v>-16371999.86164877</v>
      </c>
      <c r="H49" s="22">
        <f t="shared" si="11"/>
        <v>-26195199.778638035</v>
      </c>
      <c r="I49" s="22">
        <f t="shared" si="12"/>
        <v>11728321.015808277</v>
      </c>
      <c r="J49" s="86">
        <f t="shared" si="14"/>
        <v>100738322.46031183</v>
      </c>
    </row>
    <row r="50" spans="1:10" x14ac:dyDescent="0.3">
      <c r="A50" s="8">
        <f t="shared" si="13"/>
        <v>45</v>
      </c>
      <c r="B50" s="20">
        <f>+'Channel 1 Sales'!C50</f>
        <v>4028.5350000000003</v>
      </c>
      <c r="C50" s="21">
        <v>96090.19543754372</v>
      </c>
      <c r="D50" s="31">
        <f t="shared" si="7"/>
        <v>694.57500000000005</v>
      </c>
      <c r="E50" s="22">
        <f t="shared" si="8"/>
        <v>66741847.496031933</v>
      </c>
      <c r="F50" s="22">
        <f t="shared" si="9"/>
        <v>-11192478.790500002</v>
      </c>
      <c r="G50" s="22">
        <f t="shared" si="10"/>
        <v>-16685461.874007983</v>
      </c>
      <c r="H50" s="22">
        <f t="shared" si="11"/>
        <v>-26696738.998412773</v>
      </c>
      <c r="I50" s="22">
        <f t="shared" si="12"/>
        <v>12167167.833111174</v>
      </c>
      <c r="J50" s="86">
        <f t="shared" si="14"/>
        <v>112905490.293423</v>
      </c>
    </row>
    <row r="51" spans="1:10" x14ac:dyDescent="0.3">
      <c r="A51" s="8">
        <f t="shared" si="13"/>
        <v>46</v>
      </c>
      <c r="B51" s="20">
        <f>+'Channel 1 Sales'!C51</f>
        <v>4028.5350000000003</v>
      </c>
      <c r="C51" s="21">
        <v>97875.519828506789</v>
      </c>
      <c r="D51" s="31">
        <f t="shared" si="7"/>
        <v>694.57500000000005</v>
      </c>
      <c r="E51" s="22">
        <f t="shared" si="8"/>
        <v>67981889.184885114</v>
      </c>
      <c r="F51" s="22">
        <f t="shared" si="9"/>
        <v>-11192478.790500002</v>
      </c>
      <c r="G51" s="22">
        <f t="shared" si="10"/>
        <v>-16995472.296221279</v>
      </c>
      <c r="H51" s="22">
        <f t="shared" si="11"/>
        <v>-27192755.673954047</v>
      </c>
      <c r="I51" s="22">
        <f t="shared" si="12"/>
        <v>12601182.424209788</v>
      </c>
      <c r="J51" s="86">
        <f t="shared" si="14"/>
        <v>125506672.71763279</v>
      </c>
    </row>
    <row r="52" spans="1:10" x14ac:dyDescent="0.3">
      <c r="A52" s="8">
        <f t="shared" si="13"/>
        <v>47</v>
      </c>
      <c r="B52" s="20">
        <f>+'Channel 1 Sales'!C52</f>
        <v>4028.5350000000003</v>
      </c>
      <c r="C52" s="21">
        <v>99641.804462861051</v>
      </c>
      <c r="D52" s="31">
        <f t="shared" si="7"/>
        <v>694.57500000000005</v>
      </c>
      <c r="E52" s="22">
        <f t="shared" si="8"/>
        <v>69208706.33479172</v>
      </c>
      <c r="F52" s="22">
        <f t="shared" si="9"/>
        <v>-11192478.790500002</v>
      </c>
      <c r="G52" s="22">
        <f t="shared" si="10"/>
        <v>-17302176.58369793</v>
      </c>
      <c r="H52" s="22">
        <f t="shared" si="11"/>
        <v>-27683482.533916689</v>
      </c>
      <c r="I52" s="22">
        <f t="shared" si="12"/>
        <v>13030568.4266771</v>
      </c>
      <c r="J52" s="86">
        <f t="shared" si="14"/>
        <v>138537241.14430988</v>
      </c>
    </row>
    <row r="53" spans="1:10" x14ac:dyDescent="0.3">
      <c r="A53" s="8">
        <f t="shared" si="13"/>
        <v>48</v>
      </c>
      <c r="B53" s="20">
        <f>+'Channel 1 Sales'!C53</f>
        <v>4028.5350000000003</v>
      </c>
      <c r="C53" s="21">
        <v>101390.42625087175</v>
      </c>
      <c r="D53" s="31">
        <f t="shared" si="7"/>
        <v>694.57500000000005</v>
      </c>
      <c r="E53" s="22">
        <f t="shared" si="8"/>
        <v>70423255.313199252</v>
      </c>
      <c r="F53" s="22">
        <f t="shared" si="9"/>
        <v>-11192478.790500002</v>
      </c>
      <c r="G53" s="22">
        <f t="shared" si="10"/>
        <v>-17605813.828299813</v>
      </c>
      <c r="H53" s="22">
        <f t="shared" si="11"/>
        <v>-28169302.125279702</v>
      </c>
      <c r="I53" s="22">
        <f t="shared" si="12"/>
        <v>13455660.569119737</v>
      </c>
      <c r="J53" s="86">
        <f t="shared" si="14"/>
        <v>151992901.71342963</v>
      </c>
    </row>
    <row r="54" spans="1:10" x14ac:dyDescent="0.3">
      <c r="A54" s="8">
        <f t="shared" si="13"/>
        <v>49</v>
      </c>
      <c r="B54" s="20">
        <f>+'Channel 1 Sales'!C54</f>
        <v>4229.9617500000004</v>
      </c>
      <c r="C54" s="21">
        <v>103322.98857100237</v>
      </c>
      <c r="D54" s="31">
        <f t="shared" si="7"/>
        <v>729.30375000000004</v>
      </c>
      <c r="E54" s="22">
        <f t="shared" si="8"/>
        <v>75353843.026039168</v>
      </c>
      <c r="F54" s="22">
        <f t="shared" si="9"/>
        <v>-12339707.866526252</v>
      </c>
      <c r="G54" s="22">
        <f t="shared" si="10"/>
        <v>-18838460.756509792</v>
      </c>
      <c r="H54" s="22">
        <f t="shared" si="11"/>
        <v>-30141537.210415669</v>
      </c>
      <c r="I54" s="22">
        <f t="shared" si="12"/>
        <v>14034137.192587458</v>
      </c>
      <c r="J54" s="86">
        <f t="shared" si="14"/>
        <v>166027038.90601709</v>
      </c>
    </row>
    <row r="55" spans="1:10" x14ac:dyDescent="0.3">
      <c r="A55" s="8">
        <f t="shared" si="13"/>
        <v>50</v>
      </c>
      <c r="B55" s="20">
        <f>+'Channel 1 Sales'!C55</f>
        <v>4229.9617500000004</v>
      </c>
      <c r="C55" s="21">
        <v>105217.08972668168</v>
      </c>
      <c r="D55" s="31">
        <f t="shared" si="7"/>
        <v>729.30375000000004</v>
      </c>
      <c r="E55" s="22">
        <f t="shared" si="8"/>
        <v>76735218.101755425</v>
      </c>
      <c r="F55" s="22">
        <f t="shared" si="9"/>
        <v>-12339707.866526252</v>
      </c>
      <c r="G55" s="22">
        <f t="shared" si="10"/>
        <v>-19183804.525438856</v>
      </c>
      <c r="H55" s="22">
        <f t="shared" si="11"/>
        <v>-30694087.240702171</v>
      </c>
      <c r="I55" s="22">
        <f t="shared" si="12"/>
        <v>14517618.469088148</v>
      </c>
      <c r="J55" s="86">
        <f t="shared" si="14"/>
        <v>180544657.37510523</v>
      </c>
    </row>
    <row r="56" spans="1:10" x14ac:dyDescent="0.3">
      <c r="A56" s="8">
        <f t="shared" si="13"/>
        <v>51</v>
      </c>
      <c r="B56" s="20">
        <f>+'Channel 1 Sales'!C56</f>
        <v>4229.9617500000004</v>
      </c>
      <c r="C56" s="21">
        <v>107079.63048491666</v>
      </c>
      <c r="D56" s="31">
        <f t="shared" si="7"/>
        <v>729.30375000000004</v>
      </c>
      <c r="E56" s="22">
        <f t="shared" si="8"/>
        <v>78093576.061264038</v>
      </c>
      <c r="F56" s="22">
        <f t="shared" si="9"/>
        <v>-12339707.866526252</v>
      </c>
      <c r="G56" s="22">
        <f t="shared" si="10"/>
        <v>-19523394.01531601</v>
      </c>
      <c r="H56" s="22">
        <f t="shared" si="11"/>
        <v>-31237430.424505617</v>
      </c>
      <c r="I56" s="22">
        <f t="shared" si="12"/>
        <v>14993043.754916158</v>
      </c>
      <c r="J56" s="86">
        <f t="shared" si="14"/>
        <v>195537701.13002139</v>
      </c>
    </row>
    <row r="57" spans="1:10" x14ac:dyDescent="0.3">
      <c r="A57" s="8">
        <f t="shared" si="13"/>
        <v>52</v>
      </c>
      <c r="B57" s="20">
        <f>+'Channel 1 Sales'!C57</f>
        <v>4229.9617500000004</v>
      </c>
      <c r="C57" s="21">
        <v>108916.08237020158</v>
      </c>
      <c r="D57" s="31">
        <f t="shared" si="7"/>
        <v>729.30375000000004</v>
      </c>
      <c r="E57" s="22">
        <f t="shared" si="8"/>
        <v>79432907.307896897</v>
      </c>
      <c r="F57" s="22">
        <f t="shared" si="9"/>
        <v>-12339707.866526252</v>
      </c>
      <c r="G57" s="22">
        <f t="shared" si="10"/>
        <v>-19858226.826974224</v>
      </c>
      <c r="H57" s="22">
        <f t="shared" si="11"/>
        <v>-31773162.923158761</v>
      </c>
      <c r="I57" s="22">
        <f t="shared" si="12"/>
        <v>15461809.691237662</v>
      </c>
      <c r="J57" s="86">
        <f t="shared" si="14"/>
        <v>210999510.82125905</v>
      </c>
    </row>
    <row r="58" spans="1:10" x14ac:dyDescent="0.3">
      <c r="A58" s="8">
        <f t="shared" si="13"/>
        <v>53</v>
      </c>
      <c r="B58" s="20">
        <f>+'Channel 1 Sales'!C58</f>
        <v>4229.9617500000004</v>
      </c>
      <c r="C58" s="21">
        <v>110727.90042572471</v>
      </c>
      <c r="D58" s="31">
        <f t="shared" si="7"/>
        <v>729.30375000000004</v>
      </c>
      <c r="E58" s="22">
        <f t="shared" si="8"/>
        <v>80754273.010107636</v>
      </c>
      <c r="F58" s="22">
        <f t="shared" si="9"/>
        <v>-12339707.866526252</v>
      </c>
      <c r="G58" s="22">
        <f t="shared" si="10"/>
        <v>-20188568.252526909</v>
      </c>
      <c r="H58" s="22">
        <f t="shared" si="11"/>
        <v>-32301709.204043057</v>
      </c>
      <c r="I58" s="22">
        <f t="shared" si="12"/>
        <v>15924287.687011424</v>
      </c>
      <c r="J58" s="86">
        <f t="shared" si="14"/>
        <v>226923798.50827047</v>
      </c>
    </row>
    <row r="59" spans="1:10" x14ac:dyDescent="0.3">
      <c r="A59" s="8">
        <f t="shared" si="13"/>
        <v>54</v>
      </c>
      <c r="B59" s="20">
        <f>+'Channel 1 Sales'!C59</f>
        <v>4229.9617500000004</v>
      </c>
      <c r="C59" s="21">
        <v>112516.3889359996</v>
      </c>
      <c r="D59" s="31">
        <f t="shared" si="7"/>
        <v>729.30375000000004</v>
      </c>
      <c r="E59" s="22">
        <f t="shared" si="8"/>
        <v>82058624.387483016</v>
      </c>
      <c r="F59" s="22">
        <f t="shared" si="9"/>
        <v>-12339707.866526252</v>
      </c>
      <c r="G59" s="22">
        <f t="shared" si="10"/>
        <v>-20514656.096870754</v>
      </c>
      <c r="H59" s="22">
        <f t="shared" si="11"/>
        <v>-32823449.754993208</v>
      </c>
      <c r="I59" s="22">
        <f t="shared" si="12"/>
        <v>16380810.669092812</v>
      </c>
      <c r="J59" s="86">
        <f t="shared" si="14"/>
        <v>243304609.17736328</v>
      </c>
    </row>
    <row r="60" spans="1:10" x14ac:dyDescent="0.3">
      <c r="A60" s="8">
        <f t="shared" si="13"/>
        <v>55</v>
      </c>
      <c r="B60" s="20">
        <f>+'Channel 1 Sales'!C60</f>
        <v>4229.9617500000004</v>
      </c>
      <c r="C60" s="21">
        <v>114282.72668693017</v>
      </c>
      <c r="D60" s="31">
        <f t="shared" si="7"/>
        <v>729.30375000000004</v>
      </c>
      <c r="E60" s="22">
        <f t="shared" si="8"/>
        <v>83346821.13300325</v>
      </c>
      <c r="F60" s="22">
        <f t="shared" si="9"/>
        <v>-12339707.866526252</v>
      </c>
      <c r="G60" s="22">
        <f t="shared" si="10"/>
        <v>-20836705.283250812</v>
      </c>
      <c r="H60" s="22">
        <f t="shared" si="11"/>
        <v>-33338728.453201301</v>
      </c>
      <c r="I60" s="22">
        <f t="shared" si="12"/>
        <v>16831679.530024894</v>
      </c>
      <c r="J60" s="86">
        <f t="shared" si="14"/>
        <v>260136288.70738816</v>
      </c>
    </row>
    <row r="61" spans="1:10" x14ac:dyDescent="0.3">
      <c r="A61" s="8">
        <f t="shared" si="13"/>
        <v>56</v>
      </c>
      <c r="B61" s="20">
        <f>+'Channel 1 Sales'!C61</f>
        <v>4229.9617500000004</v>
      </c>
      <c r="C61" s="21">
        <v>116027.98836095814</v>
      </c>
      <c r="D61" s="31">
        <f t="shared" si="7"/>
        <v>729.30375000000004</v>
      </c>
      <c r="E61" s="22">
        <f t="shared" si="8"/>
        <v>84619647.016603127</v>
      </c>
      <c r="F61" s="22">
        <f t="shared" si="9"/>
        <v>-12339707.866526252</v>
      </c>
      <c r="G61" s="22">
        <f t="shared" si="10"/>
        <v>-21154911.754150782</v>
      </c>
      <c r="H61" s="22">
        <f t="shared" si="11"/>
        <v>-33847858.806641251</v>
      </c>
      <c r="I61" s="22">
        <f t="shared" si="12"/>
        <v>17277168.589284852</v>
      </c>
      <c r="J61" s="86">
        <f t="shared" si="14"/>
        <v>277413457.296673</v>
      </c>
    </row>
    <row r="62" spans="1:10" x14ac:dyDescent="0.3">
      <c r="A62" s="8">
        <f t="shared" si="13"/>
        <v>57</v>
      </c>
      <c r="B62" s="20">
        <f>+'Channel 1 Sales'!C62</f>
        <v>4229.9617500000004</v>
      </c>
      <c r="C62" s="21">
        <v>117753.16281431424</v>
      </c>
      <c r="D62" s="31">
        <f t="shared" si="7"/>
        <v>729.30375000000004</v>
      </c>
      <c r="E62" s="22">
        <f t="shared" si="8"/>
        <v>85877823.214839935</v>
      </c>
      <c r="F62" s="22">
        <f t="shared" si="9"/>
        <v>-12339707.866526252</v>
      </c>
      <c r="G62" s="22">
        <f t="shared" si="10"/>
        <v>-21469455.803709984</v>
      </c>
      <c r="H62" s="22">
        <f t="shared" si="11"/>
        <v>-34351129.285935976</v>
      </c>
      <c r="I62" s="22">
        <f t="shared" si="12"/>
        <v>17717530.25866773</v>
      </c>
      <c r="J62" s="86">
        <f t="shared" si="14"/>
        <v>295130987.55534071</v>
      </c>
    </row>
    <row r="63" spans="1:10" x14ac:dyDescent="0.3">
      <c r="A63" s="8">
        <f t="shared" si="13"/>
        <v>58</v>
      </c>
      <c r="B63" s="20">
        <f>+'Channel 1 Sales'!C63</f>
        <v>4229.9617500000004</v>
      </c>
      <c r="C63" s="21">
        <v>119459.16884877656</v>
      </c>
      <c r="D63" s="31">
        <f t="shared" si="7"/>
        <v>729.30375000000004</v>
      </c>
      <c r="E63" s="22">
        <f t="shared" si="8"/>
        <v>87122019.813295931</v>
      </c>
      <c r="F63" s="22">
        <f t="shared" si="9"/>
        <v>-12339707.866526252</v>
      </c>
      <c r="G63" s="22">
        <f t="shared" si="10"/>
        <v>-21780504.953323983</v>
      </c>
      <c r="H63" s="22">
        <f t="shared" si="11"/>
        <v>-34848807.925318375</v>
      </c>
      <c r="I63" s="22">
        <f t="shared" si="12"/>
        <v>18152999.068127327</v>
      </c>
      <c r="J63" s="86">
        <f t="shared" si="14"/>
        <v>313283986.62346804</v>
      </c>
    </row>
    <row r="64" spans="1:10" x14ac:dyDescent="0.3">
      <c r="A64" s="8">
        <f t="shared" si="13"/>
        <v>59</v>
      </c>
      <c r="B64" s="20">
        <f>+'Channel 1 Sales'!C64</f>
        <v>4229.9617500000004</v>
      </c>
      <c r="C64" s="21">
        <v>121146.86898456007</v>
      </c>
      <c r="D64" s="31">
        <f t="shared" si="7"/>
        <v>729.30375000000004</v>
      </c>
      <c r="E64" s="22">
        <f t="shared" si="8"/>
        <v>88352865.85119836</v>
      </c>
      <c r="F64" s="22">
        <f t="shared" si="9"/>
        <v>-12339707.866526252</v>
      </c>
      <c r="G64" s="22">
        <f t="shared" si="10"/>
        <v>-22088216.46279959</v>
      </c>
      <c r="H64" s="22">
        <f t="shared" si="11"/>
        <v>-35341146.340479344</v>
      </c>
      <c r="I64" s="22">
        <f t="shared" si="12"/>
        <v>18583795.181393176</v>
      </c>
      <c r="J64" s="86">
        <f t="shared" si="14"/>
        <v>331867781.80486119</v>
      </c>
    </row>
    <row r="65" spans="1:10" x14ac:dyDescent="0.3">
      <c r="A65" s="8">
        <f t="shared" si="13"/>
        <v>60</v>
      </c>
      <c r="B65" s="24">
        <f>+'Channel 1 Sales'!C65</f>
        <v>4229.9617500000004</v>
      </c>
      <c r="C65" s="25">
        <v>122817.69211898575</v>
      </c>
      <c r="D65" s="36">
        <f t="shared" si="7"/>
        <v>729.30375000000004</v>
      </c>
      <c r="E65" s="26">
        <f t="shared" si="8"/>
        <v>89571403.428721756</v>
      </c>
      <c r="F65" s="26">
        <f t="shared" si="9"/>
        <v>-12339707.866526252</v>
      </c>
      <c r="G65" s="26">
        <f t="shared" si="10"/>
        <v>-22392850.857180439</v>
      </c>
      <c r="H65" s="26">
        <f t="shared" si="11"/>
        <v>-35828561.371488705</v>
      </c>
      <c r="I65" s="26">
        <f t="shared" si="12"/>
        <v>19010283.333526365</v>
      </c>
      <c r="J65" s="87">
        <f t="shared" si="14"/>
        <v>350878065.13838756</v>
      </c>
    </row>
    <row r="66" spans="1:10" x14ac:dyDescent="0.3">
      <c r="E66" s="12"/>
      <c r="F66" s="12"/>
      <c r="G66" s="12"/>
      <c r="H66" s="12"/>
      <c r="I66" s="12"/>
      <c r="J66" s="12"/>
    </row>
    <row r="67" spans="1:10" x14ac:dyDescent="0.3">
      <c r="E67" s="12"/>
      <c r="F67" s="12"/>
      <c r="G67" s="12"/>
      <c r="H67" s="12"/>
      <c r="I67" s="12"/>
      <c r="J67" s="12"/>
    </row>
    <row r="68" spans="1:10" x14ac:dyDescent="0.3">
      <c r="E68" s="12"/>
      <c r="F68" s="12"/>
      <c r="G68" s="12"/>
      <c r="H68" s="12"/>
      <c r="I68" s="12"/>
      <c r="J68" s="12"/>
    </row>
    <row r="69" spans="1:10" x14ac:dyDescent="0.3">
      <c r="E69" s="12"/>
      <c r="F69" s="12"/>
      <c r="G69" s="12"/>
      <c r="H69" s="12"/>
      <c r="I69" s="12"/>
      <c r="J69" s="12"/>
    </row>
    <row r="70" spans="1:10" x14ac:dyDescent="0.3">
      <c r="E70" s="12"/>
      <c r="F70" s="12"/>
      <c r="G70" s="12"/>
      <c r="H70" s="12"/>
      <c r="I70" s="12"/>
      <c r="J70" s="12"/>
    </row>
    <row r="71" spans="1:10" x14ac:dyDescent="0.3">
      <c r="E71" s="12"/>
      <c r="F71" s="12"/>
      <c r="G71" s="12"/>
      <c r="H71" s="12"/>
      <c r="I71" s="12"/>
      <c r="J71" s="12"/>
    </row>
    <row r="72" spans="1:10" x14ac:dyDescent="0.3">
      <c r="E72" s="12"/>
      <c r="F72" s="12"/>
      <c r="G72" s="12"/>
      <c r="H72" s="12"/>
      <c r="I72" s="12"/>
      <c r="J72" s="12"/>
    </row>
    <row r="73" spans="1:10" x14ac:dyDescent="0.3">
      <c r="E73" s="12"/>
      <c r="F73" s="12"/>
      <c r="G73" s="12"/>
      <c r="H73" s="12"/>
      <c r="I73" s="12"/>
      <c r="J73" s="12"/>
    </row>
    <row r="74" spans="1:10" x14ac:dyDescent="0.3">
      <c r="E74" s="12"/>
      <c r="F74" s="12"/>
      <c r="G74" s="12"/>
      <c r="H74" s="12"/>
      <c r="I74" s="12"/>
      <c r="J74" s="12"/>
    </row>
    <row r="75" spans="1:10" x14ac:dyDescent="0.3">
      <c r="E75" s="12"/>
      <c r="F75" s="12"/>
      <c r="G75" s="12"/>
      <c r="H75" s="12"/>
      <c r="I75" s="12"/>
      <c r="J75" s="12"/>
    </row>
    <row r="76" spans="1:10" x14ac:dyDescent="0.3">
      <c r="E76" s="12"/>
      <c r="F76" s="12"/>
      <c r="G76" s="12"/>
      <c r="H76" s="12"/>
      <c r="I76" s="12"/>
      <c r="J76" s="12"/>
    </row>
    <row r="77" spans="1:10" x14ac:dyDescent="0.3">
      <c r="E77" s="12"/>
      <c r="F77" s="12"/>
      <c r="G77" s="12"/>
      <c r="H77" s="12"/>
      <c r="I77" s="12"/>
      <c r="J77" s="12"/>
    </row>
    <row r="78" spans="1:10" x14ac:dyDescent="0.3">
      <c r="E78" s="12"/>
      <c r="F78" s="12"/>
      <c r="G78" s="12"/>
      <c r="H78" s="12"/>
      <c r="I78" s="12"/>
      <c r="J78" s="12"/>
    </row>
    <row r="79" spans="1:10" x14ac:dyDescent="0.3">
      <c r="E79" s="12"/>
      <c r="F79" s="12"/>
      <c r="G79" s="12"/>
      <c r="H79" s="12"/>
      <c r="I79" s="12"/>
      <c r="J79" s="12"/>
    </row>
    <row r="80" spans="1:10" x14ac:dyDescent="0.3">
      <c r="E80" s="12"/>
      <c r="F80" s="12"/>
      <c r="G80" s="12"/>
      <c r="H80" s="12"/>
      <c r="I80" s="12"/>
      <c r="J80" s="12"/>
    </row>
    <row r="81" spans="5:10" x14ac:dyDescent="0.3">
      <c r="E81" s="12"/>
      <c r="F81" s="12"/>
      <c r="G81" s="12"/>
      <c r="H81" s="12"/>
      <c r="I81" s="12"/>
      <c r="J81" s="12"/>
    </row>
    <row r="82" spans="5:10" x14ac:dyDescent="0.3">
      <c r="E82" s="12"/>
      <c r="F82" s="12"/>
      <c r="G82" s="12"/>
      <c r="H82" s="12"/>
      <c r="I82" s="12"/>
      <c r="J82" s="12"/>
    </row>
    <row r="83" spans="5:10" x14ac:dyDescent="0.3">
      <c r="E83" s="12"/>
      <c r="F83" s="12"/>
      <c r="G83" s="12"/>
      <c r="H83" s="12"/>
      <c r="I83" s="12"/>
      <c r="J83" s="12"/>
    </row>
    <row r="84" spans="5:10" x14ac:dyDescent="0.3">
      <c r="E84" s="12"/>
      <c r="F84" s="12"/>
      <c r="G84" s="12"/>
      <c r="H84" s="12"/>
      <c r="I84" s="12"/>
      <c r="J84" s="12"/>
    </row>
    <row r="85" spans="5:10" x14ac:dyDescent="0.3">
      <c r="E85" s="12"/>
      <c r="F85" s="12"/>
      <c r="G85" s="12"/>
      <c r="H85" s="12"/>
      <c r="I85" s="12"/>
      <c r="J85" s="12"/>
    </row>
    <row r="86" spans="5:10" x14ac:dyDescent="0.3">
      <c r="E86" s="12"/>
      <c r="F86" s="12"/>
      <c r="G86" s="12"/>
      <c r="H86" s="12"/>
      <c r="I86" s="12"/>
      <c r="J86" s="12"/>
    </row>
    <row r="87" spans="5:10" x14ac:dyDescent="0.3">
      <c r="E87" s="12"/>
      <c r="F87" s="12"/>
      <c r="G87" s="12"/>
      <c r="H87" s="12"/>
      <c r="I87" s="12"/>
      <c r="J87" s="12"/>
    </row>
    <row r="88" spans="5:10" x14ac:dyDescent="0.3">
      <c r="E88" s="12"/>
      <c r="F88" s="12"/>
      <c r="G88" s="12"/>
      <c r="H88" s="12"/>
      <c r="I88" s="12"/>
      <c r="J88" s="12"/>
    </row>
    <row r="89" spans="5:10" x14ac:dyDescent="0.3">
      <c r="E89" s="12"/>
      <c r="F89" s="12"/>
      <c r="G89" s="12"/>
      <c r="H89" s="12"/>
      <c r="I89" s="12"/>
      <c r="J89" s="12"/>
    </row>
    <row r="90" spans="5:10" x14ac:dyDescent="0.3">
      <c r="E90" s="12"/>
      <c r="F90" s="12"/>
      <c r="G90" s="12"/>
      <c r="H90" s="12"/>
      <c r="I90" s="12"/>
      <c r="J90" s="12"/>
    </row>
    <row r="91" spans="5:10" x14ac:dyDescent="0.3">
      <c r="E91" s="12"/>
      <c r="F91" s="12"/>
      <c r="G91" s="12"/>
      <c r="H91" s="12"/>
      <c r="I91" s="12"/>
      <c r="J91" s="12"/>
    </row>
    <row r="92" spans="5:10" x14ac:dyDescent="0.3">
      <c r="E92" s="12"/>
      <c r="F92" s="12"/>
      <c r="G92" s="12"/>
      <c r="H92" s="12"/>
      <c r="I92" s="12"/>
      <c r="J92" s="12"/>
    </row>
    <row r="93" spans="5:10" x14ac:dyDescent="0.3">
      <c r="E93" s="12"/>
      <c r="F93" s="12"/>
      <c r="G93" s="12"/>
      <c r="H93" s="12"/>
      <c r="I93" s="12"/>
      <c r="J93" s="12"/>
    </row>
    <row r="94" spans="5:10" x14ac:dyDescent="0.3">
      <c r="E94" s="12"/>
      <c r="F94" s="12"/>
      <c r="G94" s="12"/>
      <c r="H94" s="12"/>
      <c r="I94" s="12"/>
      <c r="J94" s="12"/>
    </row>
    <row r="95" spans="5:10" x14ac:dyDescent="0.3">
      <c r="E95" s="12"/>
      <c r="F95" s="12"/>
      <c r="G95" s="12"/>
      <c r="H95" s="12"/>
      <c r="I95" s="12"/>
      <c r="J95" s="12"/>
    </row>
    <row r="96" spans="5:10" x14ac:dyDescent="0.3">
      <c r="E96" s="12"/>
      <c r="F96" s="12"/>
      <c r="G96" s="12"/>
      <c r="H96" s="12"/>
      <c r="I96" s="12"/>
      <c r="J96" s="12"/>
    </row>
    <row r="97" spans="5:10" x14ac:dyDescent="0.3">
      <c r="E97" s="12"/>
      <c r="F97" s="12"/>
      <c r="G97" s="12"/>
      <c r="H97" s="12"/>
      <c r="I97" s="12"/>
      <c r="J97" s="12"/>
    </row>
    <row r="98" spans="5:10" x14ac:dyDescent="0.3">
      <c r="E98" s="12"/>
      <c r="F98" s="12"/>
      <c r="G98" s="12"/>
      <c r="H98" s="12"/>
      <c r="I98" s="12"/>
      <c r="J98" s="12"/>
    </row>
    <row r="99" spans="5:10" x14ac:dyDescent="0.3">
      <c r="E99" s="12"/>
      <c r="F99" s="12"/>
      <c r="G99" s="12"/>
      <c r="H99" s="12"/>
      <c r="I99" s="12"/>
      <c r="J99" s="12"/>
    </row>
    <row r="100" spans="5:10" x14ac:dyDescent="0.3">
      <c r="E100" s="12"/>
      <c r="F100" s="12"/>
      <c r="G100" s="12"/>
      <c r="H100" s="12"/>
      <c r="I100" s="12"/>
      <c r="J100" s="12"/>
    </row>
    <row r="101" spans="5:10" x14ac:dyDescent="0.3">
      <c r="E101" s="12"/>
      <c r="F101" s="12"/>
      <c r="G101" s="12"/>
      <c r="H101" s="12"/>
      <c r="I101" s="12"/>
      <c r="J101" s="12"/>
    </row>
    <row r="102" spans="5:10" x14ac:dyDescent="0.3">
      <c r="E102" s="12"/>
      <c r="F102" s="12"/>
      <c r="G102" s="12"/>
      <c r="H102" s="12"/>
      <c r="I102" s="12"/>
    </row>
    <row r="103" spans="5:10" x14ac:dyDescent="0.3">
      <c r="E103" s="12"/>
      <c r="F103" s="12"/>
      <c r="G103" s="12"/>
      <c r="H103" s="12"/>
      <c r="I103" s="12"/>
    </row>
    <row r="104" spans="5:10" x14ac:dyDescent="0.3">
      <c r="E104" s="12"/>
      <c r="F104" s="12"/>
      <c r="G104" s="12"/>
      <c r="H104" s="12"/>
      <c r="I104" s="12"/>
    </row>
    <row r="105" spans="5:10" x14ac:dyDescent="0.3">
      <c r="E105" s="12"/>
      <c r="F105" s="12"/>
      <c r="G105" s="12"/>
      <c r="H105" s="12"/>
      <c r="I105" s="12"/>
    </row>
    <row r="106" spans="5:10" x14ac:dyDescent="0.3">
      <c r="E106" s="12"/>
      <c r="F106" s="12"/>
      <c r="G106" s="12"/>
      <c r="H106" s="12"/>
      <c r="I106" s="12"/>
    </row>
    <row r="107" spans="5:10" x14ac:dyDescent="0.3">
      <c r="E107" s="12"/>
      <c r="F107" s="12"/>
      <c r="G107" s="12"/>
      <c r="H107" s="12"/>
      <c r="I107" s="12"/>
    </row>
    <row r="108" spans="5:10" x14ac:dyDescent="0.3">
      <c r="E108" s="12"/>
      <c r="F108" s="12"/>
      <c r="G108" s="12"/>
      <c r="H108" s="12"/>
      <c r="I108" s="12"/>
    </row>
    <row r="109" spans="5:10" x14ac:dyDescent="0.3">
      <c r="E109" s="12"/>
      <c r="F109" s="12"/>
      <c r="G109" s="12"/>
      <c r="H109" s="12"/>
      <c r="I109" s="12"/>
    </row>
    <row r="110" spans="5:10" x14ac:dyDescent="0.3">
      <c r="E110" s="12"/>
      <c r="F110" s="12"/>
      <c r="G110" s="12"/>
      <c r="H110" s="12"/>
      <c r="I110" s="12"/>
    </row>
    <row r="111" spans="5:10" x14ac:dyDescent="0.3">
      <c r="E111" s="12"/>
      <c r="F111" s="12"/>
      <c r="G111" s="12"/>
      <c r="H111" s="12"/>
      <c r="I111" s="12"/>
    </row>
    <row r="112" spans="5:10" x14ac:dyDescent="0.3">
      <c r="E112" s="12"/>
      <c r="F112" s="12"/>
      <c r="G112" s="12"/>
      <c r="H112" s="12"/>
      <c r="I112" s="12"/>
    </row>
    <row r="113" spans="5:9" x14ac:dyDescent="0.3">
      <c r="E113" s="12"/>
      <c r="F113" s="12"/>
      <c r="G113" s="12"/>
      <c r="H113" s="12"/>
      <c r="I113" s="12"/>
    </row>
    <row r="114" spans="5:9" x14ac:dyDescent="0.3">
      <c r="E114" s="12"/>
      <c r="F114" s="12"/>
      <c r="G114" s="12"/>
      <c r="H114" s="12"/>
      <c r="I114" s="12"/>
    </row>
    <row r="115" spans="5:9" x14ac:dyDescent="0.3">
      <c r="E115" s="12"/>
      <c r="F115" s="12"/>
      <c r="G115" s="12"/>
      <c r="H115" s="12"/>
      <c r="I115" s="12"/>
    </row>
    <row r="116" spans="5:9" x14ac:dyDescent="0.3">
      <c r="E116" s="12"/>
      <c r="F116" s="12"/>
      <c r="G116" s="12"/>
      <c r="H116" s="12"/>
      <c r="I116" s="12"/>
    </row>
    <row r="117" spans="5:9" x14ac:dyDescent="0.3">
      <c r="E117" s="12"/>
      <c r="F117" s="12"/>
      <c r="G117" s="12"/>
      <c r="H117" s="12"/>
      <c r="I117" s="12"/>
    </row>
    <row r="118" spans="5:9" x14ac:dyDescent="0.3">
      <c r="E118" s="12"/>
      <c r="F118" s="12"/>
      <c r="G118" s="12"/>
      <c r="H118" s="12"/>
      <c r="I118" s="12"/>
    </row>
    <row r="119" spans="5:9" x14ac:dyDescent="0.3">
      <c r="E119" s="12"/>
      <c r="F119" s="12"/>
      <c r="G119" s="12"/>
      <c r="H119" s="12"/>
      <c r="I119" s="12"/>
    </row>
    <row r="120" spans="5:9" x14ac:dyDescent="0.3">
      <c r="E120" s="12"/>
      <c r="F120" s="12"/>
      <c r="G120" s="12"/>
      <c r="H120" s="12"/>
      <c r="I120" s="12"/>
    </row>
    <row r="121" spans="5:9" x14ac:dyDescent="0.3">
      <c r="E121" s="12"/>
      <c r="F121" s="12"/>
      <c r="G121" s="12"/>
      <c r="H121" s="12"/>
      <c r="I121" s="12"/>
    </row>
    <row r="122" spans="5:9" x14ac:dyDescent="0.3">
      <c r="E122" s="12"/>
      <c r="F122" s="12"/>
      <c r="G122" s="12"/>
      <c r="H122" s="12"/>
      <c r="I122" s="12"/>
    </row>
    <row r="123" spans="5:9" x14ac:dyDescent="0.3">
      <c r="E123" s="12"/>
      <c r="F123" s="12"/>
      <c r="G123" s="12"/>
      <c r="H123" s="12"/>
      <c r="I123" s="12"/>
    </row>
    <row r="124" spans="5:9" x14ac:dyDescent="0.3">
      <c r="E124" s="12"/>
      <c r="F124" s="12"/>
      <c r="G124" s="12"/>
      <c r="H124" s="12"/>
      <c r="I124" s="12"/>
    </row>
    <row r="125" spans="5:9" x14ac:dyDescent="0.3">
      <c r="E125" s="12"/>
      <c r="F125" s="12"/>
      <c r="G125" s="12"/>
      <c r="H125" s="12"/>
      <c r="I125" s="12"/>
    </row>
    <row r="126" spans="5:9" x14ac:dyDescent="0.3">
      <c r="E126" s="12"/>
      <c r="F126" s="12"/>
      <c r="G126" s="12"/>
      <c r="H126" s="12"/>
      <c r="I126" s="12"/>
    </row>
    <row r="127" spans="5:9" x14ac:dyDescent="0.3">
      <c r="E127" s="12"/>
      <c r="F127" s="12"/>
      <c r="G127" s="12"/>
      <c r="H127" s="12"/>
      <c r="I127" s="12"/>
    </row>
    <row r="128" spans="5:9" x14ac:dyDescent="0.3">
      <c r="E128" s="12"/>
      <c r="F128" s="12"/>
      <c r="G128" s="12"/>
      <c r="H128" s="12"/>
      <c r="I128" s="12"/>
    </row>
    <row r="129" spans="5:9" x14ac:dyDescent="0.3">
      <c r="E129" s="12"/>
      <c r="F129" s="12"/>
      <c r="G129" s="12"/>
      <c r="H129" s="12"/>
      <c r="I129" s="12"/>
    </row>
    <row r="130" spans="5:9" x14ac:dyDescent="0.3">
      <c r="E130" s="12"/>
      <c r="F130" s="12"/>
      <c r="G130" s="12"/>
      <c r="H130" s="12"/>
      <c r="I130" s="12"/>
    </row>
    <row r="131" spans="5:9" x14ac:dyDescent="0.3">
      <c r="E131" s="12"/>
      <c r="F131" s="12"/>
      <c r="G131" s="12"/>
      <c r="H131" s="12"/>
      <c r="I131" s="12"/>
    </row>
  </sheetData>
  <conditionalFormatting sqref="A1:XFD1048576">
    <cfRule type="cellIs" dxfId="20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4"/>
  <sheetViews>
    <sheetView topLeftCell="A50" zoomScale="120" zoomScaleNormal="120" workbookViewId="0">
      <selection activeCell="D6" sqref="D6:D65"/>
    </sheetView>
  </sheetViews>
  <sheetFormatPr defaultColWidth="9.109375" defaultRowHeight="14.4" x14ac:dyDescent="0.3"/>
  <cols>
    <col min="1" max="1" width="9.109375" style="5"/>
    <col min="2" max="2" width="16.44140625" style="5" customWidth="1"/>
    <col min="3" max="3" width="11.44140625" style="5" customWidth="1"/>
    <col min="4" max="4" width="13.6640625" style="5" customWidth="1"/>
    <col min="5" max="5" width="21.33203125" style="5" customWidth="1"/>
    <col min="6" max="6" width="20.109375" style="5" customWidth="1"/>
    <col min="7" max="7" width="15" style="5" customWidth="1"/>
    <col min="8" max="8" width="20.44140625" style="5" customWidth="1"/>
    <col min="9" max="9" width="16.33203125" style="5" customWidth="1"/>
    <col min="10" max="10" width="26.109375" style="5" bestFit="1" customWidth="1"/>
    <col min="11" max="11" width="33.33203125" style="5" customWidth="1"/>
    <col min="12" max="16384" width="9.109375" style="5"/>
  </cols>
  <sheetData>
    <row r="1" spans="1:10" x14ac:dyDescent="0.3">
      <c r="B1" s="8" t="s">
        <v>104</v>
      </c>
      <c r="C1" s="4">
        <f>+'Inputs &amp; Assuptions'!$C$2</f>
        <v>600</v>
      </c>
      <c r="E1" s="8" t="s">
        <v>94</v>
      </c>
      <c r="F1" s="15" t="s">
        <v>105</v>
      </c>
      <c r="H1" s="31">
        <f>IF(MOD($A1, 12) = 0, $C$1 * 1.05, $C$1)</f>
        <v>630</v>
      </c>
      <c r="J1" s="28"/>
    </row>
    <row r="2" spans="1:10" x14ac:dyDescent="0.3">
      <c r="B2" s="8" t="s">
        <v>95</v>
      </c>
      <c r="C2" s="14">
        <f>+'Inputs &amp; Assuptions'!$C$3</f>
        <v>0.05</v>
      </c>
      <c r="E2" s="8" t="s">
        <v>96</v>
      </c>
      <c r="F2" s="15">
        <f>+'Inputs &amp; Assuptions'!$C$7</f>
        <v>0.25</v>
      </c>
      <c r="H2" s="31">
        <f>IF(MOD($A2-1, 12) = 0, H1 * 1.05, H1)</f>
        <v>630</v>
      </c>
    </row>
    <row r="3" spans="1:10" x14ac:dyDescent="0.3">
      <c r="B3" s="8" t="s">
        <v>15</v>
      </c>
      <c r="C3" s="14">
        <f>+'Inputs &amp; Assuptions'!$C$8</f>
        <v>0.4</v>
      </c>
    </row>
    <row r="5" spans="1:10" x14ac:dyDescent="0.3">
      <c r="A5" s="8" t="s">
        <v>89</v>
      </c>
      <c r="B5" s="8" t="s">
        <v>97</v>
      </c>
      <c r="C5" s="8" t="s">
        <v>98</v>
      </c>
      <c r="D5" s="8" t="s">
        <v>99</v>
      </c>
      <c r="E5" s="8" t="s">
        <v>100</v>
      </c>
      <c r="F5" s="8" t="s">
        <v>9</v>
      </c>
      <c r="G5" s="8" t="s">
        <v>13</v>
      </c>
      <c r="H5" s="8" t="s">
        <v>101</v>
      </c>
      <c r="I5" s="8" t="s">
        <v>102</v>
      </c>
      <c r="J5" s="8" t="s">
        <v>103</v>
      </c>
    </row>
    <row r="6" spans="1:10" x14ac:dyDescent="0.3">
      <c r="A6" s="8">
        <v>1</v>
      </c>
      <c r="B6" s="16">
        <f>+'Channel 2 Sales'!C6</f>
        <v>1170</v>
      </c>
      <c r="C6" s="17">
        <f t="array" ref="C6:C65">+TRANSPOSE('Channel 2 Sales'!$F$67:$BM$67)</f>
        <v>1170</v>
      </c>
      <c r="D6" s="18">
        <f>IF(MOD($A6, 12) = 0, $C$1 * 1.05, $C$1)</f>
        <v>600</v>
      </c>
      <c r="E6" s="18">
        <f t="shared" ref="E6:E37" si="0">+C6*D6</f>
        <v>702000</v>
      </c>
      <c r="F6" s="18">
        <f t="shared" ref="F6:F37" si="1">-((D6*25%)-(MAX(0,(D6-300))*5%)-(MAX(0,(D6-600))*5%)-(MAX(0,(D6-1200))*5%)-(MAX(0,(D6-1500))*5%))*C6</f>
        <v>-157950</v>
      </c>
      <c r="G6" s="18">
        <f t="shared" ref="G6:G37" si="2">-E6*$F$2</f>
        <v>-175500</v>
      </c>
      <c r="H6" s="18">
        <f t="shared" ref="H6:H37" si="3">-E6*$C$3</f>
        <v>-280800</v>
      </c>
      <c r="I6" s="18">
        <f t="shared" ref="I6:I37" si="4">+E6+F6+G6+H6</f>
        <v>87750</v>
      </c>
      <c r="J6" s="19">
        <f>+I6</f>
        <v>87750</v>
      </c>
    </row>
    <row r="7" spans="1:10" x14ac:dyDescent="0.3">
      <c r="A7" s="8">
        <f t="shared" ref="A7:A38" si="5">+A6+1</f>
        <v>2</v>
      </c>
      <c r="B7" s="20">
        <f>+'Channel 2 Sales'!C7</f>
        <v>1170</v>
      </c>
      <c r="C7" s="21">
        <v>2278.5749999999998</v>
      </c>
      <c r="D7" s="22">
        <f>IF(MOD($A7-1, 12) = 0, D6 * 1.05, D6)</f>
        <v>600</v>
      </c>
      <c r="E7" s="22">
        <f t="shared" si="0"/>
        <v>1367145</v>
      </c>
      <c r="F7" s="22">
        <f t="shared" si="1"/>
        <v>-307607.625</v>
      </c>
      <c r="G7" s="22">
        <f t="shared" si="2"/>
        <v>-341786.25</v>
      </c>
      <c r="H7" s="22">
        <f t="shared" si="3"/>
        <v>-546858</v>
      </c>
      <c r="I7" s="22">
        <f t="shared" si="4"/>
        <v>170893.125</v>
      </c>
      <c r="J7" s="23">
        <f t="shared" ref="J7:J38" si="6">+J6+I7</f>
        <v>258643.125</v>
      </c>
    </row>
    <row r="8" spans="1:10" x14ac:dyDescent="0.3">
      <c r="A8" s="8">
        <f t="shared" si="5"/>
        <v>3</v>
      </c>
      <c r="B8" s="20">
        <f>+'Channel 2 Sales'!C8</f>
        <v>1170</v>
      </c>
      <c r="C8" s="21">
        <v>3342.8069999999998</v>
      </c>
      <c r="D8" s="22">
        <f t="shared" ref="D8:D65" si="7">IF(MOD($A8-1, 12) = 0, D7 * 1.05, D7)</f>
        <v>600</v>
      </c>
      <c r="E8" s="22">
        <f t="shared" si="0"/>
        <v>2005684.2</v>
      </c>
      <c r="F8" s="22">
        <f t="shared" si="1"/>
        <v>-451278.94499999995</v>
      </c>
      <c r="G8" s="22">
        <f t="shared" si="2"/>
        <v>-501421.05</v>
      </c>
      <c r="H8" s="22">
        <f t="shared" si="3"/>
        <v>-802273.68</v>
      </c>
      <c r="I8" s="22">
        <f t="shared" si="4"/>
        <v>250710.52499999979</v>
      </c>
      <c r="J8" s="23">
        <f t="shared" si="6"/>
        <v>509353.64999999979</v>
      </c>
    </row>
    <row r="9" spans="1:10" x14ac:dyDescent="0.3">
      <c r="A9" s="8">
        <f t="shared" si="5"/>
        <v>4</v>
      </c>
      <c r="B9" s="20">
        <f>+'Channel 2 Sales'!C9</f>
        <v>1170</v>
      </c>
      <c r="C9" s="21">
        <v>5547.7726199999997</v>
      </c>
      <c r="D9" s="22">
        <f t="shared" si="7"/>
        <v>600</v>
      </c>
      <c r="E9" s="22">
        <f t="shared" si="0"/>
        <v>3328663.5719999997</v>
      </c>
      <c r="F9" s="22">
        <f t="shared" si="1"/>
        <v>-748949.30369999993</v>
      </c>
      <c r="G9" s="22">
        <f t="shared" si="2"/>
        <v>-832165.89299999992</v>
      </c>
      <c r="H9" s="22">
        <f t="shared" si="3"/>
        <v>-1331465.4287999999</v>
      </c>
      <c r="I9" s="22">
        <f t="shared" si="4"/>
        <v>416082.94649999985</v>
      </c>
      <c r="J9" s="23">
        <f t="shared" si="6"/>
        <v>925436.59649999964</v>
      </c>
    </row>
    <row r="10" spans="1:10" x14ac:dyDescent="0.3">
      <c r="A10" s="8">
        <f t="shared" si="5"/>
        <v>5</v>
      </c>
      <c r="B10" s="20">
        <f>+'Channel 2 Sales'!C10</f>
        <v>1170</v>
      </c>
      <c r="C10" s="21">
        <v>5448.2890994999998</v>
      </c>
      <c r="D10" s="22">
        <f t="shared" si="7"/>
        <v>600</v>
      </c>
      <c r="E10" s="22">
        <f t="shared" si="0"/>
        <v>3268973.4597</v>
      </c>
      <c r="F10" s="22">
        <f t="shared" si="1"/>
        <v>-735519.02843249997</v>
      </c>
      <c r="G10" s="22">
        <f t="shared" si="2"/>
        <v>-817243.364925</v>
      </c>
      <c r="H10" s="22">
        <f t="shared" si="3"/>
        <v>-1307589.3838800001</v>
      </c>
      <c r="I10" s="22">
        <f t="shared" si="4"/>
        <v>408621.68246249994</v>
      </c>
      <c r="J10" s="23">
        <f t="shared" si="6"/>
        <v>1334058.2789624995</v>
      </c>
    </row>
    <row r="11" spans="1:10" x14ac:dyDescent="0.3">
      <c r="A11" s="8">
        <f t="shared" si="5"/>
        <v>6</v>
      </c>
      <c r="B11" s="20">
        <f>+'Channel 2 Sales'!C11</f>
        <v>1170</v>
      </c>
      <c r="C11" s="21">
        <v>6432.2190207112499</v>
      </c>
      <c r="D11" s="22">
        <f t="shared" si="7"/>
        <v>600</v>
      </c>
      <c r="E11" s="22">
        <f t="shared" si="0"/>
        <v>3859331.4124267497</v>
      </c>
      <c r="F11" s="22">
        <f t="shared" si="1"/>
        <v>-868349.56779601879</v>
      </c>
      <c r="G11" s="22">
        <f t="shared" si="2"/>
        <v>-964832.85310668743</v>
      </c>
      <c r="H11" s="22">
        <f t="shared" si="3"/>
        <v>-1543732.5649707001</v>
      </c>
      <c r="I11" s="22">
        <f t="shared" si="4"/>
        <v>482416.42655334342</v>
      </c>
      <c r="J11" s="23">
        <f t="shared" si="6"/>
        <v>1816474.7055158429</v>
      </c>
    </row>
    <row r="12" spans="1:10" x14ac:dyDescent="0.3">
      <c r="A12" s="8">
        <f t="shared" si="5"/>
        <v>7</v>
      </c>
      <c r="B12" s="20">
        <f>+'Channel 2 Sales'!C12</f>
        <v>1170</v>
      </c>
      <c r="C12" s="21">
        <v>7397.2565834982743</v>
      </c>
      <c r="D12" s="22">
        <f t="shared" si="7"/>
        <v>600</v>
      </c>
      <c r="E12" s="22">
        <f t="shared" si="0"/>
        <v>4438353.9500989644</v>
      </c>
      <c r="F12" s="22">
        <f t="shared" si="1"/>
        <v>-998629.63877226703</v>
      </c>
      <c r="G12" s="22">
        <f t="shared" si="2"/>
        <v>-1109588.4875247411</v>
      </c>
      <c r="H12" s="22">
        <f t="shared" si="3"/>
        <v>-1775341.5800395859</v>
      </c>
      <c r="I12" s="22">
        <f t="shared" si="4"/>
        <v>554794.2437623702</v>
      </c>
      <c r="J12" s="23">
        <f t="shared" si="6"/>
        <v>2371268.9492782131</v>
      </c>
    </row>
    <row r="13" spans="1:10" x14ac:dyDescent="0.3">
      <c r="A13" s="8">
        <f t="shared" si="5"/>
        <v>8</v>
      </c>
      <c r="B13" s="20">
        <f>+'Channel 2 Sales'!C13</f>
        <v>1170</v>
      </c>
      <c r="C13" s="21">
        <v>8345.5655710865267</v>
      </c>
      <c r="D13" s="22">
        <f t="shared" si="7"/>
        <v>600</v>
      </c>
      <c r="E13" s="22">
        <f t="shared" si="0"/>
        <v>5007339.3426519157</v>
      </c>
      <c r="F13" s="22">
        <f t="shared" si="1"/>
        <v>-1126651.352096681</v>
      </c>
      <c r="G13" s="22">
        <f t="shared" si="2"/>
        <v>-1251834.8356629789</v>
      </c>
      <c r="H13" s="22">
        <f t="shared" si="3"/>
        <v>-2002935.7370607664</v>
      </c>
      <c r="I13" s="22">
        <f t="shared" si="4"/>
        <v>625917.41783148912</v>
      </c>
      <c r="J13" s="23">
        <f t="shared" si="6"/>
        <v>2997186.367109702</v>
      </c>
    </row>
    <row r="14" spans="1:10" x14ac:dyDescent="0.3">
      <c r="A14" s="8">
        <f t="shared" si="5"/>
        <v>9</v>
      </c>
      <c r="B14" s="20">
        <f>+'Channel 2 Sales'!C14</f>
        <v>1170</v>
      </c>
      <c r="C14" s="21">
        <v>9279.8040422572049</v>
      </c>
      <c r="D14" s="22">
        <f t="shared" si="7"/>
        <v>600</v>
      </c>
      <c r="E14" s="22">
        <f t="shared" si="0"/>
        <v>5567882.4253543233</v>
      </c>
      <c r="F14" s="22">
        <f t="shared" si="1"/>
        <v>-1252773.5457047226</v>
      </c>
      <c r="G14" s="22">
        <f t="shared" si="2"/>
        <v>-1391970.6063385808</v>
      </c>
      <c r="H14" s="22">
        <f t="shared" si="3"/>
        <v>-2227152.9701417293</v>
      </c>
      <c r="I14" s="22">
        <f t="shared" si="4"/>
        <v>695985.30316929054</v>
      </c>
      <c r="J14" s="23">
        <f t="shared" si="6"/>
        <v>3693171.6702789925</v>
      </c>
    </row>
    <row r="15" spans="1:10" x14ac:dyDescent="0.3">
      <c r="A15" s="8">
        <f t="shared" si="5"/>
        <v>10</v>
      </c>
      <c r="B15" s="20">
        <f>+'Channel 2 Sales'!C15</f>
        <v>1170</v>
      </c>
      <c r="C15" s="21">
        <v>10202.513749611086</v>
      </c>
      <c r="D15" s="22">
        <f t="shared" si="7"/>
        <v>600</v>
      </c>
      <c r="E15" s="22">
        <f t="shared" si="0"/>
        <v>6121508.2497666515</v>
      </c>
      <c r="F15" s="22">
        <f t="shared" si="1"/>
        <v>-1377339.3561974966</v>
      </c>
      <c r="G15" s="22">
        <f t="shared" si="2"/>
        <v>-1530377.0624416629</v>
      </c>
      <c r="H15" s="22">
        <f t="shared" si="3"/>
        <v>-2448603.2999066608</v>
      </c>
      <c r="I15" s="22">
        <f t="shared" si="4"/>
        <v>765188.53122083098</v>
      </c>
      <c r="J15" s="23">
        <f t="shared" si="6"/>
        <v>4458360.2014998235</v>
      </c>
    </row>
    <row r="16" spans="1:10" x14ac:dyDescent="0.3">
      <c r="A16" s="8">
        <f t="shared" si="5"/>
        <v>11</v>
      </c>
      <c r="B16" s="20">
        <f>+'Channel 2 Sales'!C16</f>
        <v>1170</v>
      </c>
      <c r="C16" s="21">
        <v>11116.14119480479</v>
      </c>
      <c r="D16" s="22">
        <f t="shared" si="7"/>
        <v>600</v>
      </c>
      <c r="E16" s="22">
        <f t="shared" si="0"/>
        <v>6669684.7168828743</v>
      </c>
      <c r="F16" s="22">
        <f t="shared" si="1"/>
        <v>-1500679.0612986467</v>
      </c>
      <c r="G16" s="22">
        <f t="shared" si="2"/>
        <v>-1667421.1792207186</v>
      </c>
      <c r="H16" s="22">
        <f t="shared" si="3"/>
        <v>-2667873.8867531498</v>
      </c>
      <c r="I16" s="22">
        <f t="shared" si="4"/>
        <v>833710.58961035917</v>
      </c>
      <c r="J16" s="23">
        <f t="shared" si="6"/>
        <v>5292070.7911101822</v>
      </c>
    </row>
    <row r="17" spans="1:10" x14ac:dyDescent="0.3">
      <c r="A17" s="8">
        <f t="shared" si="5"/>
        <v>12</v>
      </c>
      <c r="B17" s="20">
        <f>+'Channel 2 Sales'!C17</f>
        <v>1170</v>
      </c>
      <c r="C17" s="21">
        <v>12025.343780027391</v>
      </c>
      <c r="D17" s="22">
        <f t="shared" si="7"/>
        <v>600</v>
      </c>
      <c r="E17" s="22">
        <f t="shared" si="0"/>
        <v>7215206.2680164352</v>
      </c>
      <c r="F17" s="22">
        <f t="shared" si="1"/>
        <v>-1623421.4103036979</v>
      </c>
      <c r="G17" s="22">
        <f t="shared" si="2"/>
        <v>-1803801.5670041088</v>
      </c>
      <c r="H17" s="22">
        <f t="shared" si="3"/>
        <v>-2886082.5072065741</v>
      </c>
      <c r="I17" s="22">
        <f t="shared" si="4"/>
        <v>901900.7835020544</v>
      </c>
      <c r="J17" s="23">
        <f t="shared" si="6"/>
        <v>6193971.5746122366</v>
      </c>
    </row>
    <row r="18" spans="1:10" x14ac:dyDescent="0.3">
      <c r="A18" s="8">
        <f t="shared" si="5"/>
        <v>13</v>
      </c>
      <c r="B18" s="20">
        <f>+'Channel 2 Sales'!C18</f>
        <v>1228.5</v>
      </c>
      <c r="C18" s="21">
        <v>12988.637833210356</v>
      </c>
      <c r="D18" s="22">
        <f t="shared" si="7"/>
        <v>630</v>
      </c>
      <c r="E18" s="22">
        <f t="shared" si="0"/>
        <v>8182841.8349225242</v>
      </c>
      <c r="F18" s="22">
        <f t="shared" si="1"/>
        <v>-1811914.9777328447</v>
      </c>
      <c r="G18" s="22">
        <f t="shared" si="2"/>
        <v>-2045710.458730631</v>
      </c>
      <c r="H18" s="22">
        <f t="shared" si="3"/>
        <v>-3273136.7339690099</v>
      </c>
      <c r="I18" s="22">
        <f t="shared" si="4"/>
        <v>1052079.664490039</v>
      </c>
      <c r="J18" s="23">
        <f t="shared" si="6"/>
        <v>7246051.239102276</v>
      </c>
    </row>
    <row r="19" spans="1:10" x14ac:dyDescent="0.3">
      <c r="A19" s="8">
        <f t="shared" si="5"/>
        <v>14</v>
      </c>
      <c r="B19" s="20">
        <f>+'Channel 2 Sales'!C19</f>
        <v>1228.5</v>
      </c>
      <c r="C19" s="21">
        <v>13944.469493055651</v>
      </c>
      <c r="D19" s="22">
        <f t="shared" si="7"/>
        <v>630</v>
      </c>
      <c r="E19" s="22">
        <f t="shared" si="0"/>
        <v>8785015.7806250602</v>
      </c>
      <c r="F19" s="22">
        <f t="shared" si="1"/>
        <v>-1945253.4942812633</v>
      </c>
      <c r="G19" s="22">
        <f t="shared" si="2"/>
        <v>-2196253.9451562651</v>
      </c>
      <c r="H19" s="22">
        <f t="shared" si="3"/>
        <v>-3514006.3122500242</v>
      </c>
      <c r="I19" s="22">
        <f t="shared" si="4"/>
        <v>1129502.0289375079</v>
      </c>
      <c r="J19" s="23">
        <f t="shared" si="6"/>
        <v>8375553.2680397835</v>
      </c>
    </row>
    <row r="20" spans="1:10" x14ac:dyDescent="0.3">
      <c r="A20" s="8">
        <f t="shared" si="5"/>
        <v>15</v>
      </c>
      <c r="B20" s="20">
        <f>+'Channel 2 Sales'!C20</f>
        <v>1228.5</v>
      </c>
      <c r="C20" s="21">
        <v>14893.83792316467</v>
      </c>
      <c r="D20" s="22">
        <f t="shared" si="7"/>
        <v>630</v>
      </c>
      <c r="E20" s="22">
        <f t="shared" si="0"/>
        <v>9383117.8915937431</v>
      </c>
      <c r="F20" s="22">
        <f t="shared" si="1"/>
        <v>-2077690.3902814714</v>
      </c>
      <c r="G20" s="22">
        <f t="shared" si="2"/>
        <v>-2345779.4728984358</v>
      </c>
      <c r="H20" s="22">
        <f t="shared" si="3"/>
        <v>-3753247.1566374972</v>
      </c>
      <c r="I20" s="22">
        <f t="shared" si="4"/>
        <v>1206400.8717763387</v>
      </c>
      <c r="J20" s="23">
        <f t="shared" si="6"/>
        <v>9581954.1398161221</v>
      </c>
    </row>
    <row r="21" spans="1:10" x14ac:dyDescent="0.3">
      <c r="A21" s="8">
        <f t="shared" si="5"/>
        <v>16</v>
      </c>
      <c r="B21" s="20">
        <f>+'Channel 2 Sales'!C21</f>
        <v>1228.5</v>
      </c>
      <c r="C21" s="21">
        <v>15837.262250123144</v>
      </c>
      <c r="D21" s="22">
        <f t="shared" si="7"/>
        <v>630</v>
      </c>
      <c r="E21" s="22">
        <f t="shared" si="0"/>
        <v>9977475.2175775804</v>
      </c>
      <c r="F21" s="22">
        <f t="shared" si="1"/>
        <v>-2209298.0838921787</v>
      </c>
      <c r="G21" s="22">
        <f t="shared" si="2"/>
        <v>-2494368.8043943951</v>
      </c>
      <c r="H21" s="22">
        <f t="shared" si="3"/>
        <v>-3990990.0870310324</v>
      </c>
      <c r="I21" s="22">
        <f t="shared" si="4"/>
        <v>1282818.2422599741</v>
      </c>
      <c r="J21" s="23">
        <f t="shared" si="6"/>
        <v>10864772.382076096</v>
      </c>
    </row>
    <row r="22" spans="1:10" x14ac:dyDescent="0.3">
      <c r="A22" s="8">
        <f t="shared" si="5"/>
        <v>17</v>
      </c>
      <c r="B22" s="20">
        <f>+'Channel 2 Sales'!C22</f>
        <v>1228.5</v>
      </c>
      <c r="C22" s="21">
        <v>16774.934489826825</v>
      </c>
      <c r="D22" s="22">
        <f t="shared" si="7"/>
        <v>630</v>
      </c>
      <c r="E22" s="22">
        <f t="shared" si="0"/>
        <v>10568208.7285909</v>
      </c>
      <c r="F22" s="22">
        <f t="shared" si="1"/>
        <v>-2340103.3613308421</v>
      </c>
      <c r="G22" s="22">
        <f t="shared" si="2"/>
        <v>-2642052.182147725</v>
      </c>
      <c r="H22" s="22">
        <f t="shared" si="3"/>
        <v>-4227283.4914363604</v>
      </c>
      <c r="I22" s="22">
        <f t="shared" si="4"/>
        <v>1358769.6936759725</v>
      </c>
      <c r="J22" s="23">
        <f t="shared" si="6"/>
        <v>12223542.075752068</v>
      </c>
    </row>
    <row r="23" spans="1:10" x14ac:dyDescent="0.3">
      <c r="A23" s="8">
        <f t="shared" si="5"/>
        <v>18</v>
      </c>
      <c r="B23" s="20">
        <f>+'Channel 2 Sales'!C23</f>
        <v>1228.5</v>
      </c>
      <c r="C23" s="21">
        <v>17707.035413287431</v>
      </c>
      <c r="D23" s="22">
        <f t="shared" si="7"/>
        <v>630</v>
      </c>
      <c r="E23" s="22">
        <f t="shared" si="0"/>
        <v>11155432.310371082</v>
      </c>
      <c r="F23" s="22">
        <f t="shared" si="1"/>
        <v>-2470131.4401535965</v>
      </c>
      <c r="G23" s="22">
        <f t="shared" si="2"/>
        <v>-2788858.0775927706</v>
      </c>
      <c r="H23" s="22">
        <f t="shared" si="3"/>
        <v>-4462172.9241484329</v>
      </c>
      <c r="I23" s="22">
        <f t="shared" si="4"/>
        <v>1434269.8684762819</v>
      </c>
      <c r="J23" s="23">
        <f t="shared" si="6"/>
        <v>13657811.944228351</v>
      </c>
    </row>
    <row r="24" spans="1:10" x14ac:dyDescent="0.3">
      <c r="A24" s="8">
        <f t="shared" si="5"/>
        <v>19</v>
      </c>
      <c r="B24" s="20">
        <f>+'Channel 2 Sales'!C24</f>
        <v>1228.5</v>
      </c>
      <c r="C24" s="21">
        <v>18633.736041939821</v>
      </c>
      <c r="D24" s="22">
        <f t="shared" si="7"/>
        <v>630</v>
      </c>
      <c r="E24" s="22">
        <f t="shared" si="0"/>
        <v>11739253.706422087</v>
      </c>
      <c r="F24" s="22">
        <f t="shared" si="1"/>
        <v>-2599406.177850605</v>
      </c>
      <c r="G24" s="22">
        <f t="shared" si="2"/>
        <v>-2934813.4266055217</v>
      </c>
      <c r="H24" s="22">
        <f t="shared" si="3"/>
        <v>-4695701.4825688349</v>
      </c>
      <c r="I24" s="22">
        <f t="shared" si="4"/>
        <v>1509332.6193971261</v>
      </c>
      <c r="J24" s="23">
        <f t="shared" si="6"/>
        <v>15167144.563625477</v>
      </c>
    </row>
    <row r="25" spans="1:10" x14ac:dyDescent="0.3">
      <c r="A25" s="8">
        <f t="shared" si="5"/>
        <v>20</v>
      </c>
      <c r="B25" s="20">
        <f>+'Channel 2 Sales'!C25</f>
        <v>1228.5</v>
      </c>
      <c r="C25" s="21">
        <v>19555.199005459701</v>
      </c>
      <c r="D25" s="22">
        <f t="shared" si="7"/>
        <v>630</v>
      </c>
      <c r="E25" s="22">
        <f t="shared" si="0"/>
        <v>12319775.373439612</v>
      </c>
      <c r="F25" s="22">
        <f t="shared" si="1"/>
        <v>-2727950.2612616285</v>
      </c>
      <c r="G25" s="22">
        <f t="shared" si="2"/>
        <v>-3079943.843359903</v>
      </c>
      <c r="H25" s="22">
        <f t="shared" si="3"/>
        <v>-4927910.1493758447</v>
      </c>
      <c r="I25" s="22">
        <f t="shared" si="4"/>
        <v>1583971.1194422357</v>
      </c>
      <c r="J25" s="23">
        <f t="shared" si="6"/>
        <v>16751115.683067713</v>
      </c>
    </row>
    <row r="26" spans="1:10" x14ac:dyDescent="0.3">
      <c r="A26" s="8">
        <f t="shared" si="5"/>
        <v>21</v>
      </c>
      <c r="B26" s="20">
        <f>+'Channel 2 Sales'!C26</f>
        <v>1228.5</v>
      </c>
      <c r="C26" s="21">
        <v>20471.579782838446</v>
      </c>
      <c r="D26" s="22">
        <f t="shared" si="7"/>
        <v>630</v>
      </c>
      <c r="E26" s="22">
        <f t="shared" si="0"/>
        <v>12897095.263188221</v>
      </c>
      <c r="F26" s="22">
        <f t="shared" si="1"/>
        <v>-2855785.3797059632</v>
      </c>
      <c r="G26" s="22">
        <f t="shared" si="2"/>
        <v>-3224273.8157970551</v>
      </c>
      <c r="H26" s="22">
        <f t="shared" si="3"/>
        <v>-5158838.1052752882</v>
      </c>
      <c r="I26" s="22">
        <f t="shared" si="4"/>
        <v>1658197.9624099135</v>
      </c>
      <c r="J26" s="23">
        <f t="shared" si="6"/>
        <v>18409313.645477626</v>
      </c>
    </row>
    <row r="27" spans="1:10" x14ac:dyDescent="0.3">
      <c r="A27" s="8">
        <f t="shared" si="5"/>
        <v>22</v>
      </c>
      <c r="B27" s="20">
        <f>+'Channel 2 Sales'!C27</f>
        <v>1228.5</v>
      </c>
      <c r="C27" s="21">
        <v>21383.02784514003</v>
      </c>
      <c r="D27" s="22">
        <f t="shared" si="7"/>
        <v>630</v>
      </c>
      <c r="E27" s="22">
        <f t="shared" si="0"/>
        <v>13471307.542438218</v>
      </c>
      <c r="F27" s="22">
        <f t="shared" si="1"/>
        <v>-2982932.3843970341</v>
      </c>
      <c r="G27" s="22">
        <f t="shared" si="2"/>
        <v>-3367826.8856095546</v>
      </c>
      <c r="H27" s="22">
        <f t="shared" si="3"/>
        <v>-5388523.0169752873</v>
      </c>
      <c r="I27" s="22">
        <f t="shared" si="4"/>
        <v>1732025.2554563433</v>
      </c>
      <c r="J27" s="23">
        <f t="shared" si="6"/>
        <v>20141338.90093397</v>
      </c>
    </row>
    <row r="28" spans="1:10" x14ac:dyDescent="0.3">
      <c r="A28" s="8">
        <f t="shared" si="5"/>
        <v>23</v>
      </c>
      <c r="B28" s="20">
        <f>+'Channel 2 Sales'!C28</f>
        <v>1228.5</v>
      </c>
      <c r="C28" s="21">
        <v>22289.687716429835</v>
      </c>
      <c r="D28" s="22">
        <f t="shared" si="7"/>
        <v>630</v>
      </c>
      <c r="E28" s="22">
        <f t="shared" si="0"/>
        <v>14042503.261350796</v>
      </c>
      <c r="F28" s="22">
        <f t="shared" si="1"/>
        <v>-3109411.4364419621</v>
      </c>
      <c r="G28" s="22">
        <f t="shared" si="2"/>
        <v>-3510625.8153376989</v>
      </c>
      <c r="H28" s="22">
        <f t="shared" si="3"/>
        <v>-5617001.3045403184</v>
      </c>
      <c r="I28" s="22">
        <f t="shared" si="4"/>
        <v>1805464.7050308166</v>
      </c>
      <c r="J28" s="23">
        <f t="shared" si="6"/>
        <v>21946803.605964787</v>
      </c>
    </row>
    <row r="29" spans="1:10" x14ac:dyDescent="0.3">
      <c r="A29" s="8">
        <f t="shared" si="5"/>
        <v>24</v>
      </c>
      <c r="B29" s="20">
        <f>+'Channel 2 Sales'!C29</f>
        <v>1228.5</v>
      </c>
      <c r="C29" s="21">
        <v>23191.814288363203</v>
      </c>
      <c r="D29" s="22">
        <f t="shared" si="7"/>
        <v>630</v>
      </c>
      <c r="E29" s="22">
        <f t="shared" si="0"/>
        <v>14610843.001668818</v>
      </c>
      <c r="F29" s="22">
        <f t="shared" si="1"/>
        <v>-3235258.0932266666</v>
      </c>
      <c r="G29" s="22">
        <f t="shared" si="2"/>
        <v>-3652710.7504172046</v>
      </c>
      <c r="H29" s="22">
        <f t="shared" si="3"/>
        <v>-5844337.2006675275</v>
      </c>
      <c r="I29" s="22">
        <f t="shared" si="4"/>
        <v>1878536.9573574187</v>
      </c>
      <c r="J29" s="23">
        <f t="shared" si="6"/>
        <v>23825340.563322205</v>
      </c>
    </row>
    <row r="30" spans="1:10" x14ac:dyDescent="0.3">
      <c r="A30" s="8">
        <f t="shared" si="5"/>
        <v>25</v>
      </c>
      <c r="B30" s="20">
        <f>+'Channel 2 Sales'!C30</f>
        <v>1289.925</v>
      </c>
      <c r="C30" s="21">
        <v>24150.855227436903</v>
      </c>
      <c r="D30" s="22">
        <f t="shared" si="7"/>
        <v>661.5</v>
      </c>
      <c r="E30" s="22">
        <f t="shared" si="0"/>
        <v>15975790.732949512</v>
      </c>
      <c r="F30" s="22">
        <f t="shared" si="1"/>
        <v>-3483157.0951770879</v>
      </c>
      <c r="G30" s="22">
        <f t="shared" si="2"/>
        <v>-3993947.683237378</v>
      </c>
      <c r="H30" s="22">
        <f t="shared" si="3"/>
        <v>-6390316.2931798054</v>
      </c>
      <c r="I30" s="22">
        <f t="shared" si="4"/>
        <v>2108369.6613552412</v>
      </c>
      <c r="J30" s="23">
        <f t="shared" si="6"/>
        <v>25933710.224677447</v>
      </c>
    </row>
    <row r="31" spans="1:10" x14ac:dyDescent="0.3">
      <c r="A31" s="8">
        <f t="shared" si="5"/>
        <v>26</v>
      </c>
      <c r="B31" s="20">
        <f>+'Channel 2 Sales'!C31</f>
        <v>1289.925</v>
      </c>
      <c r="C31" s="21">
        <v>25102.18327431523</v>
      </c>
      <c r="D31" s="22">
        <f t="shared" si="7"/>
        <v>661.5</v>
      </c>
      <c r="E31" s="22">
        <f t="shared" si="0"/>
        <v>16605094.235959524</v>
      </c>
      <c r="F31" s="22">
        <f t="shared" si="1"/>
        <v>-3620362.3827381148</v>
      </c>
      <c r="G31" s="22">
        <f t="shared" si="2"/>
        <v>-4151273.5589898811</v>
      </c>
      <c r="H31" s="22">
        <f t="shared" si="3"/>
        <v>-6642037.6943838103</v>
      </c>
      <c r="I31" s="22">
        <f t="shared" si="4"/>
        <v>2191420.5998477181</v>
      </c>
      <c r="J31" s="23">
        <f t="shared" si="6"/>
        <v>28125130.824525166</v>
      </c>
    </row>
    <row r="32" spans="1:10" x14ac:dyDescent="0.3">
      <c r="A32" s="8">
        <f t="shared" si="5"/>
        <v>27</v>
      </c>
      <c r="B32" s="20">
        <f>+'Channel 2 Sales'!C32</f>
        <v>1289.925</v>
      </c>
      <c r="C32" s="21">
        <v>26046.71767439667</v>
      </c>
      <c r="D32" s="22">
        <f t="shared" si="7"/>
        <v>661.5</v>
      </c>
      <c r="E32" s="22">
        <f t="shared" si="0"/>
        <v>17229903.741613396</v>
      </c>
      <c r="F32" s="22">
        <f t="shared" si="1"/>
        <v>-3756587.8565898603</v>
      </c>
      <c r="G32" s="22">
        <f t="shared" si="2"/>
        <v>-4307475.9354033489</v>
      </c>
      <c r="H32" s="22">
        <f t="shared" si="3"/>
        <v>-6891961.4966453584</v>
      </c>
      <c r="I32" s="22">
        <f t="shared" si="4"/>
        <v>2273878.452974827</v>
      </c>
      <c r="J32" s="23">
        <f t="shared" si="6"/>
        <v>30399009.277499992</v>
      </c>
    </row>
    <row r="33" spans="1:10" x14ac:dyDescent="0.3">
      <c r="A33" s="8">
        <f t="shared" si="5"/>
        <v>28</v>
      </c>
      <c r="B33" s="20">
        <f>+'Channel 2 Sales'!C33</f>
        <v>1289.925</v>
      </c>
      <c r="C33" s="21">
        <v>26985.272278427699</v>
      </c>
      <c r="D33" s="22">
        <f t="shared" si="7"/>
        <v>661.5</v>
      </c>
      <c r="E33" s="22">
        <f t="shared" si="0"/>
        <v>17850757.612179924</v>
      </c>
      <c r="F33" s="22">
        <f t="shared" si="1"/>
        <v>-3891950.8943562354</v>
      </c>
      <c r="G33" s="22">
        <f t="shared" si="2"/>
        <v>-4462689.403044981</v>
      </c>
      <c r="H33" s="22">
        <f t="shared" si="3"/>
        <v>-7140303.0448719701</v>
      </c>
      <c r="I33" s="22">
        <f t="shared" si="4"/>
        <v>2355814.2699067378</v>
      </c>
      <c r="J33" s="23">
        <f t="shared" si="6"/>
        <v>32754823.547406729</v>
      </c>
    </row>
    <row r="34" spans="1:10" x14ac:dyDescent="0.3">
      <c r="A34" s="8">
        <f t="shared" si="5"/>
        <v>29</v>
      </c>
      <c r="B34" s="20">
        <f>+'Channel 2 Sales'!C34</f>
        <v>1289.925</v>
      </c>
      <c r="C34" s="21">
        <v>27918.047395537578</v>
      </c>
      <c r="D34" s="22">
        <f t="shared" si="7"/>
        <v>661.5</v>
      </c>
      <c r="E34" s="22">
        <f t="shared" si="0"/>
        <v>18467788.352148108</v>
      </c>
      <c r="F34" s="22">
        <f t="shared" si="1"/>
        <v>-4026480.385621408</v>
      </c>
      <c r="G34" s="22">
        <f t="shared" si="2"/>
        <v>-4616947.088037027</v>
      </c>
      <c r="H34" s="22">
        <f t="shared" si="3"/>
        <v>-7387115.3408592436</v>
      </c>
      <c r="I34" s="22">
        <f t="shared" si="4"/>
        <v>2437245.5376304295</v>
      </c>
      <c r="J34" s="23">
        <f t="shared" si="6"/>
        <v>35192069.085037157</v>
      </c>
    </row>
    <row r="35" spans="1:10" x14ac:dyDescent="0.3">
      <c r="A35" s="8">
        <f t="shared" si="5"/>
        <v>30</v>
      </c>
      <c r="B35" s="20">
        <f>+'Channel 2 Sales'!C35</f>
        <v>1289.925</v>
      </c>
      <c r="C35" s="21">
        <v>28845.231534265113</v>
      </c>
      <c r="D35" s="22">
        <f t="shared" si="7"/>
        <v>661.5</v>
      </c>
      <c r="E35" s="22">
        <f t="shared" si="0"/>
        <v>19081120.659916371</v>
      </c>
      <c r="F35" s="22">
        <f t="shared" si="1"/>
        <v>-4160203.5180293866</v>
      </c>
      <c r="G35" s="22">
        <f t="shared" si="2"/>
        <v>-4770280.1649790928</v>
      </c>
      <c r="H35" s="22">
        <f t="shared" si="3"/>
        <v>-7632448.2639665492</v>
      </c>
      <c r="I35" s="22">
        <f t="shared" si="4"/>
        <v>2518188.712941343</v>
      </c>
      <c r="J35" s="23">
        <f t="shared" si="6"/>
        <v>37710257.797978498</v>
      </c>
    </row>
    <row r="36" spans="1:10" x14ac:dyDescent="0.3">
      <c r="A36" s="8">
        <f t="shared" si="5"/>
        <v>31</v>
      </c>
      <c r="B36" s="20">
        <f>+'Channel 2 Sales'!C36</f>
        <v>1289.925</v>
      </c>
      <c r="C36" s="21">
        <v>29767.002972598551</v>
      </c>
      <c r="D36" s="22">
        <f t="shared" si="7"/>
        <v>661.5</v>
      </c>
      <c r="E36" s="22">
        <f t="shared" si="0"/>
        <v>19690872.466373943</v>
      </c>
      <c r="F36" s="22">
        <f t="shared" si="1"/>
        <v>-4293146.0037230272</v>
      </c>
      <c r="G36" s="22">
        <f t="shared" si="2"/>
        <v>-4922718.1165934857</v>
      </c>
      <c r="H36" s="22">
        <f t="shared" si="3"/>
        <v>-7876348.9865495777</v>
      </c>
      <c r="I36" s="22">
        <f t="shared" si="4"/>
        <v>2598659.3595078522</v>
      </c>
      <c r="J36" s="23">
        <f t="shared" si="6"/>
        <v>40308917.157486349</v>
      </c>
    </row>
    <row r="37" spans="1:10" x14ac:dyDescent="0.3">
      <c r="A37" s="8">
        <f t="shared" si="5"/>
        <v>32</v>
      </c>
      <c r="B37" s="20">
        <f>+'Channel 2 Sales'!C37</f>
        <v>1289.925</v>
      </c>
      <c r="C37" s="21">
        <v>30683.53118365163</v>
      </c>
      <c r="D37" s="22">
        <f t="shared" si="7"/>
        <v>661.5</v>
      </c>
      <c r="E37" s="22">
        <f t="shared" si="0"/>
        <v>20297155.877985552</v>
      </c>
      <c r="F37" s="22">
        <f t="shared" si="1"/>
        <v>-4425332.2849621568</v>
      </c>
      <c r="G37" s="22">
        <f t="shared" si="2"/>
        <v>-5074288.969496388</v>
      </c>
      <c r="H37" s="22">
        <f t="shared" si="3"/>
        <v>-8118862.3511942215</v>
      </c>
      <c r="I37" s="22">
        <f t="shared" si="4"/>
        <v>2678672.2723327857</v>
      </c>
      <c r="J37" s="23">
        <f t="shared" si="6"/>
        <v>42987589.429819137</v>
      </c>
    </row>
    <row r="38" spans="1:10" x14ac:dyDescent="0.3">
      <c r="A38" s="8">
        <f t="shared" si="5"/>
        <v>33</v>
      </c>
      <c r="B38" s="20">
        <f>+'Channel 2 Sales'!C38</f>
        <v>1289.925</v>
      </c>
      <c r="C38" s="21">
        <v>31594.978138759714</v>
      </c>
      <c r="D38" s="22">
        <f t="shared" si="7"/>
        <v>661.5</v>
      </c>
      <c r="E38" s="22">
        <f t="shared" ref="E38:E69" si="8">+C38*D38</f>
        <v>20900078.038789552</v>
      </c>
      <c r="F38" s="22">
        <f t="shared" ref="F38:F65" si="9">-((D38*25%)-(MAX(0,(D38-300))*5%)-(MAX(0,(D38-600))*5%)-(MAX(0,(D38-1200))*5%)-(MAX(0,(D38-1500))*5%))*C38</f>
        <v>-4556785.7220626203</v>
      </c>
      <c r="G38" s="22">
        <f t="shared" ref="G38:G65" si="10">-E38*$F$2</f>
        <v>-5225019.5096973879</v>
      </c>
      <c r="H38" s="22">
        <f t="shared" ref="H38:H65" si="11">-E38*$C$3</f>
        <v>-8360031.2155158212</v>
      </c>
      <c r="I38" s="22">
        <f t="shared" ref="I38:I69" si="12">+E38+F38+G38+H38</f>
        <v>2758241.5915137203</v>
      </c>
      <c r="J38" s="23">
        <f t="shared" si="6"/>
        <v>45745831.02133286</v>
      </c>
    </row>
    <row r="39" spans="1:10" x14ac:dyDescent="0.3">
      <c r="A39" s="8">
        <f t="shared" ref="A39:A65" si="13">+A38+1</f>
        <v>34</v>
      </c>
      <c r="B39" s="20">
        <f>+'Channel 2 Sales'!C39</f>
        <v>1289.925</v>
      </c>
      <c r="C39" s="21">
        <v>32501.49950734248</v>
      </c>
      <c r="D39" s="22">
        <f t="shared" si="7"/>
        <v>661.5</v>
      </c>
      <c r="E39" s="22">
        <f t="shared" si="8"/>
        <v>21499741.924107049</v>
      </c>
      <c r="F39" s="22">
        <f t="shared" si="9"/>
        <v>-4687528.7664464703</v>
      </c>
      <c r="G39" s="22">
        <f t="shared" si="10"/>
        <v>-5374935.4810267622</v>
      </c>
      <c r="H39" s="22">
        <f t="shared" si="11"/>
        <v>-8599896.7696428206</v>
      </c>
      <c r="I39" s="22">
        <f t="shared" si="12"/>
        <v>2837380.9069909956</v>
      </c>
      <c r="J39" s="23">
        <f t="shared" ref="J39:J70" si="14">+J38+I39</f>
        <v>48583211.928323857</v>
      </c>
    </row>
    <row r="40" spans="1:10" x14ac:dyDescent="0.3">
      <c r="A40" s="8">
        <f t="shared" si="13"/>
        <v>35</v>
      </c>
      <c r="B40" s="20">
        <f>+'Channel 2 Sales'!C40</f>
        <v>1289.925</v>
      </c>
      <c r="C40" s="21">
        <v>33403.245770847054</v>
      </c>
      <c r="D40" s="22">
        <f t="shared" si="7"/>
        <v>661.5</v>
      </c>
      <c r="E40" s="22">
        <f t="shared" si="8"/>
        <v>22096247.077415325</v>
      </c>
      <c r="F40" s="22">
        <f t="shared" si="9"/>
        <v>-4817583.121300417</v>
      </c>
      <c r="G40" s="22">
        <f t="shared" si="10"/>
        <v>-5524061.7693538312</v>
      </c>
      <c r="H40" s="22">
        <f t="shared" si="11"/>
        <v>-8838498.8309661299</v>
      </c>
      <c r="I40" s="22">
        <f t="shared" si="12"/>
        <v>2916103.3557949457</v>
      </c>
      <c r="J40" s="23">
        <f t="shared" si="14"/>
        <v>51499315.284118801</v>
      </c>
    </row>
    <row r="41" spans="1:10" x14ac:dyDescent="0.3">
      <c r="A41" s="8">
        <f t="shared" si="13"/>
        <v>36</v>
      </c>
      <c r="B41" s="20">
        <f>+'Channel 2 Sales'!C41</f>
        <v>1289.925</v>
      </c>
      <c r="C41" s="21">
        <v>34300.483303034111</v>
      </c>
      <c r="D41" s="22">
        <f t="shared" si="7"/>
        <v>661.5</v>
      </c>
      <c r="E41" s="22">
        <f t="shared" si="8"/>
        <v>22689769.704957064</v>
      </c>
      <c r="F41" s="22">
        <f t="shared" si="9"/>
        <v>-4946987.204380095</v>
      </c>
      <c r="G41" s="22">
        <f t="shared" si="10"/>
        <v>-5672442.4262392661</v>
      </c>
      <c r="H41" s="22">
        <f t="shared" si="11"/>
        <v>-9075907.8819828257</v>
      </c>
      <c r="I41" s="22">
        <f t="shared" si="12"/>
        <v>2994432.1923548765</v>
      </c>
      <c r="J41" s="23">
        <f t="shared" si="14"/>
        <v>54493747.476473674</v>
      </c>
    </row>
    <row r="42" spans="1:10" x14ac:dyDescent="0.3">
      <c r="A42" s="8">
        <f t="shared" si="13"/>
        <v>37</v>
      </c>
      <c r="B42" s="20">
        <f>+'Channel 2 Sales'!C42</f>
        <v>1354.4212500000001</v>
      </c>
      <c r="C42" s="21">
        <v>35257.730897560221</v>
      </c>
      <c r="D42" s="22">
        <f t="shared" si="7"/>
        <v>694.57500000000005</v>
      </c>
      <c r="E42" s="22">
        <f t="shared" si="8"/>
        <v>24489138.438172892</v>
      </c>
      <c r="F42" s="22">
        <f t="shared" si="9"/>
        <v>-5259968.6561161447</v>
      </c>
      <c r="G42" s="22">
        <f t="shared" si="10"/>
        <v>-6122284.6095432229</v>
      </c>
      <c r="H42" s="22">
        <f t="shared" si="11"/>
        <v>-9795655.3752691578</v>
      </c>
      <c r="I42" s="22">
        <f t="shared" si="12"/>
        <v>3311229.7972443681</v>
      </c>
      <c r="J42" s="23">
        <f t="shared" si="14"/>
        <v>57804977.273718044</v>
      </c>
    </row>
    <row r="43" spans="1:10" x14ac:dyDescent="0.3">
      <c r="A43" s="8">
        <f t="shared" si="13"/>
        <v>38</v>
      </c>
      <c r="B43" s="20">
        <f>+'Channel 2 Sales'!C43</f>
        <v>1354.4212500000001</v>
      </c>
      <c r="C43" s="21">
        <v>36207.128682238712</v>
      </c>
      <c r="D43" s="22">
        <f t="shared" si="7"/>
        <v>694.57500000000005</v>
      </c>
      <c r="E43" s="22">
        <f t="shared" si="8"/>
        <v>25148566.404465955</v>
      </c>
      <c r="F43" s="22">
        <f t="shared" si="9"/>
        <v>-5401605.7513706358</v>
      </c>
      <c r="G43" s="22">
        <f t="shared" si="10"/>
        <v>-6287141.6011164887</v>
      </c>
      <c r="H43" s="22">
        <f t="shared" si="11"/>
        <v>-10059426.561786383</v>
      </c>
      <c r="I43" s="22">
        <f t="shared" si="12"/>
        <v>3400392.4901924469</v>
      </c>
      <c r="J43" s="23">
        <f t="shared" si="14"/>
        <v>61205369.763910487</v>
      </c>
    </row>
    <row r="44" spans="1:10" x14ac:dyDescent="0.3">
      <c r="A44" s="8">
        <f t="shared" si="13"/>
        <v>39</v>
      </c>
      <c r="B44" s="20">
        <f>+'Channel 2 Sales'!C44</f>
        <v>1354.4212500000001</v>
      </c>
      <c r="C44" s="21">
        <v>37149.640621103179</v>
      </c>
      <c r="D44" s="22">
        <f t="shared" si="7"/>
        <v>694.57500000000005</v>
      </c>
      <c r="E44" s="22">
        <f t="shared" si="8"/>
        <v>25803211.634402741</v>
      </c>
      <c r="F44" s="22">
        <f t="shared" si="9"/>
        <v>-5542215.5731100552</v>
      </c>
      <c r="G44" s="22">
        <f t="shared" si="10"/>
        <v>-6450802.9086006852</v>
      </c>
      <c r="H44" s="22">
        <f t="shared" si="11"/>
        <v>-10321284.653761096</v>
      </c>
      <c r="I44" s="22">
        <f t="shared" si="12"/>
        <v>3488908.498930905</v>
      </c>
      <c r="J44" s="23">
        <f t="shared" si="14"/>
        <v>64694278.262841389</v>
      </c>
    </row>
    <row r="45" spans="1:10" x14ac:dyDescent="0.3">
      <c r="A45" s="8">
        <f t="shared" si="13"/>
        <v>40</v>
      </c>
      <c r="B45" s="20">
        <f>+'Channel 2 Sales'!C45</f>
        <v>1354.4212500000001</v>
      </c>
      <c r="C45" s="21">
        <v>38086.120020020819</v>
      </c>
      <c r="D45" s="22">
        <f t="shared" si="7"/>
        <v>694.57500000000005</v>
      </c>
      <c r="E45" s="22">
        <f t="shared" si="8"/>
        <v>26453666.812905964</v>
      </c>
      <c r="F45" s="22">
        <f t="shared" si="9"/>
        <v>-5681925.4228368318</v>
      </c>
      <c r="G45" s="22">
        <f t="shared" si="10"/>
        <v>-6613416.7032264909</v>
      </c>
      <c r="H45" s="22">
        <f t="shared" si="11"/>
        <v>-10581466.725162387</v>
      </c>
      <c r="I45" s="22">
        <f t="shared" si="12"/>
        <v>3576857.9616802521</v>
      </c>
      <c r="J45" s="23">
        <f t="shared" si="14"/>
        <v>68271136.224521637</v>
      </c>
    </row>
    <row r="46" spans="1:10" x14ac:dyDescent="0.3">
      <c r="A46" s="8">
        <f t="shared" si="13"/>
        <v>41</v>
      </c>
      <c r="B46" s="20">
        <f>+'Channel 2 Sales'!C46</f>
        <v>1354.4212500000001</v>
      </c>
      <c r="C46" s="21">
        <v>39016.77597234783</v>
      </c>
      <c r="D46" s="22">
        <f t="shared" si="7"/>
        <v>694.57500000000005</v>
      </c>
      <c r="E46" s="22">
        <f t="shared" si="8"/>
        <v>27100077.170993496</v>
      </c>
      <c r="F46" s="22">
        <f t="shared" si="9"/>
        <v>-5820766.4944046773</v>
      </c>
      <c r="G46" s="22">
        <f t="shared" si="10"/>
        <v>-6775019.2927483739</v>
      </c>
      <c r="H46" s="22">
        <f t="shared" si="11"/>
        <v>-10840030.8683974</v>
      </c>
      <c r="I46" s="22">
        <f t="shared" si="12"/>
        <v>3664260.5154430456</v>
      </c>
      <c r="J46" s="23">
        <f t="shared" si="14"/>
        <v>71935396.739964679</v>
      </c>
    </row>
    <row r="47" spans="1:10" x14ac:dyDescent="0.3">
      <c r="A47" s="8">
        <f t="shared" si="13"/>
        <v>42</v>
      </c>
      <c r="B47" s="20">
        <f>+'Channel 2 Sales'!C47</f>
        <v>1354.4212500000001</v>
      </c>
      <c r="C47" s="21">
        <v>39941.80518697657</v>
      </c>
      <c r="D47" s="22">
        <f t="shared" si="7"/>
        <v>694.57500000000005</v>
      </c>
      <c r="E47" s="22">
        <f t="shared" si="8"/>
        <v>27742579.337744251</v>
      </c>
      <c r="F47" s="22">
        <f t="shared" si="9"/>
        <v>-5958768.1340755848</v>
      </c>
      <c r="G47" s="22">
        <f t="shared" si="10"/>
        <v>-6935644.8344360627</v>
      </c>
      <c r="H47" s="22">
        <f t="shared" si="11"/>
        <v>-11097031.735097701</v>
      </c>
      <c r="I47" s="22">
        <f t="shared" si="12"/>
        <v>3751134.6341349017</v>
      </c>
      <c r="J47" s="23">
        <f t="shared" si="14"/>
        <v>75686531.374099582</v>
      </c>
    </row>
    <row r="48" spans="1:10" x14ac:dyDescent="0.3">
      <c r="A48" s="8">
        <f t="shared" si="13"/>
        <v>43</v>
      </c>
      <c r="B48" s="20">
        <f>+'Channel 2 Sales'!C48</f>
        <v>1354.4212500000001</v>
      </c>
      <c r="C48" s="21">
        <v>40861.393636846697</v>
      </c>
      <c r="D48" s="22">
        <f t="shared" si="7"/>
        <v>694.57500000000005</v>
      </c>
      <c r="E48" s="22">
        <f t="shared" si="8"/>
        <v>28381302.485312797</v>
      </c>
      <c r="F48" s="22">
        <f t="shared" si="9"/>
        <v>-6095958.086455022</v>
      </c>
      <c r="G48" s="22">
        <f t="shared" si="10"/>
        <v>-7095325.6213281993</v>
      </c>
      <c r="H48" s="22">
        <f t="shared" si="11"/>
        <v>-11352520.99412512</v>
      </c>
      <c r="I48" s="22">
        <f t="shared" si="12"/>
        <v>3837497.7834044565</v>
      </c>
      <c r="J48" s="23">
        <f t="shared" si="14"/>
        <v>79524029.157504037</v>
      </c>
    </row>
    <row r="49" spans="1:10" x14ac:dyDescent="0.3">
      <c r="A49" s="8">
        <f t="shared" si="13"/>
        <v>44</v>
      </c>
      <c r="B49" s="20">
        <f>+'Channel 2 Sales'!C49</f>
        <v>1354.4212500000001</v>
      </c>
      <c r="C49" s="21">
        <v>41775.718055874328</v>
      </c>
      <c r="D49" s="22">
        <f t="shared" si="7"/>
        <v>694.57500000000005</v>
      </c>
      <c r="E49" s="22">
        <f t="shared" si="8"/>
        <v>29016369.368658911</v>
      </c>
      <c r="F49" s="22">
        <f t="shared" si="9"/>
        <v>-6232362.7178131826</v>
      </c>
      <c r="G49" s="22">
        <f t="shared" si="10"/>
        <v>-7254092.3421647279</v>
      </c>
      <c r="H49" s="22">
        <f t="shared" si="11"/>
        <v>-11606547.747463565</v>
      </c>
      <c r="I49" s="22">
        <f t="shared" si="12"/>
        <v>3923366.5612174347</v>
      </c>
      <c r="J49" s="23">
        <f t="shared" si="14"/>
        <v>83447395.718721479</v>
      </c>
    </row>
    <row r="50" spans="1:10" x14ac:dyDescent="0.3">
      <c r="A50" s="8">
        <f t="shared" si="13"/>
        <v>45</v>
      </c>
      <c r="B50" s="20">
        <f>+'Channel 2 Sales'!C50</f>
        <v>1354.4212500000001</v>
      </c>
      <c r="C50" s="21">
        <v>42684.947307172624</v>
      </c>
      <c r="D50" s="22">
        <f t="shared" si="7"/>
        <v>694.57500000000005</v>
      </c>
      <c r="E50" s="22">
        <f t="shared" si="8"/>
        <v>29647897.275879428</v>
      </c>
      <c r="F50" s="22">
        <f t="shared" si="9"/>
        <v>-6368007.220204683</v>
      </c>
      <c r="G50" s="22">
        <f t="shared" si="10"/>
        <v>-7411974.3189698569</v>
      </c>
      <c r="H50" s="22">
        <f t="shared" si="11"/>
        <v>-11859158.910351772</v>
      </c>
      <c r="I50" s="22">
        <f t="shared" si="12"/>
        <v>4008756.8263531178</v>
      </c>
      <c r="J50" s="23">
        <f t="shared" si="14"/>
        <v>87456152.545074597</v>
      </c>
    </row>
    <row r="51" spans="1:10" x14ac:dyDescent="0.3">
      <c r="A51" s="8">
        <f t="shared" si="13"/>
        <v>46</v>
      </c>
      <c r="B51" s="20">
        <f>+'Channel 2 Sales'!C51</f>
        <v>1354.4212500000001</v>
      </c>
      <c r="C51" s="21">
        <v>43589.243642877147</v>
      </c>
      <c r="D51" s="22">
        <f t="shared" si="7"/>
        <v>694.57500000000005</v>
      </c>
      <c r="E51" s="22">
        <f t="shared" si="8"/>
        <v>30275998.903251395</v>
      </c>
      <c r="F51" s="22">
        <f t="shared" si="9"/>
        <v>-6502915.7994171819</v>
      </c>
      <c r="G51" s="22">
        <f t="shared" si="10"/>
        <v>-7568999.7258128487</v>
      </c>
      <c r="H51" s="22">
        <f t="shared" si="11"/>
        <v>-12110399.561300559</v>
      </c>
      <c r="I51" s="22">
        <f t="shared" si="12"/>
        <v>4093683.8167208042</v>
      </c>
      <c r="J51" s="23">
        <f t="shared" si="14"/>
        <v>91549836.361795396</v>
      </c>
    </row>
    <row r="52" spans="1:10" x14ac:dyDescent="0.3">
      <c r="A52" s="8">
        <f t="shared" si="13"/>
        <v>47</v>
      </c>
      <c r="B52" s="20">
        <f>+'Channel 2 Sales'!C52</f>
        <v>1354.4212500000001</v>
      </c>
      <c r="C52" s="21">
        <v>44488.763873756121</v>
      </c>
      <c r="D52" s="22">
        <f t="shared" si="7"/>
        <v>694.57500000000005</v>
      </c>
      <c r="E52" s="22">
        <f t="shared" si="8"/>
        <v>30900783.167614158</v>
      </c>
      <c r="F52" s="22">
        <f t="shared" si="9"/>
        <v>-6637111.8494611504</v>
      </c>
      <c r="G52" s="22">
        <f t="shared" si="10"/>
        <v>-7725195.7919035396</v>
      </c>
      <c r="H52" s="22">
        <f t="shared" si="11"/>
        <v>-12360313.267045664</v>
      </c>
      <c r="I52" s="22">
        <f t="shared" si="12"/>
        <v>4178162.2592038047</v>
      </c>
      <c r="J52" s="23">
        <f t="shared" si="14"/>
        <v>95727998.620999202</v>
      </c>
    </row>
    <row r="53" spans="1:10" x14ac:dyDescent="0.3">
      <c r="A53" s="8">
        <f t="shared" si="13"/>
        <v>48</v>
      </c>
      <c r="B53" s="20">
        <f>+'Channel 2 Sales'!C53</f>
        <v>1354.4212500000001</v>
      </c>
      <c r="C53" s="21">
        <v>45383.786503480689</v>
      </c>
      <c r="D53" s="22">
        <f t="shared" si="7"/>
        <v>694.57500000000005</v>
      </c>
      <c r="E53" s="22">
        <f t="shared" si="8"/>
        <v>31522443.510655101</v>
      </c>
      <c r="F53" s="22">
        <f t="shared" si="9"/>
        <v>-6770636.9192548972</v>
      </c>
      <c r="G53" s="22">
        <f t="shared" si="10"/>
        <v>-7880610.8776637753</v>
      </c>
      <c r="H53" s="22">
        <f t="shared" si="11"/>
        <v>-12608977.404262042</v>
      </c>
      <c r="I53" s="22">
        <f t="shared" si="12"/>
        <v>4262218.3094743881</v>
      </c>
      <c r="J53" s="23">
        <f t="shared" si="14"/>
        <v>99990216.930473596</v>
      </c>
    </row>
    <row r="54" spans="1:10" x14ac:dyDescent="0.3">
      <c r="A54" s="8">
        <f t="shared" si="13"/>
        <v>49</v>
      </c>
      <c r="B54" s="20">
        <f>+'Channel 2 Sales'!C54</f>
        <v>1422.1423125000001</v>
      </c>
      <c r="C54" s="21">
        <v>46342.055082556632</v>
      </c>
      <c r="D54" s="22">
        <f t="shared" si="7"/>
        <v>729.30375000000004</v>
      </c>
      <c r="E54" s="22">
        <f t="shared" si="8"/>
        <v>33797434.554415114</v>
      </c>
      <c r="F54" s="22">
        <f t="shared" si="9"/>
        <v>-7155007.6618773146</v>
      </c>
      <c r="G54" s="22">
        <f t="shared" si="10"/>
        <v>-8449358.6386037786</v>
      </c>
      <c r="H54" s="22">
        <f t="shared" si="11"/>
        <v>-13518973.821766047</v>
      </c>
      <c r="I54" s="22">
        <f t="shared" si="12"/>
        <v>4674094.4321679715</v>
      </c>
      <c r="J54" s="23">
        <f t="shared" si="14"/>
        <v>104664311.36264157</v>
      </c>
    </row>
    <row r="55" spans="1:10" x14ac:dyDescent="0.3">
      <c r="A55" s="8">
        <f t="shared" si="13"/>
        <v>50</v>
      </c>
      <c r="B55" s="20">
        <f>+'Channel 2 Sales'!C55</f>
        <v>1422.1423125000001</v>
      </c>
      <c r="C55" s="21">
        <v>47292.315568268459</v>
      </c>
      <c r="D55" s="22">
        <f t="shared" si="7"/>
        <v>729.30375000000004</v>
      </c>
      <c r="E55" s="22">
        <f t="shared" si="8"/>
        <v>34490463.090121567</v>
      </c>
      <c r="F55" s="22">
        <f t="shared" si="9"/>
        <v>-7301723.6640903149</v>
      </c>
      <c r="G55" s="22">
        <f t="shared" si="10"/>
        <v>-8622615.7725303918</v>
      </c>
      <c r="H55" s="22">
        <f t="shared" si="11"/>
        <v>-13796185.236048628</v>
      </c>
      <c r="I55" s="22">
        <f t="shared" si="12"/>
        <v>4769938.4174522348</v>
      </c>
      <c r="J55" s="23">
        <f t="shared" si="14"/>
        <v>109434249.7800938</v>
      </c>
    </row>
    <row r="56" spans="1:10" x14ac:dyDescent="0.3">
      <c r="A56" s="8">
        <f t="shared" si="13"/>
        <v>51</v>
      </c>
      <c r="B56" s="20">
        <f>+'Channel 2 Sales'!C56</f>
        <v>1422.1423125000001</v>
      </c>
      <c r="C56" s="21">
        <v>48235.578951816547</v>
      </c>
      <c r="D56" s="22">
        <f t="shared" si="7"/>
        <v>729.30375000000004</v>
      </c>
      <c r="E56" s="22">
        <f t="shared" si="8"/>
        <v>35178388.61298088</v>
      </c>
      <c r="F56" s="22">
        <f t="shared" si="9"/>
        <v>-7447359.3447788758</v>
      </c>
      <c r="G56" s="22">
        <f t="shared" si="10"/>
        <v>-8794597.15324522</v>
      </c>
      <c r="H56" s="22">
        <f t="shared" si="11"/>
        <v>-14071355.445192352</v>
      </c>
      <c r="I56" s="22">
        <f t="shared" si="12"/>
        <v>4865076.6697644293</v>
      </c>
      <c r="J56" s="23">
        <f t="shared" si="14"/>
        <v>114299326.44985823</v>
      </c>
    </row>
    <row r="57" spans="1:10" x14ac:dyDescent="0.3">
      <c r="A57" s="8">
        <f t="shared" si="13"/>
        <v>52</v>
      </c>
      <c r="B57" s="20">
        <f>+'Channel 2 Sales'!C57</f>
        <v>1422.1423125000001</v>
      </c>
      <c r="C57" s="21">
        <v>49172.740039181786</v>
      </c>
      <c r="D57" s="22">
        <f t="shared" si="7"/>
        <v>729.30375000000004</v>
      </c>
      <c r="E57" s="22">
        <f t="shared" si="8"/>
        <v>35861863.708350427</v>
      </c>
      <c r="F57" s="22">
        <f t="shared" si="9"/>
        <v>-7592052.8580157431</v>
      </c>
      <c r="G57" s="22">
        <f t="shared" si="10"/>
        <v>-8965465.9270876069</v>
      </c>
      <c r="H57" s="22">
        <f t="shared" si="11"/>
        <v>-14344745.483340172</v>
      </c>
      <c r="I57" s="22">
        <f t="shared" si="12"/>
        <v>4959599.4399069045</v>
      </c>
      <c r="J57" s="23">
        <f t="shared" si="14"/>
        <v>119258925.88976514</v>
      </c>
    </row>
    <row r="58" spans="1:10" x14ac:dyDescent="0.3">
      <c r="A58" s="8">
        <f t="shared" si="13"/>
        <v>53</v>
      </c>
      <c r="B58" s="20">
        <f>+'Channel 2 Sales'!C58</f>
        <v>1422.1423125000001</v>
      </c>
      <c r="C58" s="21">
        <v>50104.017219034344</v>
      </c>
      <c r="D58" s="22">
        <f t="shared" si="7"/>
        <v>729.30375000000004</v>
      </c>
      <c r="E58" s="22">
        <f t="shared" si="8"/>
        <v>36541047.647906318</v>
      </c>
      <c r="F58" s="22">
        <f t="shared" si="9"/>
        <v>-7735837.9220424928</v>
      </c>
      <c r="G58" s="22">
        <f t="shared" si="10"/>
        <v>-9135261.9119765796</v>
      </c>
      <c r="H58" s="22">
        <f t="shared" si="11"/>
        <v>-14616419.059162527</v>
      </c>
      <c r="I58" s="22">
        <f t="shared" si="12"/>
        <v>5053528.7547247186</v>
      </c>
      <c r="J58" s="23">
        <f t="shared" si="14"/>
        <v>124312454.64448985</v>
      </c>
    </row>
    <row r="59" spans="1:10" x14ac:dyDescent="0.3">
      <c r="A59" s="8">
        <f t="shared" si="13"/>
        <v>54</v>
      </c>
      <c r="B59" s="20">
        <f>+'Channel 2 Sales'!C59</f>
        <v>1422.1423125000001</v>
      </c>
      <c r="C59" s="21">
        <v>51029.615882154176</v>
      </c>
      <c r="D59" s="22">
        <f t="shared" si="7"/>
        <v>729.30375000000004</v>
      </c>
      <c r="E59" s="22">
        <f t="shared" si="8"/>
        <v>37216090.223914601</v>
      </c>
      <c r="F59" s="22">
        <f t="shared" si="9"/>
        <v>-7878746.2482841266</v>
      </c>
      <c r="G59" s="22">
        <f t="shared" si="10"/>
        <v>-9304022.5559786502</v>
      </c>
      <c r="H59" s="22">
        <f t="shared" si="11"/>
        <v>-14886436.089565841</v>
      </c>
      <c r="I59" s="22">
        <f t="shared" si="12"/>
        <v>5146885.3300859798</v>
      </c>
      <c r="J59" s="23">
        <f t="shared" si="14"/>
        <v>129459339.97457583</v>
      </c>
    </row>
    <row r="60" spans="1:10" x14ac:dyDescent="0.3">
      <c r="A60" s="8">
        <f t="shared" si="13"/>
        <v>55</v>
      </c>
      <c r="B60" s="20">
        <f>+'Channel 2 Sales'!C60</f>
        <v>1422.1423125000001</v>
      </c>
      <c r="C60" s="21">
        <v>51949.73015233867</v>
      </c>
      <c r="D60" s="22">
        <f t="shared" si="7"/>
        <v>729.30375000000004</v>
      </c>
      <c r="E60" s="22">
        <f t="shared" si="8"/>
        <v>37887133.011588663</v>
      </c>
      <c r="F60" s="22">
        <f t="shared" si="9"/>
        <v>-8020807.8085935386</v>
      </c>
      <c r="G60" s="22">
        <f t="shared" si="10"/>
        <v>-9471783.2528971657</v>
      </c>
      <c r="H60" s="22">
        <f t="shared" si="11"/>
        <v>-15154853.204635466</v>
      </c>
      <c r="I60" s="22">
        <f t="shared" si="12"/>
        <v>5239688.745462494</v>
      </c>
      <c r="J60" s="23">
        <f t="shared" si="14"/>
        <v>134699028.72003832</v>
      </c>
    </row>
    <row r="61" spans="1:10" x14ac:dyDescent="0.3">
      <c r="A61" s="8">
        <f t="shared" si="13"/>
        <v>56</v>
      </c>
      <c r="B61" s="20">
        <f>+'Channel 2 Sales'!C61</f>
        <v>1422.1423125000001</v>
      </c>
      <c r="C61" s="21">
        <v>52864.544458149438</v>
      </c>
      <c r="D61" s="22">
        <f t="shared" si="7"/>
        <v>729.30375000000004</v>
      </c>
      <c r="E61" s="22">
        <f t="shared" si="8"/>
        <v>38554310.515370108</v>
      </c>
      <c r="F61" s="22">
        <f t="shared" si="9"/>
        <v>-8162051.077922239</v>
      </c>
      <c r="G61" s="22">
        <f t="shared" si="10"/>
        <v>-9638577.628842527</v>
      </c>
      <c r="H61" s="22">
        <f t="shared" si="11"/>
        <v>-15421724.206148043</v>
      </c>
      <c r="I61" s="22">
        <f t="shared" si="12"/>
        <v>5331957.6024572998</v>
      </c>
      <c r="J61" s="23">
        <f t="shared" si="14"/>
        <v>140030986.32249564</v>
      </c>
    </row>
    <row r="62" spans="1:10" x14ac:dyDescent="0.3">
      <c r="A62" s="8">
        <f t="shared" si="13"/>
        <v>57</v>
      </c>
      <c r="B62" s="20">
        <f>+'Channel 2 Sales'!C62</f>
        <v>1422.1423125000001</v>
      </c>
      <c r="C62" s="21">
        <v>53774.234969515244</v>
      </c>
      <c r="D62" s="22">
        <f t="shared" si="7"/>
        <v>729.30375000000004</v>
      </c>
      <c r="E62" s="22">
        <f t="shared" si="8"/>
        <v>39217751.216648608</v>
      </c>
      <c r="F62" s="22">
        <f t="shared" si="9"/>
        <v>-8302503.2561254753</v>
      </c>
      <c r="G62" s="22">
        <f t="shared" si="10"/>
        <v>-9804437.8041621521</v>
      </c>
      <c r="H62" s="22">
        <f t="shared" si="11"/>
        <v>-15687100.486659445</v>
      </c>
      <c r="I62" s="22">
        <f t="shared" si="12"/>
        <v>5423709.6697015353</v>
      </c>
      <c r="J62" s="23">
        <f t="shared" si="14"/>
        <v>145454695.99219719</v>
      </c>
    </row>
    <row r="63" spans="1:10" x14ac:dyDescent="0.3">
      <c r="A63" s="8">
        <f t="shared" si="13"/>
        <v>58</v>
      </c>
      <c r="B63" s="20">
        <f>+'Channel 2 Sales'!C63</f>
        <v>1422.1423125000001</v>
      </c>
      <c r="C63" s="21">
        <v>54678.970920520071</v>
      </c>
      <c r="D63" s="22">
        <f t="shared" si="7"/>
        <v>729.30375000000004</v>
      </c>
      <c r="E63" s="22">
        <f t="shared" si="8"/>
        <v>39877578.538476244</v>
      </c>
      <c r="F63" s="22">
        <f t="shared" si="9"/>
        <v>-8442190.4721948374</v>
      </c>
      <c r="G63" s="22">
        <f t="shared" si="10"/>
        <v>-9969394.6346190609</v>
      </c>
      <c r="H63" s="22">
        <f t="shared" si="11"/>
        <v>-15951031.415390499</v>
      </c>
      <c r="I63" s="22">
        <f t="shared" si="12"/>
        <v>5514962.0162718482</v>
      </c>
      <c r="J63" s="23">
        <f t="shared" si="14"/>
        <v>150969658.00846905</v>
      </c>
    </row>
    <row r="64" spans="1:10" x14ac:dyDescent="0.3">
      <c r="A64" s="8">
        <f t="shared" si="13"/>
        <v>59</v>
      </c>
      <c r="B64" s="20">
        <f>+'Channel 2 Sales'!C64</f>
        <v>1422.1423125000001</v>
      </c>
      <c r="C64" s="21">
        <v>55578.915837465494</v>
      </c>
      <c r="D64" s="22">
        <f t="shared" si="7"/>
        <v>729.30375000000004</v>
      </c>
      <c r="E64" s="22">
        <f t="shared" si="8"/>
        <v>40533911.741197981</v>
      </c>
      <c r="F64" s="22">
        <f t="shared" si="9"/>
        <v>-8581137.9738656431</v>
      </c>
      <c r="G64" s="22">
        <f t="shared" si="10"/>
        <v>-10133477.935299495</v>
      </c>
      <c r="H64" s="22">
        <f t="shared" si="11"/>
        <v>-16213564.696479194</v>
      </c>
      <c r="I64" s="22">
        <f t="shared" si="12"/>
        <v>5605731.1355536506</v>
      </c>
      <c r="J64" s="23">
        <f t="shared" si="14"/>
        <v>156575389.1440227</v>
      </c>
    </row>
    <row r="65" spans="1:10" x14ac:dyDescent="0.3">
      <c r="A65" s="8">
        <f t="shared" si="13"/>
        <v>60</v>
      </c>
      <c r="B65" s="24">
        <f>+'Channel 2 Sales'!C65</f>
        <v>1422.1423125000001</v>
      </c>
      <c r="C65" s="25">
        <v>56474.361029826192</v>
      </c>
      <c r="D65" s="26">
        <f t="shared" si="7"/>
        <v>729.30375000000004</v>
      </c>
      <c r="E65" s="26">
        <f t="shared" si="8"/>
        <v>41186963.277906105</v>
      </c>
      <c r="F65" s="97">
        <f t="shared" si="9"/>
        <v>-8719390.7380280923</v>
      </c>
      <c r="G65" s="26">
        <f t="shared" si="10"/>
        <v>-10296740.819476526</v>
      </c>
      <c r="H65" s="26">
        <f t="shared" si="11"/>
        <v>-16474785.311162442</v>
      </c>
      <c r="I65" s="26">
        <f t="shared" si="12"/>
        <v>5696046.4092390426</v>
      </c>
      <c r="J65" s="27">
        <f t="shared" si="14"/>
        <v>162271435.55326176</v>
      </c>
    </row>
    <row r="66" spans="1:10" x14ac:dyDescent="0.3">
      <c r="D66" s="12"/>
      <c r="E66" s="12"/>
      <c r="F66" s="12"/>
      <c r="G66" s="12"/>
      <c r="H66" s="12"/>
      <c r="I66" s="12"/>
      <c r="J66" s="12"/>
    </row>
    <row r="67" spans="1:10" x14ac:dyDescent="0.3">
      <c r="D67" s="12"/>
      <c r="E67" s="12"/>
      <c r="F67" s="12"/>
      <c r="G67" s="12"/>
      <c r="H67" s="12"/>
      <c r="I67" s="12"/>
      <c r="J67" s="12"/>
    </row>
    <row r="68" spans="1:10" x14ac:dyDescent="0.3">
      <c r="D68" s="12"/>
      <c r="E68" s="12"/>
      <c r="F68" s="12"/>
      <c r="G68" s="12"/>
      <c r="H68" s="12"/>
      <c r="I68" s="12"/>
      <c r="J68" s="12"/>
    </row>
    <row r="69" spans="1:10" x14ac:dyDescent="0.3">
      <c r="D69" s="12"/>
      <c r="E69" s="12"/>
      <c r="F69" s="12"/>
      <c r="G69" s="12"/>
      <c r="H69" s="12"/>
      <c r="I69" s="12"/>
      <c r="J69" s="12"/>
    </row>
    <row r="70" spans="1:10" x14ac:dyDescent="0.3">
      <c r="D70" s="12"/>
      <c r="E70" s="12"/>
      <c r="F70" s="12"/>
      <c r="G70" s="12"/>
      <c r="H70" s="12"/>
      <c r="I70" s="12"/>
      <c r="J70" s="12"/>
    </row>
    <row r="71" spans="1:10" x14ac:dyDescent="0.3">
      <c r="D71" s="12"/>
      <c r="E71" s="12"/>
      <c r="F71" s="12"/>
      <c r="G71" s="12"/>
      <c r="H71" s="12"/>
      <c r="I71" s="12"/>
      <c r="J71" s="12"/>
    </row>
    <row r="72" spans="1:10" x14ac:dyDescent="0.3">
      <c r="D72" s="12"/>
      <c r="E72" s="12"/>
      <c r="F72" s="12"/>
      <c r="G72" s="12"/>
      <c r="H72" s="12"/>
      <c r="I72" s="12"/>
      <c r="J72" s="12"/>
    </row>
    <row r="73" spans="1:10" x14ac:dyDescent="0.3">
      <c r="D73" s="12"/>
      <c r="E73" s="12"/>
      <c r="F73" s="12"/>
      <c r="G73" s="12"/>
      <c r="H73" s="12"/>
      <c r="I73" s="12"/>
      <c r="J73" s="12"/>
    </row>
    <row r="74" spans="1:10" x14ac:dyDescent="0.3">
      <c r="D74" s="12"/>
      <c r="E74" s="12"/>
      <c r="F74" s="12"/>
      <c r="G74" s="12"/>
      <c r="H74" s="12"/>
      <c r="I74" s="12"/>
      <c r="J74" s="12"/>
    </row>
    <row r="75" spans="1:10" x14ac:dyDescent="0.3">
      <c r="D75" s="12"/>
      <c r="E75" s="12"/>
      <c r="F75" s="12"/>
      <c r="G75" s="12"/>
      <c r="H75" s="12"/>
      <c r="I75" s="12"/>
      <c r="J75" s="12"/>
    </row>
    <row r="76" spans="1:10" x14ac:dyDescent="0.3">
      <c r="D76" s="12"/>
      <c r="E76" s="12"/>
      <c r="F76" s="12"/>
      <c r="G76" s="12"/>
      <c r="H76" s="12"/>
      <c r="I76" s="12"/>
      <c r="J76" s="12"/>
    </row>
    <row r="77" spans="1:10" x14ac:dyDescent="0.3">
      <c r="D77" s="12"/>
      <c r="E77" s="12"/>
      <c r="F77" s="12"/>
      <c r="G77" s="12"/>
      <c r="H77" s="12"/>
      <c r="I77" s="12"/>
      <c r="J77" s="12"/>
    </row>
    <row r="78" spans="1:10" x14ac:dyDescent="0.3">
      <c r="D78" s="12"/>
      <c r="E78" s="12"/>
      <c r="F78" s="12"/>
      <c r="G78" s="12"/>
      <c r="H78" s="12"/>
      <c r="I78" s="12"/>
      <c r="J78" s="12"/>
    </row>
    <row r="79" spans="1:10" x14ac:dyDescent="0.3">
      <c r="D79" s="12"/>
      <c r="E79" s="12"/>
      <c r="F79" s="12"/>
      <c r="G79" s="12"/>
      <c r="H79" s="12"/>
      <c r="I79" s="12"/>
      <c r="J79" s="12"/>
    </row>
    <row r="80" spans="1:10" x14ac:dyDescent="0.3">
      <c r="D80" s="12"/>
      <c r="E80" s="12"/>
      <c r="F80" s="12"/>
      <c r="G80" s="12"/>
      <c r="H80" s="12"/>
      <c r="I80" s="12"/>
      <c r="J80" s="12"/>
    </row>
    <row r="81" spans="4:10" x14ac:dyDescent="0.3">
      <c r="D81" s="12"/>
      <c r="E81" s="12"/>
      <c r="F81" s="12"/>
      <c r="G81" s="12"/>
      <c r="H81" s="12"/>
      <c r="I81" s="12"/>
      <c r="J81" s="12"/>
    </row>
    <row r="82" spans="4:10" x14ac:dyDescent="0.3">
      <c r="D82" s="12"/>
      <c r="E82" s="12"/>
      <c r="F82" s="12"/>
      <c r="G82" s="12"/>
      <c r="H82" s="12"/>
      <c r="I82" s="12"/>
      <c r="J82" s="12"/>
    </row>
    <row r="83" spans="4:10" x14ac:dyDescent="0.3">
      <c r="D83" s="12"/>
      <c r="E83" s="12"/>
      <c r="F83" s="12"/>
      <c r="G83" s="12"/>
      <c r="H83" s="12"/>
      <c r="I83" s="12"/>
      <c r="J83" s="12"/>
    </row>
    <row r="84" spans="4:10" x14ac:dyDescent="0.3">
      <c r="D84" s="12"/>
      <c r="E84" s="12"/>
      <c r="F84" s="12"/>
      <c r="G84" s="12"/>
      <c r="H84" s="12"/>
      <c r="I84" s="12"/>
      <c r="J84" s="12"/>
    </row>
    <row r="85" spans="4:10" x14ac:dyDescent="0.3">
      <c r="D85" s="12"/>
      <c r="E85" s="12"/>
      <c r="F85" s="12"/>
      <c r="G85" s="12"/>
      <c r="H85" s="12"/>
      <c r="I85" s="12"/>
      <c r="J85" s="12"/>
    </row>
    <row r="86" spans="4:10" x14ac:dyDescent="0.3">
      <c r="D86" s="12"/>
      <c r="E86" s="12"/>
      <c r="F86" s="12"/>
      <c r="G86" s="12"/>
      <c r="H86" s="12"/>
      <c r="I86" s="12"/>
      <c r="J86" s="12"/>
    </row>
    <row r="87" spans="4:10" x14ac:dyDescent="0.3">
      <c r="D87" s="12"/>
      <c r="E87" s="12"/>
      <c r="F87" s="12"/>
      <c r="G87" s="12"/>
      <c r="H87" s="12"/>
      <c r="I87" s="12"/>
      <c r="J87" s="12"/>
    </row>
    <row r="88" spans="4:10" x14ac:dyDescent="0.3">
      <c r="D88" s="12"/>
      <c r="E88" s="12"/>
      <c r="F88" s="12"/>
      <c r="G88" s="12"/>
      <c r="H88" s="12"/>
      <c r="I88" s="12"/>
      <c r="J88" s="12"/>
    </row>
    <row r="89" spans="4:10" x14ac:dyDescent="0.3">
      <c r="D89" s="12"/>
      <c r="E89" s="12"/>
      <c r="F89" s="12"/>
      <c r="G89" s="12"/>
      <c r="H89" s="12"/>
      <c r="I89" s="12"/>
      <c r="J89" s="12"/>
    </row>
    <row r="90" spans="4:10" x14ac:dyDescent="0.3">
      <c r="D90" s="12"/>
      <c r="E90" s="12"/>
      <c r="F90" s="12"/>
      <c r="G90" s="12"/>
      <c r="H90" s="12"/>
      <c r="I90" s="12"/>
      <c r="J90" s="12"/>
    </row>
    <row r="91" spans="4:10" x14ac:dyDescent="0.3">
      <c r="D91" s="12"/>
      <c r="E91" s="12"/>
      <c r="F91" s="12"/>
      <c r="G91" s="12"/>
      <c r="H91" s="12"/>
      <c r="I91" s="12"/>
      <c r="J91" s="12"/>
    </row>
    <row r="92" spans="4:10" x14ac:dyDescent="0.3">
      <c r="D92" s="12"/>
      <c r="E92" s="12"/>
      <c r="F92" s="12"/>
      <c r="G92" s="12"/>
      <c r="H92" s="12"/>
      <c r="I92" s="12"/>
      <c r="J92" s="12"/>
    </row>
    <row r="93" spans="4:10" x14ac:dyDescent="0.3">
      <c r="D93" s="12"/>
      <c r="E93" s="12"/>
      <c r="F93" s="12"/>
      <c r="G93" s="12"/>
      <c r="H93" s="12"/>
      <c r="I93" s="12"/>
      <c r="J93" s="12"/>
    </row>
    <row r="94" spans="4:10" x14ac:dyDescent="0.3">
      <c r="D94" s="12"/>
      <c r="E94" s="12"/>
      <c r="F94" s="12"/>
      <c r="G94" s="12"/>
      <c r="H94" s="12"/>
      <c r="I94" s="12"/>
      <c r="J94" s="12"/>
    </row>
    <row r="95" spans="4:10" x14ac:dyDescent="0.3">
      <c r="D95" s="12"/>
      <c r="E95" s="12"/>
      <c r="F95" s="12"/>
      <c r="G95" s="12"/>
      <c r="H95" s="12"/>
      <c r="I95" s="12"/>
      <c r="J95" s="12"/>
    </row>
    <row r="96" spans="4:10" x14ac:dyDescent="0.3">
      <c r="D96" s="12"/>
      <c r="E96" s="12"/>
      <c r="F96" s="12"/>
      <c r="G96" s="12"/>
      <c r="H96" s="12"/>
      <c r="I96" s="12"/>
      <c r="J96" s="12"/>
    </row>
    <row r="97" spans="4:10" x14ac:dyDescent="0.3">
      <c r="D97" s="12"/>
      <c r="E97" s="12"/>
      <c r="F97" s="12"/>
      <c r="G97" s="12"/>
      <c r="H97" s="12"/>
      <c r="I97" s="12"/>
      <c r="J97" s="12"/>
    </row>
    <row r="98" spans="4:10" x14ac:dyDescent="0.3">
      <c r="D98" s="12"/>
      <c r="E98" s="12"/>
      <c r="F98" s="12"/>
      <c r="G98" s="12"/>
      <c r="H98" s="12"/>
      <c r="I98" s="12"/>
      <c r="J98" s="12"/>
    </row>
    <row r="99" spans="4:10" x14ac:dyDescent="0.3">
      <c r="D99" s="12"/>
      <c r="E99" s="12"/>
      <c r="F99" s="12"/>
      <c r="G99" s="12"/>
      <c r="H99" s="12"/>
      <c r="I99" s="12"/>
      <c r="J99" s="12"/>
    </row>
    <row r="100" spans="4:10" x14ac:dyDescent="0.3">
      <c r="D100" s="12"/>
      <c r="E100" s="12"/>
      <c r="F100" s="12"/>
      <c r="G100" s="12"/>
      <c r="H100" s="12"/>
      <c r="I100" s="12"/>
      <c r="J100" s="12"/>
    </row>
    <row r="101" spans="4:10" x14ac:dyDescent="0.3">
      <c r="D101" s="12"/>
      <c r="E101" s="12"/>
      <c r="F101" s="12"/>
      <c r="G101" s="12"/>
      <c r="H101" s="12"/>
      <c r="I101" s="12"/>
      <c r="J101" s="12"/>
    </row>
    <row r="102" spans="4:10" x14ac:dyDescent="0.3">
      <c r="D102" s="12"/>
      <c r="E102" s="12"/>
      <c r="F102" s="12"/>
      <c r="G102" s="12"/>
      <c r="H102" s="12"/>
      <c r="I102" s="12"/>
      <c r="J102" s="12"/>
    </row>
    <row r="103" spans="4:10" x14ac:dyDescent="0.3">
      <c r="D103" s="12"/>
      <c r="E103" s="12"/>
      <c r="F103" s="12"/>
      <c r="G103" s="12"/>
      <c r="H103" s="12"/>
      <c r="I103" s="12"/>
      <c r="J103" s="12"/>
    </row>
    <row r="104" spans="4:10" x14ac:dyDescent="0.3">
      <c r="D104" s="12"/>
      <c r="E104" s="12"/>
      <c r="F104" s="12"/>
      <c r="G104" s="12"/>
      <c r="H104" s="12"/>
      <c r="I104" s="12"/>
      <c r="J104" s="12"/>
    </row>
    <row r="105" spans="4:10" x14ac:dyDescent="0.3">
      <c r="D105" s="12"/>
      <c r="E105" s="12"/>
      <c r="F105" s="12"/>
      <c r="G105" s="12"/>
      <c r="H105" s="12"/>
      <c r="I105" s="12"/>
      <c r="J105" s="12"/>
    </row>
    <row r="106" spans="4:10" x14ac:dyDescent="0.3">
      <c r="D106" s="12"/>
      <c r="E106" s="12"/>
      <c r="F106" s="12"/>
      <c r="G106" s="12"/>
      <c r="H106" s="12"/>
      <c r="I106" s="12"/>
      <c r="J106" s="12"/>
    </row>
    <row r="107" spans="4:10" x14ac:dyDescent="0.3">
      <c r="D107" s="12"/>
      <c r="E107" s="12"/>
      <c r="F107" s="12"/>
      <c r="G107" s="12"/>
      <c r="H107" s="12"/>
      <c r="I107" s="12"/>
      <c r="J107" s="12"/>
    </row>
    <row r="108" spans="4:10" x14ac:dyDescent="0.3">
      <c r="D108" s="12"/>
      <c r="E108" s="12"/>
      <c r="F108" s="12"/>
      <c r="G108" s="12"/>
      <c r="H108" s="12"/>
      <c r="I108" s="12"/>
      <c r="J108" s="12"/>
    </row>
    <row r="109" spans="4:10" x14ac:dyDescent="0.3">
      <c r="D109" s="12"/>
      <c r="E109" s="12"/>
      <c r="F109" s="12"/>
      <c r="G109" s="12"/>
      <c r="H109" s="12"/>
      <c r="I109" s="12"/>
      <c r="J109" s="12"/>
    </row>
    <row r="110" spans="4:10" x14ac:dyDescent="0.3">
      <c r="D110" s="12"/>
      <c r="E110" s="12"/>
      <c r="F110" s="12"/>
      <c r="G110" s="12"/>
      <c r="H110" s="12"/>
      <c r="I110" s="12"/>
      <c r="J110" s="12"/>
    </row>
    <row r="111" spans="4:10" x14ac:dyDescent="0.3">
      <c r="D111" s="12"/>
      <c r="E111" s="12"/>
      <c r="F111" s="12"/>
      <c r="G111" s="12"/>
      <c r="H111" s="12"/>
      <c r="I111" s="12"/>
      <c r="J111" s="12"/>
    </row>
    <row r="112" spans="4:10" x14ac:dyDescent="0.3">
      <c r="D112" s="12"/>
      <c r="E112" s="12"/>
      <c r="F112" s="12"/>
      <c r="G112" s="12"/>
      <c r="H112" s="12"/>
      <c r="I112" s="12"/>
      <c r="J112" s="12"/>
    </row>
    <row r="113" spans="4:10" x14ac:dyDescent="0.3">
      <c r="D113" s="12"/>
      <c r="E113" s="12"/>
      <c r="F113" s="12"/>
      <c r="G113" s="12"/>
      <c r="H113" s="12"/>
      <c r="I113" s="12"/>
      <c r="J113" s="12"/>
    </row>
    <row r="114" spans="4:10" x14ac:dyDescent="0.3">
      <c r="D114" s="12"/>
      <c r="E114" s="12"/>
      <c r="F114" s="12"/>
      <c r="G114" s="12"/>
      <c r="H114" s="12"/>
      <c r="I114" s="12"/>
      <c r="J114" s="12"/>
    </row>
    <row r="115" spans="4:10" x14ac:dyDescent="0.3">
      <c r="D115" s="12"/>
      <c r="E115" s="12"/>
      <c r="F115" s="12"/>
      <c r="G115" s="12"/>
      <c r="H115" s="12"/>
      <c r="I115" s="12"/>
      <c r="J115" s="12"/>
    </row>
    <row r="116" spans="4:10" x14ac:dyDescent="0.3">
      <c r="D116" s="12"/>
      <c r="E116" s="12"/>
      <c r="F116" s="12"/>
      <c r="G116" s="12"/>
      <c r="H116" s="12"/>
      <c r="I116" s="12"/>
      <c r="J116" s="12"/>
    </row>
    <row r="117" spans="4:10" x14ac:dyDescent="0.3">
      <c r="D117" s="12"/>
      <c r="E117" s="12"/>
      <c r="F117" s="12"/>
      <c r="G117" s="12"/>
      <c r="H117" s="12"/>
      <c r="I117" s="12"/>
      <c r="J117" s="12"/>
    </row>
    <row r="118" spans="4:10" x14ac:dyDescent="0.3">
      <c r="D118" s="12"/>
      <c r="E118" s="12"/>
      <c r="F118" s="12"/>
      <c r="G118" s="12"/>
      <c r="H118" s="12"/>
      <c r="I118" s="12"/>
      <c r="J118" s="12"/>
    </row>
    <row r="119" spans="4:10" x14ac:dyDescent="0.3">
      <c r="D119" s="12"/>
      <c r="E119" s="12"/>
      <c r="F119" s="12"/>
      <c r="G119" s="12"/>
      <c r="H119" s="12"/>
      <c r="I119" s="12"/>
      <c r="J119" s="12"/>
    </row>
    <row r="120" spans="4:10" x14ac:dyDescent="0.3">
      <c r="D120" s="12"/>
      <c r="E120" s="12"/>
      <c r="F120" s="12"/>
      <c r="G120" s="12"/>
      <c r="H120" s="12"/>
      <c r="I120" s="12"/>
      <c r="J120" s="12"/>
    </row>
    <row r="121" spans="4:10" x14ac:dyDescent="0.3">
      <c r="D121" s="12"/>
      <c r="E121" s="12"/>
      <c r="F121" s="12"/>
      <c r="G121" s="12"/>
      <c r="H121" s="12"/>
      <c r="I121" s="12"/>
      <c r="J121" s="12"/>
    </row>
    <row r="122" spans="4:10" x14ac:dyDescent="0.3">
      <c r="D122" s="12"/>
      <c r="E122" s="12"/>
      <c r="F122" s="12"/>
      <c r="G122" s="12"/>
      <c r="H122" s="12"/>
      <c r="I122" s="12"/>
      <c r="J122" s="12"/>
    </row>
    <row r="123" spans="4:10" x14ac:dyDescent="0.3">
      <c r="D123" s="12"/>
      <c r="E123" s="12"/>
      <c r="F123" s="12"/>
      <c r="G123" s="12"/>
      <c r="H123" s="12"/>
      <c r="I123" s="12"/>
      <c r="J123" s="12"/>
    </row>
    <row r="124" spans="4:10" x14ac:dyDescent="0.3">
      <c r="D124" s="12"/>
      <c r="E124" s="12"/>
      <c r="F124" s="12"/>
      <c r="G124" s="12"/>
      <c r="H124" s="12"/>
      <c r="I124" s="12"/>
      <c r="J124" s="12"/>
    </row>
    <row r="125" spans="4:10" x14ac:dyDescent="0.3">
      <c r="D125" s="12"/>
      <c r="E125" s="12"/>
      <c r="F125" s="12"/>
      <c r="G125" s="12"/>
      <c r="H125" s="12"/>
      <c r="I125" s="12"/>
      <c r="J125" s="12"/>
    </row>
    <row r="126" spans="4:10" x14ac:dyDescent="0.3">
      <c r="D126" s="12"/>
      <c r="E126" s="12"/>
      <c r="F126" s="12"/>
      <c r="G126" s="12"/>
      <c r="H126" s="12"/>
      <c r="I126" s="12"/>
      <c r="J126" s="12"/>
    </row>
    <row r="127" spans="4:10" x14ac:dyDescent="0.3">
      <c r="D127" s="12"/>
      <c r="E127" s="12"/>
      <c r="F127" s="12"/>
      <c r="G127" s="12"/>
      <c r="H127" s="12"/>
      <c r="I127" s="12"/>
      <c r="J127" s="12"/>
    </row>
    <row r="128" spans="4:10" x14ac:dyDescent="0.3">
      <c r="D128" s="12"/>
      <c r="E128" s="12"/>
      <c r="F128" s="12"/>
      <c r="G128" s="12"/>
      <c r="H128" s="12"/>
      <c r="I128" s="12"/>
      <c r="J128" s="12"/>
    </row>
    <row r="129" spans="4:10" x14ac:dyDescent="0.3">
      <c r="D129" s="12"/>
      <c r="E129" s="12"/>
      <c r="F129" s="12"/>
      <c r="G129" s="12"/>
      <c r="H129" s="12"/>
      <c r="I129" s="12"/>
      <c r="J129" s="12"/>
    </row>
    <row r="130" spans="4:10" x14ac:dyDescent="0.3">
      <c r="D130" s="12"/>
      <c r="E130" s="12"/>
      <c r="F130" s="12"/>
      <c r="G130" s="12"/>
      <c r="H130" s="12"/>
      <c r="I130" s="12"/>
      <c r="J130" s="12"/>
    </row>
    <row r="131" spans="4:10" x14ac:dyDescent="0.3">
      <c r="D131" s="12"/>
      <c r="E131" s="12"/>
      <c r="F131" s="12"/>
      <c r="G131" s="12"/>
      <c r="H131" s="12"/>
      <c r="I131" s="12"/>
      <c r="J131" s="12"/>
    </row>
    <row r="132" spans="4:10" x14ac:dyDescent="0.3">
      <c r="D132" s="12"/>
      <c r="E132" s="12"/>
      <c r="F132" s="12"/>
      <c r="G132" s="12"/>
      <c r="H132" s="12"/>
      <c r="I132" s="12"/>
      <c r="J132" s="12"/>
    </row>
    <row r="133" spans="4:10" x14ac:dyDescent="0.3">
      <c r="D133" s="12"/>
      <c r="E133" s="12"/>
      <c r="F133" s="12"/>
      <c r="G133" s="12"/>
      <c r="H133" s="12"/>
      <c r="I133" s="12"/>
      <c r="J133" s="12"/>
    </row>
    <row r="134" spans="4:10" x14ac:dyDescent="0.3">
      <c r="D134" s="12"/>
      <c r="E134" s="12"/>
      <c r="F134" s="12"/>
      <c r="G134" s="12"/>
      <c r="H134" s="12"/>
      <c r="I134" s="12"/>
      <c r="J134" s="12"/>
    </row>
  </sheetData>
  <conditionalFormatting sqref="A5:A65">
    <cfRule type="cellIs" dxfId="19" priority="7" operator="lessThan">
      <formula>0</formula>
    </cfRule>
  </conditionalFormatting>
  <conditionalFormatting sqref="A1:AO4">
    <cfRule type="cellIs" dxfId="18" priority="4" operator="lessThan">
      <formula>0</formula>
    </cfRule>
  </conditionalFormatting>
  <conditionalFormatting sqref="A6:AO1048576">
    <cfRule type="cellIs" dxfId="17" priority="1" operator="lessThan">
      <formula>0</formula>
    </cfRule>
  </conditionalFormatting>
  <conditionalFormatting sqref="B5:AO5">
    <cfRule type="cellIs" dxfId="16" priority="5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1"/>
  <sheetViews>
    <sheetView zoomScale="120" zoomScaleNormal="120" workbookViewId="0">
      <selection activeCell="D8" sqref="D8"/>
    </sheetView>
  </sheetViews>
  <sheetFormatPr defaultColWidth="9.109375" defaultRowHeight="14.4" x14ac:dyDescent="0.3"/>
  <cols>
    <col min="1" max="1" width="9.109375" style="5"/>
    <col min="2" max="2" width="16.44140625" style="5" customWidth="1"/>
    <col min="3" max="3" width="11.44140625" style="5" customWidth="1"/>
    <col min="4" max="4" width="13.6640625" style="5" customWidth="1"/>
    <col min="5" max="5" width="18.88671875" style="5" customWidth="1"/>
    <col min="6" max="6" width="13.6640625" style="5" customWidth="1"/>
    <col min="7" max="7" width="14" style="5" customWidth="1"/>
    <col min="8" max="8" width="27.33203125" style="5" customWidth="1"/>
    <col min="9" max="9" width="16.33203125" style="5" customWidth="1"/>
    <col min="10" max="10" width="25" style="5" customWidth="1"/>
    <col min="11" max="11" width="33.33203125" style="5" customWidth="1"/>
    <col min="12" max="16384" width="9.109375" style="5"/>
  </cols>
  <sheetData>
    <row r="1" spans="1:10" x14ac:dyDescent="0.3">
      <c r="B1" s="8" t="s">
        <v>104</v>
      </c>
      <c r="C1" s="4">
        <f>+'Inputs &amp; Assuptions'!$D$2</f>
        <v>300</v>
      </c>
      <c r="E1" s="8" t="s">
        <v>94</v>
      </c>
      <c r="F1" s="15">
        <v>0.2</v>
      </c>
      <c r="H1" s="28"/>
      <c r="J1" s="28"/>
    </row>
    <row r="2" spans="1:10" ht="27.75" customHeight="1" x14ac:dyDescent="0.3">
      <c r="B2" s="8" t="s">
        <v>95</v>
      </c>
      <c r="C2" s="14">
        <f>+'Inputs &amp; Assuptions'!$D$3</f>
        <v>0.05</v>
      </c>
      <c r="E2" s="8" t="s">
        <v>96</v>
      </c>
      <c r="F2" s="15">
        <f>+'Inputs &amp; Assuptions'!$D$7</f>
        <v>0.25</v>
      </c>
      <c r="H2" s="29"/>
    </row>
    <row r="3" spans="1:10" x14ac:dyDescent="0.3">
      <c r="B3" s="8" t="s">
        <v>15</v>
      </c>
      <c r="C3" s="14">
        <f>+'Inputs &amp; Assuptions'!$D$8</f>
        <v>0.4</v>
      </c>
    </row>
    <row r="5" spans="1:10" x14ac:dyDescent="0.3">
      <c r="A5" s="8" t="s">
        <v>89</v>
      </c>
      <c r="B5" s="8" t="s">
        <v>97</v>
      </c>
      <c r="C5" s="8" t="s">
        <v>98</v>
      </c>
      <c r="D5" s="8" t="s">
        <v>99</v>
      </c>
      <c r="E5" s="8" t="s">
        <v>100</v>
      </c>
      <c r="F5" s="8" t="s">
        <v>9</v>
      </c>
      <c r="G5" s="8" t="s">
        <v>13</v>
      </c>
      <c r="H5" s="8" t="s">
        <v>101</v>
      </c>
      <c r="I5" s="8" t="s">
        <v>102</v>
      </c>
      <c r="J5" s="8" t="s">
        <v>103</v>
      </c>
    </row>
    <row r="6" spans="1:10" x14ac:dyDescent="0.3">
      <c r="A6" s="8">
        <v>1</v>
      </c>
      <c r="B6" s="16">
        <f>+'Channel 3 Sales'!C6</f>
        <v>978</v>
      </c>
      <c r="C6" s="17">
        <f t="array" ref="C6:C65">+TRANSPOSE('Channel 3 Sales'!$F$67:$BM$67)</f>
        <v>978</v>
      </c>
      <c r="D6" s="18">
        <f>IF(MOD($A6, 12) = 0, $C$1 * 1.05, $C$1)</f>
        <v>300</v>
      </c>
      <c r="E6" s="18">
        <f t="shared" ref="E6:E37" si="0">+C6*D6</f>
        <v>293400</v>
      </c>
      <c r="F6" s="18">
        <f t="shared" ref="F6:F37" si="1">-C6*D6*$F$1</f>
        <v>-58680</v>
      </c>
      <c r="G6" s="18">
        <f t="shared" ref="G6:G37" si="2">-E6*$F$2</f>
        <v>-73350</v>
      </c>
      <c r="H6" s="18">
        <f t="shared" ref="H6:H37" si="3">-E6*$C$3</f>
        <v>-117360</v>
      </c>
      <c r="I6" s="18">
        <f t="shared" ref="I6:I37" si="4">+E6+F6+G6+H6</f>
        <v>44010</v>
      </c>
      <c r="J6" s="19">
        <f>+I6</f>
        <v>44010</v>
      </c>
    </row>
    <row r="7" spans="1:10" x14ac:dyDescent="0.3">
      <c r="A7" s="8">
        <f t="shared" ref="A7:A38" si="5">+A6+1</f>
        <v>2</v>
      </c>
      <c r="B7" s="20">
        <f>+'Channel 3 Sales'!C7</f>
        <v>978</v>
      </c>
      <c r="C7" s="21">
        <v>1951.1100000000001</v>
      </c>
      <c r="D7" s="22">
        <f>IF(MOD($A7-1, 12) = 0, D6 * 1.05, D6)</f>
        <v>300</v>
      </c>
      <c r="E7" s="22">
        <f t="shared" si="0"/>
        <v>585333</v>
      </c>
      <c r="F7" s="22">
        <f t="shared" si="1"/>
        <v>-117066.6</v>
      </c>
      <c r="G7" s="22">
        <f t="shared" si="2"/>
        <v>-146333.25</v>
      </c>
      <c r="H7" s="22">
        <f t="shared" si="3"/>
        <v>-234133.2</v>
      </c>
      <c r="I7" s="22">
        <f t="shared" si="4"/>
        <v>87799.950000000012</v>
      </c>
      <c r="J7" s="23">
        <f t="shared" ref="J7:J38" si="6">+J6+I7</f>
        <v>131809.95000000001</v>
      </c>
    </row>
    <row r="8" spans="1:10" x14ac:dyDescent="0.3">
      <c r="A8" s="8">
        <f t="shared" si="5"/>
        <v>3</v>
      </c>
      <c r="B8" s="20">
        <f>+'Channel 3 Sales'!C8</f>
        <v>978</v>
      </c>
      <c r="C8" s="21">
        <v>2920.5221820000002</v>
      </c>
      <c r="D8" s="22">
        <f t="shared" ref="D8:D65" si="7">IF(MOD($A8-1, 12) = 0, D7 * 1.05, D7)</f>
        <v>300</v>
      </c>
      <c r="E8" s="22">
        <f t="shared" si="0"/>
        <v>876156.65460000001</v>
      </c>
      <c r="F8" s="22">
        <f t="shared" si="1"/>
        <v>-175231.33092000001</v>
      </c>
      <c r="G8" s="22">
        <f t="shared" si="2"/>
        <v>-219039.16365</v>
      </c>
      <c r="H8" s="22">
        <f t="shared" si="3"/>
        <v>-350462.66184000002</v>
      </c>
      <c r="I8" s="22">
        <f t="shared" si="4"/>
        <v>131423.49819000001</v>
      </c>
      <c r="J8" s="23">
        <f t="shared" si="6"/>
        <v>263233.44819000002</v>
      </c>
    </row>
    <row r="9" spans="1:10" x14ac:dyDescent="0.3">
      <c r="A9" s="8">
        <f t="shared" si="5"/>
        <v>4</v>
      </c>
      <c r="B9" s="20">
        <f>+'Channel 3 Sales'!C9</f>
        <v>978</v>
      </c>
      <c r="C9" s="21">
        <v>3887.510833545</v>
      </c>
      <c r="D9" s="22">
        <f t="shared" si="7"/>
        <v>300</v>
      </c>
      <c r="E9" s="22">
        <f t="shared" si="0"/>
        <v>1166253.2500634999</v>
      </c>
      <c r="F9" s="22">
        <f t="shared" si="1"/>
        <v>-233250.6500127</v>
      </c>
      <c r="G9" s="22">
        <f t="shared" si="2"/>
        <v>-291563.31251587498</v>
      </c>
      <c r="H9" s="22">
        <f t="shared" si="3"/>
        <v>-466501.30002540001</v>
      </c>
      <c r="I9" s="22">
        <f t="shared" si="4"/>
        <v>174937.98750952492</v>
      </c>
      <c r="J9" s="23">
        <f t="shared" si="6"/>
        <v>438171.43569952494</v>
      </c>
    </row>
    <row r="10" spans="1:10" x14ac:dyDescent="0.3">
      <c r="A10" s="8">
        <f t="shared" si="5"/>
        <v>5</v>
      </c>
      <c r="B10" s="20">
        <f>+'Channel 3 Sales'!C10</f>
        <v>978</v>
      </c>
      <c r="C10" s="21">
        <v>4852.2754111914473</v>
      </c>
      <c r="D10" s="22">
        <f t="shared" si="7"/>
        <v>300</v>
      </c>
      <c r="E10" s="22">
        <f t="shared" si="0"/>
        <v>1455682.6233574343</v>
      </c>
      <c r="F10" s="22">
        <f t="shared" si="1"/>
        <v>-291136.52467148687</v>
      </c>
      <c r="G10" s="22">
        <f t="shared" si="2"/>
        <v>-363920.65583935857</v>
      </c>
      <c r="H10" s="22">
        <f t="shared" si="3"/>
        <v>-582273.04934297374</v>
      </c>
      <c r="I10" s="22">
        <f t="shared" si="4"/>
        <v>218352.39350361517</v>
      </c>
      <c r="J10" s="23">
        <f t="shared" si="6"/>
        <v>656523.82920314011</v>
      </c>
    </row>
    <row r="11" spans="1:10" x14ac:dyDescent="0.3">
      <c r="A11" s="8">
        <f t="shared" si="5"/>
        <v>6</v>
      </c>
      <c r="B11" s="20">
        <f>+'Channel 3 Sales'!C11</f>
        <v>978</v>
      </c>
      <c r="C11" s="21">
        <v>5815.1104596825999</v>
      </c>
      <c r="D11" s="22">
        <f t="shared" si="7"/>
        <v>300</v>
      </c>
      <c r="E11" s="22">
        <f t="shared" si="0"/>
        <v>1744533.13790478</v>
      </c>
      <c r="F11" s="22">
        <f t="shared" si="1"/>
        <v>-348906.62758095603</v>
      </c>
      <c r="G11" s="22">
        <f t="shared" si="2"/>
        <v>-436133.284476195</v>
      </c>
      <c r="H11" s="22">
        <f t="shared" si="3"/>
        <v>-697813.25516191206</v>
      </c>
      <c r="I11" s="22">
        <f t="shared" si="4"/>
        <v>261679.97068571683</v>
      </c>
      <c r="J11" s="23">
        <f t="shared" si="6"/>
        <v>918203.79988885694</v>
      </c>
    </row>
    <row r="12" spans="1:10" x14ac:dyDescent="0.3">
      <c r="A12" s="8">
        <f t="shared" si="5"/>
        <v>7</v>
      </c>
      <c r="B12" s="20">
        <f>+'Channel 3 Sales'!C12</f>
        <v>978</v>
      </c>
      <c r="C12" s="21">
        <v>6776.2124050864695</v>
      </c>
      <c r="D12" s="22">
        <f t="shared" si="7"/>
        <v>300</v>
      </c>
      <c r="E12" s="22">
        <f t="shared" si="0"/>
        <v>2032863.7215259408</v>
      </c>
      <c r="F12" s="22">
        <f t="shared" si="1"/>
        <v>-406572.74430518819</v>
      </c>
      <c r="G12" s="22">
        <f t="shared" si="2"/>
        <v>-508215.9303814852</v>
      </c>
      <c r="H12" s="22">
        <f t="shared" si="3"/>
        <v>-813145.48861037637</v>
      </c>
      <c r="I12" s="22">
        <f t="shared" si="4"/>
        <v>304929.55822889111</v>
      </c>
      <c r="J12" s="23">
        <f t="shared" si="6"/>
        <v>1223133.3581177481</v>
      </c>
    </row>
    <row r="13" spans="1:10" x14ac:dyDescent="0.3">
      <c r="A13" s="8">
        <f t="shared" si="5"/>
        <v>8</v>
      </c>
      <c r="B13" s="20">
        <f>+'Channel 3 Sales'!C13</f>
        <v>978</v>
      </c>
      <c r="C13" s="21">
        <v>7735.8726975722329</v>
      </c>
      <c r="D13" s="22">
        <f t="shared" si="7"/>
        <v>300</v>
      </c>
      <c r="E13" s="22">
        <f t="shared" si="0"/>
        <v>2320761.8092716699</v>
      </c>
      <c r="F13" s="22">
        <f t="shared" si="1"/>
        <v>-464152.36185433401</v>
      </c>
      <c r="G13" s="22">
        <f t="shared" si="2"/>
        <v>-580190.45231791749</v>
      </c>
      <c r="H13" s="22">
        <f t="shared" si="3"/>
        <v>-928304.72370866803</v>
      </c>
      <c r="I13" s="22">
        <f t="shared" si="4"/>
        <v>348114.27139075054</v>
      </c>
      <c r="J13" s="23">
        <f t="shared" si="6"/>
        <v>1571247.6295084986</v>
      </c>
    </row>
    <row r="14" spans="1:10" x14ac:dyDescent="0.3">
      <c r="A14" s="8">
        <f t="shared" si="5"/>
        <v>9</v>
      </c>
      <c r="B14" s="20">
        <f>+'Channel 3 Sales'!C14</f>
        <v>978</v>
      </c>
      <c r="C14" s="21">
        <v>8694.2854316777666</v>
      </c>
      <c r="D14" s="22">
        <f t="shared" si="7"/>
        <v>300</v>
      </c>
      <c r="E14" s="22">
        <f t="shared" si="0"/>
        <v>2608285.6295033302</v>
      </c>
      <c r="F14" s="22">
        <f t="shared" si="1"/>
        <v>-521657.12590066605</v>
      </c>
      <c r="G14" s="22">
        <f t="shared" si="2"/>
        <v>-652071.40737583255</v>
      </c>
      <c r="H14" s="22">
        <f t="shared" si="3"/>
        <v>-1043314.2518013321</v>
      </c>
      <c r="I14" s="22">
        <f t="shared" si="4"/>
        <v>391242.84442549956</v>
      </c>
      <c r="J14" s="23">
        <f t="shared" si="6"/>
        <v>1962490.473933998</v>
      </c>
    </row>
    <row r="15" spans="1:10" x14ac:dyDescent="0.3">
      <c r="A15" s="8">
        <f t="shared" si="5"/>
        <v>10</v>
      </c>
      <c r="B15" s="20">
        <f>+'Channel 3 Sales'!C15</f>
        <v>978</v>
      </c>
      <c r="C15" s="21">
        <v>9651.7397530491926</v>
      </c>
      <c r="D15" s="22">
        <f t="shared" si="7"/>
        <v>300</v>
      </c>
      <c r="E15" s="22">
        <f t="shared" si="0"/>
        <v>2895521.9259147579</v>
      </c>
      <c r="F15" s="22">
        <f t="shared" si="1"/>
        <v>-579104.38518295158</v>
      </c>
      <c r="G15" s="22">
        <f t="shared" si="2"/>
        <v>-723880.48147868947</v>
      </c>
      <c r="H15" s="22">
        <f t="shared" si="3"/>
        <v>-1158208.7703659032</v>
      </c>
      <c r="I15" s="22">
        <f t="shared" si="4"/>
        <v>434328.28888721368</v>
      </c>
      <c r="J15" s="23">
        <f t="shared" si="6"/>
        <v>2396818.7628212115</v>
      </c>
    </row>
    <row r="16" spans="1:10" x14ac:dyDescent="0.3">
      <c r="A16" s="8">
        <f t="shared" si="5"/>
        <v>11</v>
      </c>
      <c r="B16" s="20">
        <f>+'Channel 3 Sales'!C16</f>
        <v>978</v>
      </c>
      <c r="C16" s="21">
        <v>10608.428110963523</v>
      </c>
      <c r="D16" s="22">
        <f t="shared" si="7"/>
        <v>300</v>
      </c>
      <c r="E16" s="22">
        <f t="shared" si="0"/>
        <v>3182528.4332890571</v>
      </c>
      <c r="F16" s="22">
        <f t="shared" si="1"/>
        <v>-636505.68665781152</v>
      </c>
      <c r="G16" s="22">
        <f t="shared" si="2"/>
        <v>-795632.10832226428</v>
      </c>
      <c r="H16" s="22">
        <f t="shared" si="3"/>
        <v>-1273011.373315623</v>
      </c>
      <c r="I16" s="22">
        <f t="shared" si="4"/>
        <v>477379.2649933584</v>
      </c>
      <c r="J16" s="23">
        <f t="shared" si="6"/>
        <v>2874198.0278145699</v>
      </c>
    </row>
    <row r="17" spans="1:10" x14ac:dyDescent="0.3">
      <c r="A17" s="8">
        <f t="shared" si="5"/>
        <v>12</v>
      </c>
      <c r="B17" s="20">
        <f>+'Channel 3 Sales'!C17</f>
        <v>978</v>
      </c>
      <c r="C17" s="21">
        <v>11564.638124698895</v>
      </c>
      <c r="D17" s="22">
        <f t="shared" si="7"/>
        <v>300</v>
      </c>
      <c r="E17" s="22">
        <f t="shared" si="0"/>
        <v>3469391.4374096687</v>
      </c>
      <c r="F17" s="22">
        <f t="shared" si="1"/>
        <v>-693878.28748193383</v>
      </c>
      <c r="G17" s="22">
        <f t="shared" si="2"/>
        <v>-867347.85935241717</v>
      </c>
      <c r="H17" s="22">
        <f t="shared" si="3"/>
        <v>-1387756.5749638677</v>
      </c>
      <c r="I17" s="22">
        <f t="shared" si="4"/>
        <v>520408.71561144991</v>
      </c>
      <c r="J17" s="23">
        <f t="shared" si="6"/>
        <v>3394606.7434260198</v>
      </c>
    </row>
    <row r="18" spans="1:10" x14ac:dyDescent="0.3">
      <c r="A18" s="8">
        <f t="shared" si="5"/>
        <v>13</v>
      </c>
      <c r="B18" s="20">
        <f>+'Channel 3 Sales'!C18</f>
        <v>1026.9000000000001</v>
      </c>
      <c r="C18" s="21">
        <v>12569.2700334274</v>
      </c>
      <c r="D18" s="22">
        <f t="shared" si="7"/>
        <v>315</v>
      </c>
      <c r="E18" s="22">
        <f t="shared" si="0"/>
        <v>3959320.0605296306</v>
      </c>
      <c r="F18" s="22">
        <f t="shared" si="1"/>
        <v>-791864.01210592617</v>
      </c>
      <c r="G18" s="22">
        <f t="shared" si="2"/>
        <v>-989830.01513240766</v>
      </c>
      <c r="H18" s="22">
        <f t="shared" si="3"/>
        <v>-1583728.0242118523</v>
      </c>
      <c r="I18" s="22">
        <f t="shared" si="4"/>
        <v>593898.00907944469</v>
      </c>
      <c r="J18" s="23">
        <f t="shared" si="6"/>
        <v>3988504.7525054645</v>
      </c>
    </row>
    <row r="19" spans="1:10" x14ac:dyDescent="0.3">
      <c r="A19" s="8">
        <f t="shared" si="5"/>
        <v>14</v>
      </c>
      <c r="B19" s="20">
        <f>+'Channel 3 Sales'!C19</f>
        <v>1026.9000000000001</v>
      </c>
      <c r="C19" s="21">
        <v>13573.179576201541</v>
      </c>
      <c r="D19" s="22">
        <f t="shared" si="7"/>
        <v>315</v>
      </c>
      <c r="E19" s="22">
        <f t="shared" si="0"/>
        <v>4275551.5665034857</v>
      </c>
      <c r="F19" s="22">
        <f t="shared" si="1"/>
        <v>-855110.31330069713</v>
      </c>
      <c r="G19" s="22">
        <f t="shared" si="2"/>
        <v>-1068887.8916258714</v>
      </c>
      <c r="H19" s="22">
        <f t="shared" si="3"/>
        <v>-1710220.6266013943</v>
      </c>
      <c r="I19" s="22">
        <f t="shared" si="4"/>
        <v>641332.73497552285</v>
      </c>
      <c r="J19" s="23">
        <f t="shared" si="6"/>
        <v>4629837.4874809869</v>
      </c>
    </row>
    <row r="20" spans="1:10" x14ac:dyDescent="0.3">
      <c r="A20" s="8">
        <f t="shared" si="5"/>
        <v>15</v>
      </c>
      <c r="B20" s="20">
        <f>+'Channel 3 Sales'!C20</f>
        <v>1026.9000000000001</v>
      </c>
      <c r="C20" s="21">
        <v>14576.426601054292</v>
      </c>
      <c r="D20" s="22">
        <f t="shared" si="7"/>
        <v>315</v>
      </c>
      <c r="E20" s="22">
        <f t="shared" si="0"/>
        <v>4591574.3793321019</v>
      </c>
      <c r="F20" s="22">
        <f t="shared" si="1"/>
        <v>-918314.87586642045</v>
      </c>
      <c r="G20" s="22">
        <f t="shared" si="2"/>
        <v>-1147893.5948330255</v>
      </c>
      <c r="H20" s="22">
        <f t="shared" si="3"/>
        <v>-1836629.7517328409</v>
      </c>
      <c r="I20" s="22">
        <f t="shared" si="4"/>
        <v>688736.15689981473</v>
      </c>
      <c r="J20" s="23">
        <f t="shared" si="6"/>
        <v>5318573.6443808014</v>
      </c>
    </row>
    <row r="21" spans="1:10" x14ac:dyDescent="0.3">
      <c r="A21" s="8">
        <f t="shared" si="5"/>
        <v>16</v>
      </c>
      <c r="B21" s="20">
        <f>+'Channel 3 Sales'!C21</f>
        <v>1026.9000000000001</v>
      </c>
      <c r="C21" s="21">
        <v>15579.07506117642</v>
      </c>
      <c r="D21" s="22">
        <f t="shared" si="7"/>
        <v>315</v>
      </c>
      <c r="E21" s="22">
        <f t="shared" si="0"/>
        <v>4907408.6442705719</v>
      </c>
      <c r="F21" s="22">
        <f t="shared" si="1"/>
        <v>-981481.72885411442</v>
      </c>
      <c r="G21" s="22">
        <f t="shared" si="2"/>
        <v>-1226852.161067643</v>
      </c>
      <c r="H21" s="22">
        <f t="shared" si="3"/>
        <v>-1962963.4577082288</v>
      </c>
      <c r="I21" s="22">
        <f t="shared" si="4"/>
        <v>736111.29664058564</v>
      </c>
      <c r="J21" s="23">
        <f t="shared" si="6"/>
        <v>6054684.9410213865</v>
      </c>
    </row>
    <row r="22" spans="1:10" x14ac:dyDescent="0.3">
      <c r="A22" s="8">
        <f t="shared" si="5"/>
        <v>17</v>
      </c>
      <c r="B22" s="20">
        <f>+'Channel 3 Sales'!C22</f>
        <v>1026.9000000000001</v>
      </c>
      <c r="C22" s="21">
        <v>16581.135168089848</v>
      </c>
      <c r="D22" s="22">
        <f t="shared" si="7"/>
        <v>315</v>
      </c>
      <c r="E22" s="22">
        <f t="shared" si="0"/>
        <v>5223057.577948302</v>
      </c>
      <c r="F22" s="22">
        <f t="shared" si="1"/>
        <v>-1044611.5155896605</v>
      </c>
      <c r="G22" s="22">
        <f t="shared" si="2"/>
        <v>-1305764.3944870755</v>
      </c>
      <c r="H22" s="22">
        <f t="shared" si="3"/>
        <v>-2089223.031179321</v>
      </c>
      <c r="I22" s="22">
        <f t="shared" si="4"/>
        <v>783458.63669224503</v>
      </c>
      <c r="J22" s="23">
        <f t="shared" si="6"/>
        <v>6838143.5777136311</v>
      </c>
    </row>
    <row r="23" spans="1:10" x14ac:dyDescent="0.3">
      <c r="A23" s="8">
        <f t="shared" si="5"/>
        <v>18</v>
      </c>
      <c r="B23" s="20">
        <f>+'Channel 3 Sales'!C23</f>
        <v>1026.9000000000001</v>
      </c>
      <c r="C23" s="21">
        <v>17582.6218876065</v>
      </c>
      <c r="D23" s="22">
        <f t="shared" si="7"/>
        <v>315</v>
      </c>
      <c r="E23" s="22">
        <f t="shared" si="0"/>
        <v>5538525.8945960477</v>
      </c>
      <c r="F23" s="22">
        <f t="shared" si="1"/>
        <v>-1107705.1789192096</v>
      </c>
      <c r="G23" s="22">
        <f t="shared" si="2"/>
        <v>-1384631.4736490119</v>
      </c>
      <c r="H23" s="22">
        <f t="shared" si="3"/>
        <v>-2215410.3578384193</v>
      </c>
      <c r="I23" s="22">
        <f t="shared" si="4"/>
        <v>830778.88418940734</v>
      </c>
      <c r="J23" s="23">
        <f t="shared" si="6"/>
        <v>7668922.4619030384</v>
      </c>
    </row>
    <row r="24" spans="1:10" x14ac:dyDescent="0.3">
      <c r="A24" s="8">
        <f t="shared" si="5"/>
        <v>19</v>
      </c>
      <c r="B24" s="20">
        <f>+'Channel 3 Sales'!C24</f>
        <v>1026.9000000000001</v>
      </c>
      <c r="C24" s="21">
        <v>18583.545279485235</v>
      </c>
      <c r="D24" s="22">
        <f t="shared" si="7"/>
        <v>315</v>
      </c>
      <c r="E24" s="22">
        <f t="shared" si="0"/>
        <v>5853816.7630378492</v>
      </c>
      <c r="F24" s="22">
        <f t="shared" si="1"/>
        <v>-1170763.3526075699</v>
      </c>
      <c r="G24" s="22">
        <f t="shared" si="2"/>
        <v>-1463454.1907594623</v>
      </c>
      <c r="H24" s="22">
        <f t="shared" si="3"/>
        <v>-2341526.7052151398</v>
      </c>
      <c r="I24" s="22">
        <f t="shared" si="4"/>
        <v>878072.51445567748</v>
      </c>
      <c r="J24" s="23">
        <f t="shared" si="6"/>
        <v>8546994.9763587154</v>
      </c>
    </row>
    <row r="25" spans="1:10" x14ac:dyDescent="0.3">
      <c r="A25" s="8">
        <f t="shared" si="5"/>
        <v>20</v>
      </c>
      <c r="B25" s="20">
        <f>+'Channel 3 Sales'!C25</f>
        <v>1026.9000000000001</v>
      </c>
      <c r="C25" s="21">
        <v>19583.920154570766</v>
      </c>
      <c r="D25" s="22">
        <f t="shared" si="7"/>
        <v>315</v>
      </c>
      <c r="E25" s="22">
        <f t="shared" si="0"/>
        <v>6168934.8486897908</v>
      </c>
      <c r="F25" s="22">
        <f t="shared" si="1"/>
        <v>-1233786.9697379582</v>
      </c>
      <c r="G25" s="22">
        <f t="shared" si="2"/>
        <v>-1542233.7121724477</v>
      </c>
      <c r="H25" s="22">
        <f t="shared" si="3"/>
        <v>-2467573.9394759163</v>
      </c>
      <c r="I25" s="22">
        <f t="shared" si="4"/>
        <v>925340.22730346862</v>
      </c>
      <c r="J25" s="23">
        <f t="shared" si="6"/>
        <v>9472335.2036621831</v>
      </c>
    </row>
    <row r="26" spans="1:10" x14ac:dyDescent="0.3">
      <c r="A26" s="8">
        <f t="shared" si="5"/>
        <v>21</v>
      </c>
      <c r="B26" s="20">
        <f>+'Channel 3 Sales'!C26</f>
        <v>1026.9000000000001</v>
      </c>
      <c r="C26" s="21">
        <v>20583.756455807052</v>
      </c>
      <c r="D26" s="22">
        <f t="shared" si="7"/>
        <v>315</v>
      </c>
      <c r="E26" s="22">
        <f t="shared" si="0"/>
        <v>6483883.283579221</v>
      </c>
      <c r="F26" s="22">
        <f t="shared" si="1"/>
        <v>-1296776.6567158443</v>
      </c>
      <c r="G26" s="22">
        <f t="shared" si="2"/>
        <v>-1620970.8208948052</v>
      </c>
      <c r="H26" s="22">
        <f t="shared" si="3"/>
        <v>-2593553.3134316886</v>
      </c>
      <c r="I26" s="22">
        <f t="shared" si="4"/>
        <v>972582.49253688334</v>
      </c>
      <c r="J26" s="23">
        <f t="shared" si="6"/>
        <v>10444917.696199067</v>
      </c>
    </row>
    <row r="27" spans="1:10" x14ac:dyDescent="0.3">
      <c r="A27" s="8">
        <f t="shared" si="5"/>
        <v>22</v>
      </c>
      <c r="B27" s="20">
        <f>+'Channel 3 Sales'!C27</f>
        <v>1026.9000000000001</v>
      </c>
      <c r="C27" s="21">
        <v>21583.068878574366</v>
      </c>
      <c r="D27" s="22">
        <f t="shared" si="7"/>
        <v>315</v>
      </c>
      <c r="E27" s="22">
        <f t="shared" si="0"/>
        <v>6798666.6967509249</v>
      </c>
      <c r="F27" s="22">
        <f t="shared" si="1"/>
        <v>-1359733.3393501851</v>
      </c>
      <c r="G27" s="22">
        <f t="shared" si="2"/>
        <v>-1699666.6741877312</v>
      </c>
      <c r="H27" s="22">
        <f t="shared" si="3"/>
        <v>-2719466.6787003702</v>
      </c>
      <c r="I27" s="22">
        <f t="shared" si="4"/>
        <v>1019800.0045126383</v>
      </c>
      <c r="J27" s="23">
        <f t="shared" si="6"/>
        <v>11464717.700711705</v>
      </c>
    </row>
    <row r="28" spans="1:10" x14ac:dyDescent="0.3">
      <c r="A28" s="8">
        <f t="shared" si="5"/>
        <v>23</v>
      </c>
      <c r="B28" s="20">
        <f>+'Channel 3 Sales'!C28</f>
        <v>1026.9000000000001</v>
      </c>
      <c r="C28" s="21">
        <v>22581.867283315478</v>
      </c>
      <c r="D28" s="22">
        <f t="shared" si="7"/>
        <v>315</v>
      </c>
      <c r="E28" s="22">
        <f t="shared" si="0"/>
        <v>7113288.1942443755</v>
      </c>
      <c r="F28" s="22">
        <f t="shared" si="1"/>
        <v>-1422657.6388488752</v>
      </c>
      <c r="G28" s="22">
        <f t="shared" si="2"/>
        <v>-1778322.0485610939</v>
      </c>
      <c r="H28" s="22">
        <f t="shared" si="3"/>
        <v>-2845315.2776977504</v>
      </c>
      <c r="I28" s="22">
        <f t="shared" si="4"/>
        <v>1066993.2291366565</v>
      </c>
      <c r="J28" s="23">
        <f t="shared" si="6"/>
        <v>12531710.929848362</v>
      </c>
    </row>
    <row r="29" spans="1:10" x14ac:dyDescent="0.3">
      <c r="A29" s="8">
        <f t="shared" si="5"/>
        <v>24</v>
      </c>
      <c r="B29" s="20">
        <f>+'Channel 3 Sales'!C29</f>
        <v>1026.9000000000001</v>
      </c>
      <c r="C29" s="21">
        <v>23580.166288854216</v>
      </c>
      <c r="D29" s="22">
        <f t="shared" si="7"/>
        <v>315</v>
      </c>
      <c r="E29" s="22">
        <f t="shared" si="0"/>
        <v>7427752.3809890784</v>
      </c>
      <c r="F29" s="22">
        <f t="shared" si="1"/>
        <v>-1485550.4761978157</v>
      </c>
      <c r="G29" s="22">
        <f t="shared" si="2"/>
        <v>-1856938.0952472696</v>
      </c>
      <c r="H29" s="22">
        <f t="shared" si="3"/>
        <v>-2971100.9523956315</v>
      </c>
      <c r="I29" s="22">
        <f t="shared" si="4"/>
        <v>1114162.8571483619</v>
      </c>
      <c r="J29" s="23">
        <f t="shared" si="6"/>
        <v>13645873.786996724</v>
      </c>
    </row>
    <row r="30" spans="1:10" x14ac:dyDescent="0.3">
      <c r="A30" s="8">
        <f t="shared" si="5"/>
        <v>25</v>
      </c>
      <c r="B30" s="20">
        <f>+'Channel 3 Sales'!C30</f>
        <v>1078.2449999999999</v>
      </c>
      <c r="C30" s="21">
        <v>24629.311144890184</v>
      </c>
      <c r="D30" s="22">
        <f t="shared" si="7"/>
        <v>330.75</v>
      </c>
      <c r="E30" s="22">
        <f t="shared" si="0"/>
        <v>8146144.6611724282</v>
      </c>
      <c r="F30" s="22">
        <f t="shared" si="1"/>
        <v>-1629228.9322344856</v>
      </c>
      <c r="G30" s="22">
        <f t="shared" si="2"/>
        <v>-2036536.165293107</v>
      </c>
      <c r="H30" s="22">
        <f t="shared" si="3"/>
        <v>-3258457.8644689713</v>
      </c>
      <c r="I30" s="22">
        <f t="shared" si="4"/>
        <v>1221921.6991758645</v>
      </c>
      <c r="J30" s="23">
        <f t="shared" si="6"/>
        <v>14867795.486172589</v>
      </c>
    </row>
    <row r="31" spans="1:10" x14ac:dyDescent="0.3">
      <c r="A31" s="8">
        <f t="shared" si="5"/>
        <v>26</v>
      </c>
      <c r="B31" s="20">
        <f>+'Channel 3 Sales'!C31</f>
        <v>1078.2449999999999</v>
      </c>
      <c r="C31" s="21">
        <v>25677.700375998134</v>
      </c>
      <c r="D31" s="22">
        <f t="shared" si="7"/>
        <v>330.75</v>
      </c>
      <c r="E31" s="22">
        <f t="shared" si="0"/>
        <v>8492899.3993613832</v>
      </c>
      <c r="F31" s="22">
        <f t="shared" si="1"/>
        <v>-1698579.8798722767</v>
      </c>
      <c r="G31" s="22">
        <f t="shared" si="2"/>
        <v>-2123224.8498403458</v>
      </c>
      <c r="H31" s="22">
        <f t="shared" si="3"/>
        <v>-3397159.7597445534</v>
      </c>
      <c r="I31" s="22">
        <f t="shared" si="4"/>
        <v>1273934.9099042076</v>
      </c>
      <c r="J31" s="23">
        <f t="shared" si="6"/>
        <v>16141730.396076797</v>
      </c>
    </row>
    <row r="32" spans="1:10" x14ac:dyDescent="0.3">
      <c r="A32" s="8">
        <f t="shared" si="5"/>
        <v>27</v>
      </c>
      <c r="B32" s="20">
        <f>+'Channel 3 Sales'!C32</f>
        <v>1078.2449999999999</v>
      </c>
      <c r="C32" s="21">
        <v>26725.396821183029</v>
      </c>
      <c r="D32" s="22">
        <f t="shared" si="7"/>
        <v>330.75</v>
      </c>
      <c r="E32" s="22">
        <f t="shared" si="0"/>
        <v>8839424.9986062869</v>
      </c>
      <c r="F32" s="22">
        <f t="shared" si="1"/>
        <v>-1767884.9997212575</v>
      </c>
      <c r="G32" s="22">
        <f t="shared" si="2"/>
        <v>-2209856.2496515717</v>
      </c>
      <c r="H32" s="22">
        <f t="shared" si="3"/>
        <v>-3535769.999442515</v>
      </c>
      <c r="I32" s="22">
        <f t="shared" si="4"/>
        <v>1325913.7497909432</v>
      </c>
      <c r="J32" s="23">
        <f t="shared" si="6"/>
        <v>17467644.145867739</v>
      </c>
    </row>
    <row r="33" spans="1:10" x14ac:dyDescent="0.3">
      <c r="A33" s="8">
        <f t="shared" si="5"/>
        <v>28</v>
      </c>
      <c r="B33" s="20">
        <f>+'Channel 3 Sales'!C33</f>
        <v>1078.2449999999999</v>
      </c>
      <c r="C33" s="21">
        <v>27772.467629866223</v>
      </c>
      <c r="D33" s="22">
        <f t="shared" si="7"/>
        <v>330.75</v>
      </c>
      <c r="E33" s="22">
        <f t="shared" si="0"/>
        <v>9185743.6685782541</v>
      </c>
      <c r="F33" s="22">
        <f t="shared" si="1"/>
        <v>-1837148.7337156509</v>
      </c>
      <c r="G33" s="22">
        <f t="shared" si="2"/>
        <v>-2296435.9171445635</v>
      </c>
      <c r="H33" s="22">
        <f t="shared" si="3"/>
        <v>-3674297.4674313017</v>
      </c>
      <c r="I33" s="22">
        <f t="shared" si="4"/>
        <v>1377861.5502867377</v>
      </c>
      <c r="J33" s="23">
        <f t="shared" si="6"/>
        <v>18845505.696154475</v>
      </c>
    </row>
    <row r="34" spans="1:10" x14ac:dyDescent="0.3">
      <c r="A34" s="8">
        <f t="shared" si="5"/>
        <v>29</v>
      </c>
      <c r="B34" s="20">
        <f>+'Channel 3 Sales'!C34</f>
        <v>1078.2449999999999</v>
      </c>
      <c r="C34" s="21">
        <v>28818.923522717505</v>
      </c>
      <c r="D34" s="22">
        <f t="shared" si="7"/>
        <v>330.75</v>
      </c>
      <c r="E34" s="22">
        <f t="shared" si="0"/>
        <v>9531858.9551388156</v>
      </c>
      <c r="F34" s="22">
        <f t="shared" si="1"/>
        <v>-1906371.7910277632</v>
      </c>
      <c r="G34" s="22">
        <f t="shared" si="2"/>
        <v>-2382964.7387847039</v>
      </c>
      <c r="H34" s="22">
        <f t="shared" si="3"/>
        <v>-3812743.5820555263</v>
      </c>
      <c r="I34" s="22">
        <f t="shared" si="4"/>
        <v>1429778.8432708229</v>
      </c>
      <c r="J34" s="23">
        <f t="shared" si="6"/>
        <v>20275284.539425299</v>
      </c>
    </row>
    <row r="35" spans="1:10" x14ac:dyDescent="0.3">
      <c r="A35" s="8">
        <f t="shared" si="5"/>
        <v>30</v>
      </c>
      <c r="B35" s="20">
        <f>+'Channel 3 Sales'!C35</f>
        <v>1078.2449999999999</v>
      </c>
      <c r="C35" s="21">
        <v>29864.780212411875</v>
      </c>
      <c r="D35" s="22">
        <f t="shared" si="7"/>
        <v>330.75</v>
      </c>
      <c r="E35" s="22">
        <f t="shared" si="0"/>
        <v>9877776.0552552287</v>
      </c>
      <c r="F35" s="22">
        <f t="shared" si="1"/>
        <v>-1975555.2110510459</v>
      </c>
      <c r="G35" s="22">
        <f t="shared" si="2"/>
        <v>-2469444.0138138072</v>
      </c>
      <c r="H35" s="22">
        <f t="shared" si="3"/>
        <v>-3951110.4221020918</v>
      </c>
      <c r="I35" s="22">
        <f t="shared" si="4"/>
        <v>1481666.4082882833</v>
      </c>
      <c r="J35" s="23">
        <f t="shared" si="6"/>
        <v>21756950.947713584</v>
      </c>
    </row>
    <row r="36" spans="1:10" x14ac:dyDescent="0.3">
      <c r="A36" s="8">
        <f t="shared" si="5"/>
        <v>31</v>
      </c>
      <c r="B36" s="20">
        <f>+'Channel 3 Sales'!C36</f>
        <v>1078.2449999999999</v>
      </c>
      <c r="C36" s="21">
        <v>30910.048260269337</v>
      </c>
      <c r="D36" s="22">
        <f t="shared" si="7"/>
        <v>330.75</v>
      </c>
      <c r="E36" s="22">
        <f t="shared" si="0"/>
        <v>10223498.462084083</v>
      </c>
      <c r="F36" s="22">
        <f t="shared" si="1"/>
        <v>-2044699.6924168167</v>
      </c>
      <c r="G36" s="22">
        <f t="shared" si="2"/>
        <v>-2555874.6155210207</v>
      </c>
      <c r="H36" s="22">
        <f t="shared" si="3"/>
        <v>-4089399.3848336334</v>
      </c>
      <c r="I36" s="22">
        <f t="shared" si="4"/>
        <v>1533524.7693126113</v>
      </c>
      <c r="J36" s="23">
        <f t="shared" si="6"/>
        <v>23290475.717026196</v>
      </c>
    </row>
    <row r="37" spans="1:10" x14ac:dyDescent="0.3">
      <c r="A37" s="8">
        <f t="shared" si="5"/>
        <v>32</v>
      </c>
      <c r="B37" s="20">
        <f>+'Channel 3 Sales'!C37</f>
        <v>1078.2449999999999</v>
      </c>
      <c r="C37" s="21">
        <v>31954.743216250739</v>
      </c>
      <c r="D37" s="22">
        <f t="shared" si="7"/>
        <v>330.75</v>
      </c>
      <c r="E37" s="22">
        <f t="shared" si="0"/>
        <v>10569031.318774931</v>
      </c>
      <c r="F37" s="22">
        <f t="shared" si="1"/>
        <v>-2113806.2637549862</v>
      </c>
      <c r="G37" s="22">
        <f t="shared" si="2"/>
        <v>-2642257.8296937328</v>
      </c>
      <c r="H37" s="22">
        <f t="shared" si="3"/>
        <v>-4227612.5275099725</v>
      </c>
      <c r="I37" s="22">
        <f t="shared" si="4"/>
        <v>1585354.6978162397</v>
      </c>
      <c r="J37" s="23">
        <f t="shared" si="6"/>
        <v>24875830.414842434</v>
      </c>
    </row>
    <row r="38" spans="1:10" x14ac:dyDescent="0.3">
      <c r="A38" s="8">
        <f t="shared" si="5"/>
        <v>33</v>
      </c>
      <c r="B38" s="20">
        <f>+'Channel 3 Sales'!C38</f>
        <v>1078.2449999999999</v>
      </c>
      <c r="C38" s="21">
        <v>32998.875519021865</v>
      </c>
      <c r="D38" s="22">
        <f t="shared" si="7"/>
        <v>330.75</v>
      </c>
      <c r="E38" s="22">
        <f t="shared" ref="E38:E69" si="8">+C38*D38</f>
        <v>10914378.077916482</v>
      </c>
      <c r="F38" s="22">
        <f t="shared" ref="F38:F65" si="9">-C38*D38*$F$1</f>
        <v>-2182875.6155832964</v>
      </c>
      <c r="G38" s="22">
        <f t="shared" ref="G38:G65" si="10">-E38*$F$2</f>
        <v>-2728594.5194791206</v>
      </c>
      <c r="H38" s="22">
        <f t="shared" ref="H38:H65" si="11">-E38*$C$3</f>
        <v>-4365751.2311665928</v>
      </c>
      <c r="I38" s="22">
        <f t="shared" ref="I38:I69" si="12">+E38+F38+G38+H38</f>
        <v>1637156.7116874726</v>
      </c>
      <c r="J38" s="23">
        <f t="shared" si="6"/>
        <v>26512987.126529906</v>
      </c>
    </row>
    <row r="39" spans="1:10" x14ac:dyDescent="0.3">
      <c r="A39" s="8">
        <f t="shared" ref="A39:A65" si="13">+A38+1</f>
        <v>34</v>
      </c>
      <c r="B39" s="20">
        <f>+'Channel 3 Sales'!C39</f>
        <v>1078.2449999999999</v>
      </c>
      <c r="C39" s="21">
        <v>34042.460597307341</v>
      </c>
      <c r="D39" s="22">
        <f t="shared" si="7"/>
        <v>330.75</v>
      </c>
      <c r="E39" s="22">
        <f t="shared" si="8"/>
        <v>11259543.842559403</v>
      </c>
      <c r="F39" s="22">
        <f t="shared" si="9"/>
        <v>-2251908.7685118807</v>
      </c>
      <c r="G39" s="22">
        <f t="shared" si="10"/>
        <v>-2814885.9606398507</v>
      </c>
      <c r="H39" s="22">
        <f t="shared" si="11"/>
        <v>-4503817.5370237613</v>
      </c>
      <c r="I39" s="22">
        <f t="shared" si="12"/>
        <v>1688931.5763839101</v>
      </c>
      <c r="J39" s="23">
        <f t="shared" ref="J39:J70" si="14">+J38+I39</f>
        <v>28201918.702913817</v>
      </c>
    </row>
    <row r="40" spans="1:10" x14ac:dyDescent="0.3">
      <c r="A40" s="8">
        <f t="shared" si="13"/>
        <v>35</v>
      </c>
      <c r="B40" s="20">
        <f>+'Channel 3 Sales'!C40</f>
        <v>1078.2449999999999</v>
      </c>
      <c r="C40" s="21">
        <v>35085.508803148106</v>
      </c>
      <c r="D40" s="22">
        <f t="shared" si="7"/>
        <v>330.75</v>
      </c>
      <c r="E40" s="22">
        <f t="shared" si="8"/>
        <v>11604532.036641236</v>
      </c>
      <c r="F40" s="22">
        <f t="shared" si="9"/>
        <v>-2320906.4073282476</v>
      </c>
      <c r="G40" s="22">
        <f t="shared" si="10"/>
        <v>-2901133.0091603091</v>
      </c>
      <c r="H40" s="22">
        <f t="shared" si="11"/>
        <v>-4641812.8146564951</v>
      </c>
      <c r="I40" s="22">
        <f t="shared" si="12"/>
        <v>1740679.8054961842</v>
      </c>
      <c r="J40" s="23">
        <f t="shared" si="14"/>
        <v>29942598.508409999</v>
      </c>
    </row>
    <row r="41" spans="1:10" x14ac:dyDescent="0.3">
      <c r="A41" s="8">
        <f t="shared" si="13"/>
        <v>36</v>
      </c>
      <c r="B41" s="20">
        <f>+'Channel 3 Sales'!C41</f>
        <v>1078.2449999999999</v>
      </c>
      <c r="C41" s="21">
        <v>36128.035484885957</v>
      </c>
      <c r="D41" s="22">
        <f t="shared" si="7"/>
        <v>330.75</v>
      </c>
      <c r="E41" s="22">
        <f t="shared" si="8"/>
        <v>11949347.736626031</v>
      </c>
      <c r="F41" s="22">
        <f t="shared" si="9"/>
        <v>-2389869.5473252065</v>
      </c>
      <c r="G41" s="22">
        <f t="shared" si="10"/>
        <v>-2987336.9341565077</v>
      </c>
      <c r="H41" s="22">
        <f t="shared" si="11"/>
        <v>-4779739.0946504129</v>
      </c>
      <c r="I41" s="22">
        <f t="shared" si="12"/>
        <v>1792402.1604939038</v>
      </c>
      <c r="J41" s="23">
        <f t="shared" si="14"/>
        <v>31735000.668903902</v>
      </c>
    </row>
    <row r="42" spans="1:10" x14ac:dyDescent="0.3">
      <c r="A42" s="8">
        <f t="shared" si="13"/>
        <v>37</v>
      </c>
      <c r="B42" s="20">
        <f>+'Channel 3 Sales'!C42</f>
        <v>1132.15725</v>
      </c>
      <c r="C42" s="21">
        <v>37223.953153282913</v>
      </c>
      <c r="D42" s="22">
        <f t="shared" si="7"/>
        <v>347.28750000000002</v>
      </c>
      <c r="E42" s="22">
        <f t="shared" si="8"/>
        <v>12927413.63072074</v>
      </c>
      <c r="F42" s="22">
        <f t="shared" si="9"/>
        <v>-2585482.726144148</v>
      </c>
      <c r="G42" s="22">
        <f t="shared" si="10"/>
        <v>-3231853.407680185</v>
      </c>
      <c r="H42" s="22">
        <f t="shared" si="11"/>
        <v>-5170965.4522882961</v>
      </c>
      <c r="I42" s="22">
        <f t="shared" si="12"/>
        <v>1939112.0446081106</v>
      </c>
      <c r="J42" s="23">
        <f t="shared" si="14"/>
        <v>33674112.713512011</v>
      </c>
    </row>
    <row r="43" spans="1:10" x14ac:dyDescent="0.3">
      <c r="A43" s="8">
        <f t="shared" si="13"/>
        <v>38</v>
      </c>
      <c r="B43" s="20">
        <f>+'Channel 3 Sales'!C43</f>
        <v>1132.15725</v>
      </c>
      <c r="C43" s="21">
        <v>38319.080257720692</v>
      </c>
      <c r="D43" s="22">
        <f t="shared" si="7"/>
        <v>347.28750000000002</v>
      </c>
      <c r="E43" s="22">
        <f t="shared" si="8"/>
        <v>13307737.585003177</v>
      </c>
      <c r="F43" s="22">
        <f t="shared" si="9"/>
        <v>-2661547.5170006356</v>
      </c>
      <c r="G43" s="22">
        <f t="shared" si="10"/>
        <v>-3326934.3962507942</v>
      </c>
      <c r="H43" s="22">
        <f t="shared" si="11"/>
        <v>-5323095.0340012712</v>
      </c>
      <c r="I43" s="22">
        <f t="shared" si="12"/>
        <v>1996160.6377504757</v>
      </c>
      <c r="J43" s="23">
        <f t="shared" si="14"/>
        <v>35670273.351262487</v>
      </c>
    </row>
    <row r="44" spans="1:10" x14ac:dyDescent="0.3">
      <c r="A44" s="8">
        <f t="shared" si="13"/>
        <v>39</v>
      </c>
      <c r="B44" s="20">
        <f>+'Channel 3 Sales'!C44</f>
        <v>1132.15725</v>
      </c>
      <c r="C44" s="21">
        <v>39413.48277773337</v>
      </c>
      <c r="D44" s="22">
        <f t="shared" si="7"/>
        <v>347.28750000000002</v>
      </c>
      <c r="E44" s="22">
        <f t="shared" si="8"/>
        <v>13687809.900172079</v>
      </c>
      <c r="F44" s="22">
        <f t="shared" si="9"/>
        <v>-2737561.9800344161</v>
      </c>
      <c r="G44" s="22">
        <f t="shared" si="10"/>
        <v>-3421952.4750430197</v>
      </c>
      <c r="H44" s="22">
        <f t="shared" si="11"/>
        <v>-5475123.9600688322</v>
      </c>
      <c r="I44" s="22">
        <f t="shared" si="12"/>
        <v>2053171.485025811</v>
      </c>
      <c r="J44" s="23">
        <f t="shared" si="14"/>
        <v>37723444.836288296</v>
      </c>
    </row>
    <row r="45" spans="1:10" x14ac:dyDescent="0.3">
      <c r="A45" s="8">
        <f t="shared" si="13"/>
        <v>40</v>
      </c>
      <c r="B45" s="20">
        <f>+'Channel 3 Sales'!C45</f>
        <v>1132.15725</v>
      </c>
      <c r="C45" s="21">
        <v>40507.231218792993</v>
      </c>
      <c r="D45" s="22">
        <f t="shared" si="7"/>
        <v>347.28750000000002</v>
      </c>
      <c r="E45" s="22">
        <f t="shared" si="8"/>
        <v>14067655.061896572</v>
      </c>
      <c r="F45" s="22">
        <f t="shared" si="9"/>
        <v>-2813531.0123793148</v>
      </c>
      <c r="G45" s="22">
        <f t="shared" si="10"/>
        <v>-3516913.765474143</v>
      </c>
      <c r="H45" s="22">
        <f t="shared" si="11"/>
        <v>-5627062.0247586295</v>
      </c>
      <c r="I45" s="22">
        <f t="shared" si="12"/>
        <v>2110148.2592844851</v>
      </c>
      <c r="J45" s="23">
        <f t="shared" si="14"/>
        <v>39833593.095572785</v>
      </c>
    </row>
    <row r="46" spans="1:10" x14ac:dyDescent="0.3">
      <c r="A46" s="8">
        <f t="shared" si="13"/>
        <v>41</v>
      </c>
      <c r="B46" s="20">
        <f>+'Channel 3 Sales'!C46</f>
        <v>1132.15725</v>
      </c>
      <c r="C46" s="21">
        <v>41600.336836183124</v>
      </c>
      <c r="D46" s="22">
        <f t="shared" si="7"/>
        <v>347.28750000000002</v>
      </c>
      <c r="E46" s="22">
        <f t="shared" si="8"/>
        <v>14447276.978995947</v>
      </c>
      <c r="F46" s="22">
        <f t="shared" si="9"/>
        <v>-2889455.3957991898</v>
      </c>
      <c r="G46" s="22">
        <f t="shared" si="10"/>
        <v>-3611819.2447489868</v>
      </c>
      <c r="H46" s="22">
        <f t="shared" si="11"/>
        <v>-5778910.7915983796</v>
      </c>
      <c r="I46" s="22">
        <f t="shared" si="12"/>
        <v>2167091.5468493905</v>
      </c>
      <c r="J46" s="23">
        <f t="shared" si="14"/>
        <v>42000684.642422177</v>
      </c>
    </row>
    <row r="47" spans="1:10" x14ac:dyDescent="0.3">
      <c r="A47" s="8">
        <f t="shared" si="13"/>
        <v>42</v>
      </c>
      <c r="B47" s="20">
        <f>+'Channel 3 Sales'!C47</f>
        <v>1132.15725</v>
      </c>
      <c r="C47" s="21">
        <v>42692.816126793536</v>
      </c>
      <c r="D47" s="22">
        <f t="shared" si="7"/>
        <v>347.28750000000002</v>
      </c>
      <c r="E47" s="22">
        <f t="shared" si="8"/>
        <v>14826681.380633811</v>
      </c>
      <c r="F47" s="22">
        <f t="shared" si="9"/>
        <v>-2965336.2761267624</v>
      </c>
      <c r="G47" s="22">
        <f t="shared" si="10"/>
        <v>-3706670.3451584526</v>
      </c>
      <c r="H47" s="22">
        <f t="shared" si="11"/>
        <v>-5930672.5522535248</v>
      </c>
      <c r="I47" s="22">
        <f t="shared" si="12"/>
        <v>2224002.2070950707</v>
      </c>
      <c r="J47" s="23">
        <f t="shared" si="14"/>
        <v>44224686.849517249</v>
      </c>
    </row>
    <row r="48" spans="1:10" x14ac:dyDescent="0.3">
      <c r="A48" s="8">
        <f t="shared" si="13"/>
        <v>43</v>
      </c>
      <c r="B48" s="20">
        <f>+'Channel 3 Sales'!C48</f>
        <v>1132.15725</v>
      </c>
      <c r="C48" s="21">
        <v>43784.680178591989</v>
      </c>
      <c r="D48" s="22">
        <f t="shared" si="7"/>
        <v>347.28750000000002</v>
      </c>
      <c r="E48" s="22">
        <f t="shared" si="8"/>
        <v>15205872.117522767</v>
      </c>
      <c r="F48" s="22">
        <f t="shared" si="9"/>
        <v>-3041174.4235045537</v>
      </c>
      <c r="G48" s="22">
        <f t="shared" si="10"/>
        <v>-3801468.0293806917</v>
      </c>
      <c r="H48" s="22">
        <f t="shared" si="11"/>
        <v>-6082348.8470091075</v>
      </c>
      <c r="I48" s="22">
        <f t="shared" si="12"/>
        <v>2280880.8176284134</v>
      </c>
      <c r="J48" s="23">
        <f t="shared" si="14"/>
        <v>46505567.667145662</v>
      </c>
    </row>
    <row r="49" spans="1:10" x14ac:dyDescent="0.3">
      <c r="A49" s="8">
        <f t="shared" si="13"/>
        <v>44</v>
      </c>
      <c r="B49" s="20">
        <f>+'Channel 3 Sales'!C49</f>
        <v>1132.15725</v>
      </c>
      <c r="C49" s="21">
        <v>44875.9453176198</v>
      </c>
      <c r="D49" s="22">
        <f t="shared" si="7"/>
        <v>347.28750000000002</v>
      </c>
      <c r="E49" s="22">
        <f t="shared" si="8"/>
        <v>15584854.859492887</v>
      </c>
      <c r="F49" s="22">
        <f t="shared" si="9"/>
        <v>-3116970.9718985776</v>
      </c>
      <c r="G49" s="22">
        <f t="shared" si="10"/>
        <v>-3896213.7148732217</v>
      </c>
      <c r="H49" s="22">
        <f t="shared" si="11"/>
        <v>-6233941.9437971553</v>
      </c>
      <c r="I49" s="22">
        <f t="shared" si="12"/>
        <v>2337728.2289239326</v>
      </c>
      <c r="J49" s="23">
        <f t="shared" si="14"/>
        <v>48843295.896069594</v>
      </c>
    </row>
    <row r="50" spans="1:10" x14ac:dyDescent="0.3">
      <c r="A50" s="8">
        <f t="shared" si="13"/>
        <v>45</v>
      </c>
      <c r="B50" s="20">
        <f>+'Channel 3 Sales'!C50</f>
        <v>1132.15725</v>
      </c>
      <c r="C50" s="21">
        <v>45966.622503059203</v>
      </c>
      <c r="D50" s="22">
        <f t="shared" si="7"/>
        <v>347.28750000000002</v>
      </c>
      <c r="E50" s="22">
        <f t="shared" si="8"/>
        <v>15963633.412531175</v>
      </c>
      <c r="F50" s="22">
        <f t="shared" si="9"/>
        <v>-3192726.6825062353</v>
      </c>
      <c r="G50" s="22">
        <f t="shared" si="10"/>
        <v>-3990908.3531327937</v>
      </c>
      <c r="H50" s="22">
        <f t="shared" si="11"/>
        <v>-6385453.3650124706</v>
      </c>
      <c r="I50" s="22">
        <f t="shared" si="12"/>
        <v>2394545.0118796751</v>
      </c>
      <c r="J50" s="23">
        <f t="shared" si="14"/>
        <v>51237840.907949269</v>
      </c>
    </row>
    <row r="51" spans="1:10" x14ac:dyDescent="0.3">
      <c r="A51" s="8">
        <f t="shared" si="13"/>
        <v>46</v>
      </c>
      <c r="B51" s="20">
        <f>+'Channel 3 Sales'!C51</f>
        <v>1132.15725</v>
      </c>
      <c r="C51" s="21">
        <v>47056.727933654904</v>
      </c>
      <c r="D51" s="22">
        <f t="shared" si="7"/>
        <v>347.28750000000002</v>
      </c>
      <c r="E51" s="22">
        <f t="shared" si="8"/>
        <v>16342213.402259178</v>
      </c>
      <c r="F51" s="22">
        <f t="shared" si="9"/>
        <v>-3268442.680451836</v>
      </c>
      <c r="G51" s="22">
        <f t="shared" si="10"/>
        <v>-4085553.3505647946</v>
      </c>
      <c r="H51" s="22">
        <f t="shared" si="11"/>
        <v>-6536885.3609036719</v>
      </c>
      <c r="I51" s="22">
        <f t="shared" si="12"/>
        <v>2451332.0103388755</v>
      </c>
      <c r="J51" s="23">
        <f t="shared" si="14"/>
        <v>53689172.918288141</v>
      </c>
    </row>
    <row r="52" spans="1:10" x14ac:dyDescent="0.3">
      <c r="A52" s="8">
        <f t="shared" si="13"/>
        <v>47</v>
      </c>
      <c r="B52" s="20">
        <f>+'Channel 3 Sales'!C52</f>
        <v>1132.15725</v>
      </c>
      <c r="C52" s="21">
        <v>48146.272477634469</v>
      </c>
      <c r="D52" s="22">
        <f t="shared" si="7"/>
        <v>347.28750000000002</v>
      </c>
      <c r="E52" s="22">
        <f t="shared" si="8"/>
        <v>16720598.603076482</v>
      </c>
      <c r="F52" s="22">
        <f t="shared" si="9"/>
        <v>-3344119.7206152966</v>
      </c>
      <c r="G52" s="22">
        <f t="shared" si="10"/>
        <v>-4180149.6507691205</v>
      </c>
      <c r="H52" s="22">
        <f t="shared" si="11"/>
        <v>-6688239.4412305932</v>
      </c>
      <c r="I52" s="22">
        <f t="shared" si="12"/>
        <v>2508089.7904614732</v>
      </c>
      <c r="J52" s="23">
        <f t="shared" si="14"/>
        <v>56197262.708749615</v>
      </c>
    </row>
    <row r="53" spans="1:10" x14ac:dyDescent="0.3">
      <c r="A53" s="8">
        <f t="shared" si="13"/>
        <v>48</v>
      </c>
      <c r="B53" s="20">
        <f>+'Channel 3 Sales'!C53</f>
        <v>1132.15725</v>
      </c>
      <c r="C53" s="21">
        <v>49235.272249342037</v>
      </c>
      <c r="D53" s="22">
        <f t="shared" si="7"/>
        <v>347.28750000000002</v>
      </c>
      <c r="E53" s="22">
        <f t="shared" si="8"/>
        <v>17098794.611293375</v>
      </c>
      <c r="F53" s="22">
        <f t="shared" si="9"/>
        <v>-3419758.9222586751</v>
      </c>
      <c r="G53" s="22">
        <f t="shared" si="10"/>
        <v>-4274698.6528233439</v>
      </c>
      <c r="H53" s="22">
        <f t="shared" si="11"/>
        <v>-6839517.8445173502</v>
      </c>
      <c r="I53" s="22">
        <f t="shared" si="12"/>
        <v>2564819.1916940063</v>
      </c>
      <c r="J53" s="23">
        <f t="shared" si="14"/>
        <v>58762081.900443621</v>
      </c>
    </row>
    <row r="54" spans="1:10" x14ac:dyDescent="0.3">
      <c r="A54" s="8">
        <f t="shared" si="13"/>
        <v>49</v>
      </c>
      <c r="B54" s="20">
        <f>+'Channel 3 Sales'!C54</f>
        <v>1188.7651125000002</v>
      </c>
      <c r="C54" s="21">
        <v>50380.335383663769</v>
      </c>
      <c r="D54" s="22">
        <f t="shared" si="7"/>
        <v>364.65187500000002</v>
      </c>
      <c r="E54" s="22">
        <f t="shared" si="8"/>
        <v>18371283.760781839</v>
      </c>
      <c r="F54" s="22">
        <f t="shared" si="9"/>
        <v>-3674256.752156368</v>
      </c>
      <c r="G54" s="22">
        <f t="shared" si="10"/>
        <v>-4592820.9401954599</v>
      </c>
      <c r="H54" s="22">
        <f t="shared" si="11"/>
        <v>-7348513.504312736</v>
      </c>
      <c r="I54" s="22">
        <f t="shared" si="12"/>
        <v>2755692.5641172761</v>
      </c>
      <c r="J54" s="23">
        <f t="shared" si="14"/>
        <v>61517774.464560896</v>
      </c>
    </row>
    <row r="55" spans="1:10" x14ac:dyDescent="0.3">
      <c r="A55" s="8">
        <f t="shared" si="13"/>
        <v>50</v>
      </c>
      <c r="B55" s="20">
        <f>+'Channel 3 Sales'!C55</f>
        <v>1188.7651125000002</v>
      </c>
      <c r="C55" s="21">
        <v>51524.571251037058</v>
      </c>
      <c r="D55" s="22">
        <f t="shared" si="7"/>
        <v>364.65187500000002</v>
      </c>
      <c r="E55" s="22">
        <f t="shared" si="8"/>
        <v>18788531.515261758</v>
      </c>
      <c r="F55" s="22">
        <f t="shared" si="9"/>
        <v>-3757706.3030523518</v>
      </c>
      <c r="G55" s="22">
        <f t="shared" si="10"/>
        <v>-4697132.8788154395</v>
      </c>
      <c r="H55" s="22">
        <f t="shared" si="11"/>
        <v>-7515412.6061047036</v>
      </c>
      <c r="I55" s="22">
        <f t="shared" si="12"/>
        <v>2818279.727289265</v>
      </c>
      <c r="J55" s="23">
        <f t="shared" si="14"/>
        <v>64336054.191850163</v>
      </c>
    </row>
    <row r="56" spans="1:10" x14ac:dyDescent="0.3">
      <c r="A56" s="8">
        <f t="shared" si="13"/>
        <v>51</v>
      </c>
      <c r="B56" s="20">
        <f>+'Channel 3 Sales'!C56</f>
        <v>1188.7651125000002</v>
      </c>
      <c r="C56" s="21">
        <v>52668.049128560175</v>
      </c>
      <c r="D56" s="22">
        <f t="shared" si="7"/>
        <v>364.65187500000002</v>
      </c>
      <c r="E56" s="22">
        <f t="shared" si="8"/>
        <v>19205502.867321584</v>
      </c>
      <c r="F56" s="22">
        <f t="shared" si="9"/>
        <v>-3841100.5734643172</v>
      </c>
      <c r="G56" s="22">
        <f t="shared" si="10"/>
        <v>-4801375.7168303961</v>
      </c>
      <c r="H56" s="22">
        <f t="shared" si="11"/>
        <v>-7682201.1469286345</v>
      </c>
      <c r="I56" s="22">
        <f t="shared" si="12"/>
        <v>2880825.4300982356</v>
      </c>
      <c r="J56" s="23">
        <f t="shared" si="14"/>
        <v>67216879.621948391</v>
      </c>
    </row>
    <row r="57" spans="1:10" x14ac:dyDescent="0.3">
      <c r="A57" s="8">
        <f t="shared" si="13"/>
        <v>52</v>
      </c>
      <c r="B57" s="20">
        <f>+'Channel 3 Sales'!C57</f>
        <v>1188.7651125000002</v>
      </c>
      <c r="C57" s="21">
        <v>53810.843045566806</v>
      </c>
      <c r="D57" s="22">
        <f t="shared" si="7"/>
        <v>364.65187500000002</v>
      </c>
      <c r="E57" s="22">
        <f t="shared" si="8"/>
        <v>19622224.811896648</v>
      </c>
      <c r="F57" s="22">
        <f t="shared" si="9"/>
        <v>-3924444.9623793298</v>
      </c>
      <c r="G57" s="22">
        <f t="shared" si="10"/>
        <v>-4905556.2029741621</v>
      </c>
      <c r="H57" s="22">
        <f t="shared" si="11"/>
        <v>-7848889.9247586597</v>
      </c>
      <c r="I57" s="22">
        <f t="shared" si="12"/>
        <v>2943333.7217844967</v>
      </c>
      <c r="J57" s="23">
        <f t="shared" si="14"/>
        <v>70160213.343732893</v>
      </c>
    </row>
    <row r="58" spans="1:10" x14ac:dyDescent="0.3">
      <c r="A58" s="8">
        <f t="shared" si="13"/>
        <v>53</v>
      </c>
      <c r="B58" s="20">
        <f>+'Channel 3 Sales'!C58</f>
        <v>1188.7651125000002</v>
      </c>
      <c r="C58" s="21">
        <v>54952.964818693516</v>
      </c>
      <c r="D58" s="22">
        <f t="shared" si="7"/>
        <v>364.65187500000002</v>
      </c>
      <c r="E58" s="22">
        <f t="shared" si="8"/>
        <v>20038701.657945625</v>
      </c>
      <c r="F58" s="22">
        <f t="shared" si="9"/>
        <v>-4007740.3315891251</v>
      </c>
      <c r="G58" s="22">
        <f t="shared" si="10"/>
        <v>-5009675.4144864064</v>
      </c>
      <c r="H58" s="22">
        <f t="shared" si="11"/>
        <v>-8015480.6631782502</v>
      </c>
      <c r="I58" s="22">
        <f t="shared" si="12"/>
        <v>3005805.2486918438</v>
      </c>
      <c r="J58" s="23">
        <f t="shared" si="14"/>
        <v>73166018.592424735</v>
      </c>
    </row>
    <row r="59" spans="1:10" x14ac:dyDescent="0.3">
      <c r="A59" s="8">
        <f t="shared" si="13"/>
        <v>54</v>
      </c>
      <c r="B59" s="20">
        <f>+'Channel 3 Sales'!C59</f>
        <v>1188.7651125000002</v>
      </c>
      <c r="C59" s="21">
        <v>56094.431768264119</v>
      </c>
      <c r="D59" s="22">
        <f t="shared" si="7"/>
        <v>364.65187500000002</v>
      </c>
      <c r="E59" s="22">
        <f t="shared" si="8"/>
        <v>20454939.721357077</v>
      </c>
      <c r="F59" s="22">
        <f t="shared" si="9"/>
        <v>-4090987.9442714155</v>
      </c>
      <c r="G59" s="22">
        <f t="shared" si="10"/>
        <v>-5113734.9303392693</v>
      </c>
      <c r="H59" s="22">
        <f t="shared" si="11"/>
        <v>-8181975.8885428309</v>
      </c>
      <c r="I59" s="22">
        <f t="shared" si="12"/>
        <v>3068240.9582035616</v>
      </c>
      <c r="J59" s="23">
        <f t="shared" si="14"/>
        <v>76234259.550628304</v>
      </c>
    </row>
    <row r="60" spans="1:10" x14ac:dyDescent="0.3">
      <c r="A60" s="8">
        <f t="shared" si="13"/>
        <v>55</v>
      </c>
      <c r="B60" s="20">
        <f>+'Channel 3 Sales'!C60</f>
        <v>1188.7651125000002</v>
      </c>
      <c r="C60" s="21">
        <v>57235.255535234923</v>
      </c>
      <c r="D60" s="22">
        <f t="shared" si="7"/>
        <v>364.65187500000002</v>
      </c>
      <c r="E60" s="22">
        <f t="shared" si="8"/>
        <v>20870943.247027542</v>
      </c>
      <c r="F60" s="22">
        <f t="shared" si="9"/>
        <v>-4174188.6494055088</v>
      </c>
      <c r="G60" s="22">
        <f t="shared" si="10"/>
        <v>-5217735.8117568856</v>
      </c>
      <c r="H60" s="22">
        <f t="shared" si="11"/>
        <v>-8348377.2988110175</v>
      </c>
      <c r="I60" s="22">
        <f t="shared" si="12"/>
        <v>3130641.4870541291</v>
      </c>
      <c r="J60" s="23">
        <f t="shared" si="14"/>
        <v>79364901.037682429</v>
      </c>
    </row>
    <row r="61" spans="1:10" x14ac:dyDescent="0.3">
      <c r="A61" s="8">
        <f t="shared" si="13"/>
        <v>56</v>
      </c>
      <c r="B61" s="20">
        <f>+'Channel 3 Sales'!C61</f>
        <v>1188.7651125000002</v>
      </c>
      <c r="C61" s="21">
        <v>58375.453260540286</v>
      </c>
      <c r="D61" s="22">
        <f t="shared" si="7"/>
        <v>364.65187500000002</v>
      </c>
      <c r="E61" s="22">
        <f t="shared" si="8"/>
        <v>21286718.485430881</v>
      </c>
      <c r="F61" s="22">
        <f t="shared" si="9"/>
        <v>-4257343.6970861768</v>
      </c>
      <c r="G61" s="22">
        <f t="shared" si="10"/>
        <v>-5321679.6213577203</v>
      </c>
      <c r="H61" s="22">
        <f t="shared" si="11"/>
        <v>-8514687.3941723537</v>
      </c>
      <c r="I61" s="22">
        <f t="shared" si="12"/>
        <v>3193007.7728146296</v>
      </c>
      <c r="J61" s="23">
        <f t="shared" si="14"/>
        <v>82557908.81049706</v>
      </c>
    </row>
    <row r="62" spans="1:10" x14ac:dyDescent="0.3">
      <c r="A62" s="8">
        <f t="shared" si="13"/>
        <v>57</v>
      </c>
      <c r="B62" s="20">
        <f>+'Channel 3 Sales'!C62</f>
        <v>1188.7651125000002</v>
      </c>
      <c r="C62" s="21">
        <v>59515.036449913132</v>
      </c>
      <c r="D62" s="22">
        <f t="shared" si="7"/>
        <v>364.65187500000002</v>
      </c>
      <c r="E62" s="22">
        <f t="shared" si="8"/>
        <v>21702269.632154167</v>
      </c>
      <c r="F62" s="22">
        <f t="shared" si="9"/>
        <v>-4340453.9264308335</v>
      </c>
      <c r="G62" s="22">
        <f t="shared" si="10"/>
        <v>-5425567.4080385417</v>
      </c>
      <c r="H62" s="22">
        <f t="shared" si="11"/>
        <v>-8680907.8528616671</v>
      </c>
      <c r="I62" s="22">
        <f t="shared" si="12"/>
        <v>3255340.4448231254</v>
      </c>
      <c r="J62" s="23">
        <f t="shared" si="14"/>
        <v>85813249.255320191</v>
      </c>
    </row>
    <row r="63" spans="1:10" x14ac:dyDescent="0.3">
      <c r="A63" s="8">
        <f t="shared" si="13"/>
        <v>58</v>
      </c>
      <c r="B63" s="20">
        <f>+'Channel 3 Sales'!C63</f>
        <v>1188.7651125000002</v>
      </c>
      <c r="C63" s="21">
        <v>60654.022110627775</v>
      </c>
      <c r="D63" s="22">
        <f t="shared" si="7"/>
        <v>364.65187500000002</v>
      </c>
      <c r="E63" s="22">
        <f t="shared" si="8"/>
        <v>22117602.888931878</v>
      </c>
      <c r="F63" s="22">
        <f t="shared" si="9"/>
        <v>-4423520.5777863758</v>
      </c>
      <c r="G63" s="22">
        <f t="shared" si="10"/>
        <v>-5529400.7222329695</v>
      </c>
      <c r="H63" s="22">
        <f t="shared" si="11"/>
        <v>-8847041.1555727515</v>
      </c>
      <c r="I63" s="22">
        <f t="shared" si="12"/>
        <v>3317640.4333397821</v>
      </c>
      <c r="J63" s="23">
        <f t="shared" si="14"/>
        <v>89130889.688659966</v>
      </c>
    </row>
    <row r="64" spans="1:10" x14ac:dyDescent="0.3">
      <c r="A64" s="8">
        <f t="shared" si="13"/>
        <v>59</v>
      </c>
      <c r="B64" s="20">
        <f>+'Channel 3 Sales'!C64</f>
        <v>1188.7651125000002</v>
      </c>
      <c r="C64" s="21">
        <v>61792.421652916171</v>
      </c>
      <c r="D64" s="22">
        <f t="shared" si="7"/>
        <v>364.65187500000002</v>
      </c>
      <c r="E64" s="22">
        <f t="shared" si="8"/>
        <v>22532722.416526482</v>
      </c>
      <c r="F64" s="22">
        <f t="shared" si="9"/>
        <v>-4506544.4833052969</v>
      </c>
      <c r="G64" s="22">
        <f t="shared" si="10"/>
        <v>-5633180.6041316204</v>
      </c>
      <c r="H64" s="22">
        <f t="shared" si="11"/>
        <v>-9013088.9666105937</v>
      </c>
      <c r="I64" s="22">
        <f t="shared" si="12"/>
        <v>3379908.3624789696</v>
      </c>
      <c r="J64" s="23">
        <f t="shared" si="14"/>
        <v>92510798.051138937</v>
      </c>
    </row>
    <row r="65" spans="1:10" x14ac:dyDescent="0.3">
      <c r="A65" s="8">
        <f t="shared" si="13"/>
        <v>60</v>
      </c>
      <c r="B65" s="24">
        <f>+'Channel 3 Sales'!C65</f>
        <v>1188.7651125000002</v>
      </c>
      <c r="C65" s="25">
        <v>62930.251995433398</v>
      </c>
      <c r="D65" s="26">
        <f t="shared" si="7"/>
        <v>364.65187500000002</v>
      </c>
      <c r="E65" s="26">
        <f t="shared" si="8"/>
        <v>22947634.384357281</v>
      </c>
      <c r="F65" s="22">
        <f t="shared" si="9"/>
        <v>-4589526.8768714564</v>
      </c>
      <c r="G65" s="26">
        <f t="shared" si="10"/>
        <v>-5736908.5960893203</v>
      </c>
      <c r="H65" s="26">
        <f t="shared" si="11"/>
        <v>-9179053.7537429128</v>
      </c>
      <c r="I65" s="26">
        <f t="shared" si="12"/>
        <v>3442145.1576535925</v>
      </c>
      <c r="J65" s="27">
        <f t="shared" si="14"/>
        <v>95952943.208792537</v>
      </c>
    </row>
    <row r="66" spans="1:10" x14ac:dyDescent="0.3">
      <c r="D66" s="12"/>
      <c r="E66" s="12"/>
      <c r="F66" s="12"/>
      <c r="G66" s="12"/>
      <c r="H66" s="12"/>
      <c r="I66" s="12"/>
      <c r="J66" s="12"/>
    </row>
    <row r="67" spans="1:10" x14ac:dyDescent="0.3">
      <c r="D67" s="12"/>
      <c r="E67" s="12"/>
      <c r="F67" s="12"/>
      <c r="G67" s="12"/>
      <c r="H67" s="12"/>
      <c r="I67" s="12"/>
      <c r="J67" s="12"/>
    </row>
    <row r="68" spans="1:10" x14ac:dyDescent="0.3">
      <c r="D68" s="12"/>
      <c r="E68" s="12"/>
      <c r="F68" s="12"/>
      <c r="G68" s="12"/>
      <c r="H68" s="12"/>
      <c r="I68" s="12"/>
      <c r="J68" s="12"/>
    </row>
    <row r="69" spans="1:10" x14ac:dyDescent="0.3">
      <c r="D69" s="12"/>
      <c r="E69" s="12"/>
      <c r="F69" s="12"/>
      <c r="G69" s="12"/>
      <c r="H69" s="12"/>
      <c r="I69" s="12"/>
      <c r="J69" s="12"/>
    </row>
    <row r="70" spans="1:10" x14ac:dyDescent="0.3">
      <c r="D70" s="12"/>
      <c r="E70" s="12"/>
      <c r="F70" s="12"/>
      <c r="G70" s="12"/>
      <c r="H70" s="12"/>
      <c r="I70" s="12"/>
      <c r="J70" s="12"/>
    </row>
    <row r="71" spans="1:10" x14ac:dyDescent="0.3">
      <c r="D71" s="12"/>
      <c r="E71" s="12"/>
      <c r="F71" s="12"/>
      <c r="G71" s="12"/>
      <c r="H71" s="12"/>
      <c r="I71" s="12"/>
      <c r="J71" s="12"/>
    </row>
    <row r="72" spans="1:10" x14ac:dyDescent="0.3">
      <c r="D72" s="12"/>
      <c r="E72" s="12"/>
      <c r="F72" s="12"/>
      <c r="G72" s="12"/>
      <c r="H72" s="12"/>
      <c r="I72" s="12"/>
      <c r="J72" s="12"/>
    </row>
    <row r="73" spans="1:10" x14ac:dyDescent="0.3">
      <c r="D73" s="12"/>
      <c r="E73" s="12"/>
      <c r="F73" s="12"/>
      <c r="G73" s="12"/>
      <c r="H73" s="12"/>
      <c r="I73" s="12"/>
      <c r="J73" s="12"/>
    </row>
    <row r="74" spans="1:10" x14ac:dyDescent="0.3">
      <c r="D74" s="12"/>
      <c r="E74" s="12"/>
      <c r="F74" s="12"/>
      <c r="G74" s="12"/>
      <c r="H74" s="12"/>
      <c r="I74" s="12"/>
      <c r="J74" s="12"/>
    </row>
    <row r="75" spans="1:10" x14ac:dyDescent="0.3">
      <c r="D75" s="12"/>
      <c r="E75" s="12"/>
      <c r="F75" s="12"/>
      <c r="G75" s="12"/>
      <c r="H75" s="12"/>
      <c r="I75" s="12"/>
      <c r="J75" s="12"/>
    </row>
    <row r="76" spans="1:10" x14ac:dyDescent="0.3">
      <c r="D76" s="12"/>
      <c r="E76" s="12"/>
      <c r="F76" s="12"/>
      <c r="G76" s="12"/>
      <c r="H76" s="12"/>
      <c r="I76" s="12"/>
      <c r="J76" s="12"/>
    </row>
    <row r="77" spans="1:10" x14ac:dyDescent="0.3">
      <c r="D77" s="12"/>
      <c r="E77" s="12"/>
      <c r="F77" s="12"/>
      <c r="G77" s="12"/>
      <c r="H77" s="12"/>
      <c r="I77" s="12"/>
      <c r="J77" s="12"/>
    </row>
    <row r="78" spans="1:10" x14ac:dyDescent="0.3">
      <c r="D78" s="12"/>
      <c r="E78" s="12"/>
      <c r="F78" s="12"/>
      <c r="G78" s="12"/>
      <c r="H78" s="12"/>
      <c r="I78" s="12"/>
      <c r="J78" s="12"/>
    </row>
    <row r="79" spans="1:10" x14ac:dyDescent="0.3">
      <c r="D79" s="12"/>
      <c r="E79" s="12"/>
      <c r="F79" s="12"/>
      <c r="G79" s="12"/>
      <c r="H79" s="12"/>
      <c r="I79" s="12"/>
      <c r="J79" s="12"/>
    </row>
    <row r="80" spans="1:10" x14ac:dyDescent="0.3">
      <c r="D80" s="12"/>
      <c r="E80" s="12"/>
      <c r="F80" s="12"/>
      <c r="G80" s="12"/>
      <c r="H80" s="12"/>
      <c r="I80" s="12"/>
      <c r="J80" s="12"/>
    </row>
    <row r="81" spans="4:10" x14ac:dyDescent="0.3">
      <c r="D81" s="12"/>
      <c r="E81" s="12"/>
      <c r="F81" s="12"/>
      <c r="G81" s="12"/>
      <c r="H81" s="12"/>
      <c r="I81" s="12"/>
      <c r="J81" s="12"/>
    </row>
    <row r="82" spans="4:10" x14ac:dyDescent="0.3">
      <c r="D82" s="12"/>
      <c r="E82" s="12"/>
      <c r="F82" s="12"/>
      <c r="G82" s="12"/>
      <c r="H82" s="12"/>
      <c r="I82" s="12"/>
      <c r="J82" s="12"/>
    </row>
    <row r="83" spans="4:10" x14ac:dyDescent="0.3">
      <c r="D83" s="12"/>
      <c r="E83" s="12"/>
      <c r="F83" s="12"/>
      <c r="G83" s="12"/>
      <c r="H83" s="12"/>
      <c r="I83" s="12"/>
      <c r="J83" s="12"/>
    </row>
    <row r="84" spans="4:10" x14ac:dyDescent="0.3">
      <c r="D84" s="12"/>
      <c r="E84" s="12"/>
      <c r="F84" s="12"/>
      <c r="G84" s="12"/>
      <c r="H84" s="12"/>
      <c r="I84" s="12"/>
      <c r="J84" s="12"/>
    </row>
    <row r="85" spans="4:10" x14ac:dyDescent="0.3">
      <c r="D85" s="12"/>
      <c r="E85" s="12"/>
      <c r="F85" s="12"/>
      <c r="G85" s="12"/>
      <c r="H85" s="12"/>
      <c r="I85" s="12"/>
      <c r="J85" s="12"/>
    </row>
    <row r="86" spans="4:10" x14ac:dyDescent="0.3">
      <c r="D86" s="12"/>
      <c r="E86" s="12"/>
      <c r="F86" s="12"/>
      <c r="G86" s="12"/>
      <c r="H86" s="12"/>
      <c r="I86" s="12"/>
      <c r="J86" s="12"/>
    </row>
    <row r="87" spans="4:10" x14ac:dyDescent="0.3">
      <c r="D87" s="12"/>
      <c r="E87" s="12"/>
      <c r="F87" s="12"/>
      <c r="G87" s="12"/>
      <c r="H87" s="12"/>
      <c r="I87" s="12"/>
      <c r="J87" s="12"/>
    </row>
    <row r="88" spans="4:10" x14ac:dyDescent="0.3">
      <c r="D88" s="12"/>
      <c r="E88" s="12"/>
      <c r="F88" s="12"/>
      <c r="G88" s="12"/>
      <c r="H88" s="12"/>
      <c r="I88" s="12"/>
      <c r="J88" s="12"/>
    </row>
    <row r="89" spans="4:10" x14ac:dyDescent="0.3">
      <c r="D89" s="12"/>
      <c r="E89" s="12"/>
      <c r="F89" s="12"/>
      <c r="G89" s="12"/>
      <c r="H89" s="12"/>
      <c r="I89" s="12"/>
      <c r="J89" s="12"/>
    </row>
    <row r="90" spans="4:10" x14ac:dyDescent="0.3">
      <c r="D90" s="12"/>
      <c r="E90" s="12"/>
      <c r="F90" s="12"/>
      <c r="G90" s="12"/>
      <c r="H90" s="12"/>
      <c r="I90" s="12"/>
      <c r="J90" s="12"/>
    </row>
    <row r="91" spans="4:10" x14ac:dyDescent="0.3">
      <c r="D91" s="12"/>
      <c r="E91" s="12"/>
      <c r="F91" s="12"/>
      <c r="G91" s="12"/>
      <c r="H91" s="12"/>
      <c r="I91" s="12"/>
      <c r="J91" s="12"/>
    </row>
    <row r="92" spans="4:10" x14ac:dyDescent="0.3">
      <c r="D92" s="12"/>
      <c r="E92" s="12"/>
      <c r="F92" s="12"/>
      <c r="G92" s="12"/>
      <c r="H92" s="12"/>
      <c r="I92" s="12"/>
      <c r="J92" s="12"/>
    </row>
    <row r="93" spans="4:10" x14ac:dyDescent="0.3">
      <c r="D93" s="12"/>
      <c r="E93" s="12"/>
      <c r="F93" s="12"/>
      <c r="G93" s="12"/>
      <c r="H93" s="12"/>
      <c r="I93" s="12"/>
      <c r="J93" s="12"/>
    </row>
    <row r="94" spans="4:10" x14ac:dyDescent="0.3">
      <c r="D94" s="12"/>
      <c r="E94" s="12"/>
      <c r="F94" s="12"/>
      <c r="G94" s="12"/>
      <c r="H94" s="12"/>
      <c r="I94" s="12"/>
      <c r="J94" s="12"/>
    </row>
    <row r="95" spans="4:10" x14ac:dyDescent="0.3">
      <c r="D95" s="12"/>
      <c r="E95" s="12"/>
      <c r="F95" s="12"/>
      <c r="G95" s="12"/>
      <c r="H95" s="12"/>
      <c r="I95" s="12"/>
      <c r="J95" s="12"/>
    </row>
    <row r="96" spans="4:10" x14ac:dyDescent="0.3">
      <c r="D96" s="12"/>
      <c r="E96" s="12"/>
      <c r="F96" s="12"/>
      <c r="G96" s="12"/>
      <c r="H96" s="12"/>
      <c r="I96" s="12"/>
      <c r="J96" s="12"/>
    </row>
    <row r="97" spans="4:10" x14ac:dyDescent="0.3">
      <c r="D97" s="12"/>
      <c r="E97" s="12"/>
      <c r="F97" s="12"/>
      <c r="G97" s="12"/>
      <c r="H97" s="12"/>
      <c r="I97" s="12"/>
      <c r="J97" s="12"/>
    </row>
    <row r="98" spans="4:10" x14ac:dyDescent="0.3">
      <c r="D98" s="12"/>
      <c r="E98" s="12"/>
      <c r="F98" s="12"/>
      <c r="G98" s="12"/>
      <c r="H98" s="12"/>
      <c r="I98" s="12"/>
      <c r="J98" s="12"/>
    </row>
    <row r="99" spans="4:10" x14ac:dyDescent="0.3">
      <c r="D99" s="12"/>
      <c r="E99" s="12"/>
      <c r="F99" s="12"/>
      <c r="G99" s="12"/>
      <c r="H99" s="12"/>
      <c r="I99" s="12"/>
      <c r="J99" s="12"/>
    </row>
    <row r="100" spans="4:10" x14ac:dyDescent="0.3">
      <c r="D100" s="12"/>
      <c r="E100" s="12"/>
      <c r="F100" s="12"/>
      <c r="G100" s="12"/>
      <c r="H100" s="12"/>
      <c r="I100" s="12"/>
      <c r="J100" s="12"/>
    </row>
    <row r="101" spans="4:10" x14ac:dyDescent="0.3">
      <c r="D101" s="12"/>
      <c r="E101" s="12"/>
      <c r="F101" s="12"/>
      <c r="G101" s="12"/>
      <c r="H101" s="12"/>
      <c r="I101" s="12"/>
      <c r="J101" s="12"/>
    </row>
    <row r="102" spans="4:10" x14ac:dyDescent="0.3">
      <c r="D102" s="12"/>
      <c r="E102" s="12"/>
      <c r="F102" s="12"/>
      <c r="G102" s="12"/>
      <c r="H102" s="12"/>
      <c r="I102" s="12"/>
      <c r="J102" s="12"/>
    </row>
    <row r="103" spans="4:10" x14ac:dyDescent="0.3">
      <c r="D103" s="12"/>
      <c r="E103" s="12"/>
      <c r="F103" s="12"/>
      <c r="G103" s="12"/>
      <c r="H103" s="12"/>
      <c r="I103" s="12"/>
      <c r="J103" s="12"/>
    </row>
    <row r="104" spans="4:10" x14ac:dyDescent="0.3">
      <c r="D104" s="12"/>
      <c r="E104" s="12"/>
      <c r="F104" s="12"/>
      <c r="G104" s="12"/>
      <c r="H104" s="12"/>
      <c r="I104" s="12"/>
      <c r="J104" s="12"/>
    </row>
    <row r="105" spans="4:10" x14ac:dyDescent="0.3">
      <c r="D105" s="12"/>
      <c r="E105" s="12"/>
      <c r="F105" s="12"/>
      <c r="G105" s="12"/>
      <c r="H105" s="12"/>
      <c r="I105" s="12"/>
      <c r="J105" s="12"/>
    </row>
    <row r="106" spans="4:10" x14ac:dyDescent="0.3">
      <c r="D106" s="12"/>
      <c r="E106" s="12"/>
      <c r="F106" s="12"/>
      <c r="G106" s="12"/>
      <c r="H106" s="12"/>
      <c r="I106" s="12"/>
      <c r="J106" s="12"/>
    </row>
    <row r="107" spans="4:10" x14ac:dyDescent="0.3">
      <c r="D107" s="12"/>
      <c r="E107" s="12"/>
      <c r="F107" s="12"/>
      <c r="G107" s="12"/>
      <c r="H107" s="12"/>
      <c r="I107" s="12"/>
      <c r="J107" s="12"/>
    </row>
    <row r="108" spans="4:10" x14ac:dyDescent="0.3">
      <c r="D108" s="12"/>
      <c r="E108" s="12"/>
      <c r="F108" s="12"/>
      <c r="G108" s="12"/>
      <c r="H108" s="12"/>
      <c r="I108" s="12"/>
      <c r="J108" s="12"/>
    </row>
    <row r="109" spans="4:10" x14ac:dyDescent="0.3">
      <c r="D109" s="12"/>
      <c r="E109" s="12"/>
      <c r="F109" s="12"/>
      <c r="G109" s="12"/>
      <c r="H109" s="12"/>
      <c r="I109" s="12"/>
      <c r="J109" s="12"/>
    </row>
    <row r="110" spans="4:10" x14ac:dyDescent="0.3">
      <c r="D110" s="12"/>
      <c r="E110" s="12"/>
      <c r="F110" s="12"/>
      <c r="G110" s="12"/>
      <c r="H110" s="12"/>
      <c r="I110" s="12"/>
      <c r="J110" s="12"/>
    </row>
    <row r="111" spans="4:10" x14ac:dyDescent="0.3">
      <c r="D111" s="12"/>
      <c r="E111" s="12"/>
      <c r="F111" s="12"/>
      <c r="G111" s="12"/>
      <c r="H111" s="12"/>
      <c r="I111" s="12"/>
      <c r="J111" s="12"/>
    </row>
    <row r="112" spans="4:10" x14ac:dyDescent="0.3">
      <c r="D112" s="12"/>
      <c r="E112" s="12"/>
      <c r="F112" s="12"/>
      <c r="G112" s="12"/>
      <c r="H112" s="12"/>
      <c r="I112" s="12"/>
      <c r="J112" s="12"/>
    </row>
    <row r="113" spans="4:10" x14ac:dyDescent="0.3">
      <c r="D113" s="12"/>
      <c r="E113" s="12"/>
      <c r="F113" s="12"/>
      <c r="G113" s="12"/>
      <c r="H113" s="12"/>
      <c r="I113" s="12"/>
      <c r="J113" s="12"/>
    </row>
    <row r="114" spans="4:10" x14ac:dyDescent="0.3">
      <c r="D114" s="12"/>
      <c r="E114" s="12"/>
      <c r="F114" s="12"/>
      <c r="G114" s="12"/>
      <c r="H114" s="12"/>
      <c r="I114" s="12"/>
      <c r="J114" s="12"/>
    </row>
    <row r="115" spans="4:10" x14ac:dyDescent="0.3">
      <c r="D115" s="12"/>
      <c r="E115" s="12"/>
      <c r="F115" s="12"/>
      <c r="G115" s="12"/>
      <c r="H115" s="12"/>
      <c r="I115" s="12"/>
      <c r="J115" s="12"/>
    </row>
    <row r="116" spans="4:10" x14ac:dyDescent="0.3">
      <c r="D116" s="12"/>
      <c r="E116" s="12"/>
      <c r="F116" s="12"/>
      <c r="G116" s="12"/>
      <c r="H116" s="12"/>
      <c r="I116" s="12"/>
      <c r="J116" s="12"/>
    </row>
    <row r="117" spans="4:10" x14ac:dyDescent="0.3">
      <c r="D117" s="12"/>
      <c r="E117" s="12"/>
      <c r="F117" s="12"/>
      <c r="G117" s="12"/>
      <c r="H117" s="12"/>
      <c r="I117" s="12"/>
      <c r="J117" s="12"/>
    </row>
    <row r="118" spans="4:10" x14ac:dyDescent="0.3">
      <c r="D118" s="12"/>
      <c r="E118" s="12"/>
      <c r="F118" s="12"/>
      <c r="G118" s="12"/>
      <c r="H118" s="12"/>
      <c r="I118" s="12"/>
      <c r="J118" s="12"/>
    </row>
    <row r="119" spans="4:10" x14ac:dyDescent="0.3">
      <c r="D119" s="12"/>
      <c r="E119" s="12"/>
      <c r="F119" s="12"/>
      <c r="G119" s="12"/>
      <c r="H119" s="12"/>
      <c r="I119" s="12"/>
      <c r="J119" s="12"/>
    </row>
    <row r="120" spans="4:10" x14ac:dyDescent="0.3">
      <c r="D120" s="12"/>
      <c r="E120" s="12"/>
      <c r="F120" s="12"/>
      <c r="G120" s="12"/>
      <c r="H120" s="12"/>
      <c r="I120" s="12"/>
      <c r="J120" s="12"/>
    </row>
    <row r="121" spans="4:10" x14ac:dyDescent="0.3">
      <c r="D121" s="12"/>
      <c r="E121" s="12"/>
      <c r="F121" s="12"/>
      <c r="G121" s="12"/>
      <c r="H121" s="12"/>
      <c r="I121" s="12"/>
      <c r="J121" s="12"/>
    </row>
    <row r="122" spans="4:10" x14ac:dyDescent="0.3">
      <c r="D122" s="12"/>
      <c r="E122" s="12"/>
      <c r="F122" s="12"/>
      <c r="G122" s="12"/>
      <c r="H122" s="12"/>
      <c r="I122" s="12"/>
      <c r="J122" s="12"/>
    </row>
    <row r="123" spans="4:10" x14ac:dyDescent="0.3">
      <c r="D123" s="12"/>
      <c r="E123" s="12"/>
      <c r="F123" s="12"/>
      <c r="G123" s="12"/>
      <c r="H123" s="12"/>
      <c r="I123" s="12"/>
      <c r="J123" s="12"/>
    </row>
    <row r="124" spans="4:10" x14ac:dyDescent="0.3">
      <c r="D124" s="12"/>
      <c r="E124" s="12"/>
      <c r="F124" s="12"/>
      <c r="G124" s="12"/>
      <c r="H124" s="12"/>
      <c r="I124" s="12"/>
      <c r="J124" s="12"/>
    </row>
    <row r="125" spans="4:10" x14ac:dyDescent="0.3">
      <c r="D125" s="12"/>
      <c r="E125" s="12"/>
      <c r="F125" s="12"/>
      <c r="G125" s="12"/>
      <c r="H125" s="12"/>
      <c r="I125" s="12"/>
      <c r="J125" s="12"/>
    </row>
    <row r="126" spans="4:10" x14ac:dyDescent="0.3">
      <c r="D126" s="12"/>
      <c r="E126" s="12"/>
      <c r="F126" s="12"/>
      <c r="G126" s="12"/>
      <c r="H126" s="12"/>
      <c r="I126" s="12"/>
      <c r="J126" s="12"/>
    </row>
    <row r="127" spans="4:10" x14ac:dyDescent="0.3">
      <c r="D127" s="12"/>
      <c r="E127" s="12"/>
      <c r="F127" s="12"/>
      <c r="G127" s="12"/>
      <c r="H127" s="12"/>
      <c r="I127" s="12"/>
      <c r="J127" s="12"/>
    </row>
    <row r="128" spans="4:10" x14ac:dyDescent="0.3">
      <c r="D128" s="12"/>
      <c r="E128" s="12"/>
      <c r="F128" s="12"/>
      <c r="G128" s="12"/>
      <c r="H128" s="12"/>
      <c r="I128" s="12"/>
      <c r="J128" s="12"/>
    </row>
    <row r="129" spans="4:10" x14ac:dyDescent="0.3">
      <c r="D129" s="12"/>
      <c r="E129" s="12"/>
      <c r="F129" s="12"/>
      <c r="G129" s="12"/>
      <c r="H129" s="12"/>
      <c r="I129" s="12"/>
      <c r="J129" s="12"/>
    </row>
    <row r="130" spans="4:10" x14ac:dyDescent="0.3">
      <c r="D130" s="12"/>
      <c r="E130" s="12"/>
      <c r="F130" s="12"/>
      <c r="G130" s="12"/>
      <c r="H130" s="12"/>
      <c r="I130" s="12"/>
      <c r="J130" s="12"/>
    </row>
    <row r="131" spans="4:10" x14ac:dyDescent="0.3">
      <c r="D131" s="12"/>
      <c r="E131" s="12"/>
      <c r="F131" s="12"/>
      <c r="G131" s="12"/>
      <c r="H131" s="12"/>
      <c r="I131" s="12"/>
      <c r="J131" s="12"/>
    </row>
    <row r="132" spans="4:10" x14ac:dyDescent="0.3">
      <c r="D132" s="12"/>
      <c r="E132" s="12"/>
      <c r="F132" s="12"/>
      <c r="G132" s="12"/>
      <c r="H132" s="12"/>
      <c r="I132" s="12"/>
      <c r="J132" s="12"/>
    </row>
    <row r="133" spans="4:10" x14ac:dyDescent="0.3">
      <c r="D133" s="12"/>
      <c r="E133" s="12"/>
      <c r="F133" s="12"/>
      <c r="G133" s="12"/>
      <c r="H133" s="12"/>
      <c r="I133" s="12"/>
      <c r="J133" s="12"/>
    </row>
    <row r="134" spans="4:10" x14ac:dyDescent="0.3">
      <c r="D134" s="12"/>
      <c r="E134" s="12"/>
      <c r="F134" s="12"/>
      <c r="G134" s="12"/>
      <c r="H134" s="12"/>
      <c r="I134" s="12"/>
      <c r="J134" s="12"/>
    </row>
    <row r="135" spans="4:10" x14ac:dyDescent="0.3">
      <c r="D135" s="12"/>
      <c r="E135" s="12"/>
      <c r="F135" s="12"/>
      <c r="G135" s="12"/>
      <c r="H135" s="12"/>
      <c r="I135" s="12"/>
      <c r="J135" s="12"/>
    </row>
    <row r="136" spans="4:10" x14ac:dyDescent="0.3">
      <c r="D136" s="12"/>
      <c r="E136" s="12"/>
      <c r="F136" s="12"/>
      <c r="G136" s="12"/>
      <c r="H136" s="12"/>
      <c r="I136" s="12"/>
      <c r="J136" s="12"/>
    </row>
    <row r="137" spans="4:10" x14ac:dyDescent="0.3">
      <c r="D137" s="12"/>
      <c r="E137" s="12"/>
      <c r="F137" s="12"/>
      <c r="G137" s="12"/>
      <c r="H137" s="12"/>
      <c r="I137" s="12"/>
      <c r="J137" s="12"/>
    </row>
    <row r="138" spans="4:10" x14ac:dyDescent="0.3">
      <c r="D138" s="12"/>
      <c r="E138" s="12"/>
      <c r="F138" s="12"/>
      <c r="G138" s="12"/>
      <c r="H138" s="12"/>
      <c r="I138" s="12"/>
      <c r="J138" s="12"/>
    </row>
    <row r="139" spans="4:10" x14ac:dyDescent="0.3">
      <c r="D139" s="12"/>
      <c r="E139" s="12"/>
      <c r="F139" s="12"/>
      <c r="G139" s="12"/>
      <c r="H139" s="12"/>
      <c r="I139" s="12"/>
      <c r="J139" s="12"/>
    </row>
    <row r="140" spans="4:10" x14ac:dyDescent="0.3">
      <c r="D140" s="12"/>
      <c r="E140" s="12"/>
      <c r="F140" s="12"/>
      <c r="G140" s="12"/>
      <c r="H140" s="12"/>
      <c r="I140" s="12"/>
      <c r="J140" s="12"/>
    </row>
    <row r="141" spans="4:10" x14ac:dyDescent="0.3">
      <c r="D141" s="12"/>
      <c r="E141" s="12"/>
      <c r="F141" s="12"/>
      <c r="G141" s="12"/>
      <c r="H141" s="12"/>
      <c r="I141" s="12"/>
      <c r="J141" s="12"/>
    </row>
    <row r="142" spans="4:10" x14ac:dyDescent="0.3">
      <c r="D142" s="12"/>
      <c r="E142" s="12"/>
      <c r="F142" s="12"/>
      <c r="G142" s="12"/>
      <c r="H142" s="12"/>
      <c r="I142" s="12"/>
      <c r="J142" s="12"/>
    </row>
    <row r="143" spans="4:10" x14ac:dyDescent="0.3">
      <c r="D143" s="12"/>
      <c r="E143" s="12"/>
      <c r="F143" s="12"/>
      <c r="G143" s="12"/>
      <c r="H143" s="12"/>
      <c r="I143" s="12"/>
      <c r="J143" s="12"/>
    </row>
    <row r="144" spans="4:10" x14ac:dyDescent="0.3">
      <c r="D144" s="12"/>
      <c r="E144" s="12"/>
      <c r="F144" s="12"/>
      <c r="G144" s="12"/>
      <c r="H144" s="12"/>
      <c r="I144" s="12"/>
      <c r="J144" s="12"/>
    </row>
    <row r="145" spans="4:10" x14ac:dyDescent="0.3">
      <c r="D145" s="12"/>
      <c r="E145" s="12"/>
      <c r="F145" s="12"/>
      <c r="G145" s="12"/>
      <c r="H145" s="12"/>
      <c r="I145" s="12"/>
      <c r="J145" s="12"/>
    </row>
    <row r="146" spans="4:10" x14ac:dyDescent="0.3">
      <c r="D146" s="12"/>
      <c r="E146" s="12"/>
      <c r="F146" s="12"/>
      <c r="G146" s="12"/>
      <c r="H146" s="12"/>
      <c r="I146" s="12"/>
      <c r="J146" s="12"/>
    </row>
    <row r="147" spans="4:10" x14ac:dyDescent="0.3">
      <c r="D147" s="12"/>
      <c r="E147" s="12"/>
      <c r="F147" s="12"/>
      <c r="G147" s="12"/>
      <c r="H147" s="12"/>
      <c r="I147" s="12"/>
      <c r="J147" s="12"/>
    </row>
    <row r="148" spans="4:10" x14ac:dyDescent="0.3">
      <c r="D148" s="12"/>
      <c r="E148" s="12"/>
      <c r="F148" s="12"/>
      <c r="G148" s="12"/>
      <c r="H148" s="12"/>
      <c r="I148" s="12"/>
      <c r="J148" s="12"/>
    </row>
    <row r="149" spans="4:10" x14ac:dyDescent="0.3">
      <c r="D149" s="12"/>
      <c r="E149" s="12"/>
      <c r="F149" s="12"/>
      <c r="G149" s="12"/>
      <c r="H149" s="12"/>
      <c r="I149" s="12"/>
      <c r="J149" s="12"/>
    </row>
    <row r="150" spans="4:10" x14ac:dyDescent="0.3">
      <c r="D150" s="12"/>
      <c r="E150" s="12"/>
      <c r="F150" s="12"/>
      <c r="G150" s="12"/>
      <c r="H150" s="12"/>
      <c r="I150" s="12"/>
      <c r="J150" s="12"/>
    </row>
    <row r="151" spans="4:10" x14ac:dyDescent="0.3">
      <c r="D151" s="12"/>
      <c r="E151" s="12"/>
      <c r="F151" s="12"/>
      <c r="G151" s="12"/>
      <c r="H151" s="12"/>
      <c r="I151" s="12"/>
      <c r="J151" s="12"/>
    </row>
    <row r="152" spans="4:10" x14ac:dyDescent="0.3">
      <c r="D152" s="12"/>
      <c r="E152" s="12"/>
      <c r="F152" s="12"/>
      <c r="G152" s="12"/>
      <c r="H152" s="12"/>
      <c r="I152" s="12"/>
      <c r="J152" s="12"/>
    </row>
    <row r="153" spans="4:10" x14ac:dyDescent="0.3">
      <c r="D153" s="12"/>
      <c r="E153" s="12"/>
      <c r="F153" s="12"/>
      <c r="G153" s="12"/>
      <c r="H153" s="12"/>
      <c r="I153" s="12"/>
      <c r="J153" s="12"/>
    </row>
    <row r="154" spans="4:10" x14ac:dyDescent="0.3">
      <c r="D154" s="12"/>
      <c r="E154" s="12"/>
      <c r="F154" s="12"/>
      <c r="G154" s="12"/>
      <c r="H154" s="12"/>
      <c r="I154" s="12"/>
      <c r="J154" s="12"/>
    </row>
    <row r="155" spans="4:10" x14ac:dyDescent="0.3">
      <c r="D155" s="12"/>
      <c r="E155" s="12"/>
      <c r="F155" s="12"/>
      <c r="G155" s="12"/>
      <c r="H155" s="12"/>
      <c r="I155" s="12"/>
      <c r="J155" s="12"/>
    </row>
    <row r="156" spans="4:10" x14ac:dyDescent="0.3">
      <c r="D156" s="12"/>
      <c r="E156" s="12"/>
      <c r="F156" s="12"/>
      <c r="G156" s="12"/>
      <c r="H156" s="12"/>
      <c r="I156" s="12"/>
      <c r="J156" s="12"/>
    </row>
    <row r="157" spans="4:10" x14ac:dyDescent="0.3">
      <c r="D157" s="12"/>
      <c r="E157" s="12"/>
      <c r="F157" s="12"/>
      <c r="G157" s="12"/>
      <c r="H157" s="12"/>
      <c r="I157" s="12"/>
      <c r="J157" s="12"/>
    </row>
    <row r="158" spans="4:10" x14ac:dyDescent="0.3">
      <c r="D158" s="12"/>
      <c r="E158" s="12"/>
      <c r="F158" s="12"/>
      <c r="G158" s="12"/>
      <c r="H158" s="12"/>
      <c r="I158" s="12"/>
      <c r="J158" s="12"/>
    </row>
    <row r="159" spans="4:10" x14ac:dyDescent="0.3">
      <c r="D159" s="12"/>
      <c r="E159" s="12"/>
      <c r="F159" s="12"/>
      <c r="G159" s="12"/>
      <c r="H159" s="12"/>
      <c r="I159" s="12"/>
      <c r="J159" s="12"/>
    </row>
    <row r="160" spans="4:10" x14ac:dyDescent="0.3">
      <c r="D160" s="12"/>
      <c r="E160" s="12"/>
      <c r="F160" s="12"/>
      <c r="G160" s="12"/>
      <c r="H160" s="12"/>
      <c r="I160" s="12"/>
      <c r="J160" s="12"/>
    </row>
    <row r="161" spans="4:10" x14ac:dyDescent="0.3">
      <c r="D161" s="12"/>
      <c r="E161" s="12"/>
      <c r="F161" s="12"/>
      <c r="G161" s="12"/>
      <c r="H161" s="12"/>
      <c r="I161" s="12"/>
      <c r="J161" s="12"/>
    </row>
    <row r="162" spans="4:10" x14ac:dyDescent="0.3">
      <c r="D162" s="12"/>
      <c r="E162" s="12"/>
      <c r="F162" s="12"/>
      <c r="G162" s="12"/>
      <c r="H162" s="12"/>
      <c r="I162" s="12"/>
      <c r="J162" s="12"/>
    </row>
    <row r="163" spans="4:10" x14ac:dyDescent="0.3">
      <c r="D163" s="12"/>
      <c r="E163" s="12"/>
      <c r="F163" s="12"/>
      <c r="G163" s="12"/>
      <c r="H163" s="12"/>
      <c r="I163" s="12"/>
      <c r="J163" s="12"/>
    </row>
    <row r="164" spans="4:10" x14ac:dyDescent="0.3">
      <c r="D164" s="12"/>
      <c r="E164" s="12"/>
      <c r="F164" s="12"/>
      <c r="G164" s="12"/>
      <c r="H164" s="12"/>
      <c r="I164" s="12"/>
      <c r="J164" s="12"/>
    </row>
    <row r="165" spans="4:10" x14ac:dyDescent="0.3">
      <c r="D165" s="12"/>
      <c r="E165" s="12"/>
      <c r="F165" s="12"/>
      <c r="G165" s="12"/>
      <c r="H165" s="12"/>
      <c r="I165" s="12"/>
      <c r="J165" s="12"/>
    </row>
    <row r="166" spans="4:10" x14ac:dyDescent="0.3">
      <c r="D166" s="12"/>
      <c r="E166" s="12"/>
      <c r="F166" s="12"/>
      <c r="G166" s="12"/>
      <c r="H166" s="12"/>
      <c r="I166" s="12"/>
      <c r="J166" s="12"/>
    </row>
    <row r="167" spans="4:10" x14ac:dyDescent="0.3">
      <c r="D167" s="12"/>
      <c r="E167" s="12"/>
      <c r="F167" s="12"/>
      <c r="G167" s="12"/>
      <c r="H167" s="12"/>
      <c r="I167" s="12"/>
      <c r="J167" s="12"/>
    </row>
    <row r="168" spans="4:10" x14ac:dyDescent="0.3">
      <c r="D168" s="12"/>
      <c r="E168" s="12"/>
      <c r="F168" s="12"/>
      <c r="G168" s="12"/>
      <c r="H168" s="12"/>
      <c r="I168" s="12"/>
      <c r="J168" s="12"/>
    </row>
    <row r="169" spans="4:10" x14ac:dyDescent="0.3">
      <c r="D169" s="12"/>
      <c r="E169" s="12"/>
      <c r="F169" s="12"/>
      <c r="G169" s="12"/>
      <c r="H169" s="12"/>
      <c r="I169" s="12"/>
      <c r="J169" s="12"/>
    </row>
    <row r="170" spans="4:10" x14ac:dyDescent="0.3">
      <c r="D170" s="12"/>
      <c r="E170" s="12"/>
      <c r="F170" s="12"/>
      <c r="G170" s="12"/>
      <c r="H170" s="12"/>
      <c r="I170" s="12"/>
      <c r="J170" s="12"/>
    </row>
    <row r="171" spans="4:10" x14ac:dyDescent="0.3">
      <c r="D171" s="12"/>
      <c r="E171" s="12"/>
      <c r="F171" s="12"/>
      <c r="G171" s="12"/>
      <c r="H171" s="12"/>
      <c r="I171" s="12"/>
      <c r="J171" s="12"/>
    </row>
  </sheetData>
  <conditionalFormatting sqref="A1:AE1048576">
    <cfRule type="cellIs" dxfId="15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O67"/>
  <sheetViews>
    <sheetView topLeftCell="A2" zoomScale="120" zoomScaleNormal="120" workbookViewId="0">
      <selection activeCell="F2" sqref="F2:F3"/>
    </sheetView>
  </sheetViews>
  <sheetFormatPr defaultColWidth="9.109375" defaultRowHeight="14.4" x14ac:dyDescent="0.3"/>
  <cols>
    <col min="1" max="5" width="9.109375" style="5"/>
    <col min="6" max="6" width="13.109375" style="5" customWidth="1"/>
    <col min="7" max="7" width="9.33203125" style="5" customWidth="1"/>
    <col min="8" max="9" width="10.44140625" style="5" customWidth="1"/>
    <col min="10" max="30" width="10.6640625" style="5" customWidth="1"/>
    <col min="31" max="31" width="15.6640625" style="5" customWidth="1"/>
    <col min="32" max="44" width="10.6640625" style="5" customWidth="1"/>
    <col min="45" max="66" width="11.6640625" style="5" customWidth="1"/>
    <col min="67" max="16384" width="9.109375" style="5"/>
  </cols>
  <sheetData>
    <row r="2" spans="1:67" x14ac:dyDescent="0.3">
      <c r="F2" s="8" t="s">
        <v>106</v>
      </c>
      <c r="G2" s="4">
        <f>+'Inputs &amp; Assuptions'!$B$4</f>
        <v>6000</v>
      </c>
      <c r="BN2" s="30"/>
    </row>
    <row r="3" spans="1:67" x14ac:dyDescent="0.3">
      <c r="F3" s="8" t="s">
        <v>107</v>
      </c>
      <c r="G3" s="15">
        <f>+'Inputs &amp; Assuptions'!$B$5</f>
        <v>0.05</v>
      </c>
      <c r="BN3" s="30"/>
    </row>
    <row r="4" spans="1:67" x14ac:dyDescent="0.3">
      <c r="BN4" s="30"/>
    </row>
    <row r="5" spans="1:67" x14ac:dyDescent="0.3">
      <c r="A5" s="8"/>
      <c r="B5" s="45" t="s">
        <v>108</v>
      </c>
      <c r="C5" s="45" t="s">
        <v>109</v>
      </c>
      <c r="E5" s="8" t="s">
        <v>16</v>
      </c>
      <c r="F5" s="45">
        <v>1</v>
      </c>
      <c r="G5" s="45">
        <f t="shared" ref="G5:AL5" si="0">+F5+1</f>
        <v>2</v>
      </c>
      <c r="H5" s="45">
        <f t="shared" si="0"/>
        <v>3</v>
      </c>
      <c r="I5" s="45">
        <f t="shared" si="0"/>
        <v>4</v>
      </c>
      <c r="J5" s="45">
        <f t="shared" si="0"/>
        <v>5</v>
      </c>
      <c r="K5" s="45">
        <f t="shared" si="0"/>
        <v>6</v>
      </c>
      <c r="L5" s="45">
        <f t="shared" si="0"/>
        <v>7</v>
      </c>
      <c r="M5" s="45">
        <f t="shared" si="0"/>
        <v>8</v>
      </c>
      <c r="N5" s="45">
        <f t="shared" si="0"/>
        <v>9</v>
      </c>
      <c r="O5" s="45">
        <f t="shared" si="0"/>
        <v>10</v>
      </c>
      <c r="P5" s="45">
        <f t="shared" si="0"/>
        <v>11</v>
      </c>
      <c r="Q5" s="45">
        <f t="shared" si="0"/>
        <v>12</v>
      </c>
      <c r="R5" s="45">
        <f t="shared" si="0"/>
        <v>13</v>
      </c>
      <c r="S5" s="45">
        <f t="shared" si="0"/>
        <v>14</v>
      </c>
      <c r="T5" s="45">
        <f t="shared" si="0"/>
        <v>15</v>
      </c>
      <c r="U5" s="45">
        <f t="shared" si="0"/>
        <v>16</v>
      </c>
      <c r="V5" s="45">
        <f t="shared" si="0"/>
        <v>17</v>
      </c>
      <c r="W5" s="45">
        <f t="shared" si="0"/>
        <v>18</v>
      </c>
      <c r="X5" s="45">
        <f t="shared" si="0"/>
        <v>19</v>
      </c>
      <c r="Y5" s="45">
        <f t="shared" si="0"/>
        <v>20</v>
      </c>
      <c r="Z5" s="45">
        <f t="shared" si="0"/>
        <v>21</v>
      </c>
      <c r="AA5" s="45">
        <f t="shared" si="0"/>
        <v>22</v>
      </c>
      <c r="AB5" s="45">
        <f t="shared" si="0"/>
        <v>23</v>
      </c>
      <c r="AC5" s="45">
        <f t="shared" si="0"/>
        <v>24</v>
      </c>
      <c r="AD5" s="45">
        <f t="shared" si="0"/>
        <v>25</v>
      </c>
      <c r="AE5" s="45">
        <f t="shared" si="0"/>
        <v>26</v>
      </c>
      <c r="AF5" s="45">
        <f t="shared" si="0"/>
        <v>27</v>
      </c>
      <c r="AG5" s="45">
        <f t="shared" si="0"/>
        <v>28</v>
      </c>
      <c r="AH5" s="45">
        <f t="shared" si="0"/>
        <v>29</v>
      </c>
      <c r="AI5" s="45">
        <f t="shared" si="0"/>
        <v>30</v>
      </c>
      <c r="AJ5" s="45">
        <f t="shared" si="0"/>
        <v>31</v>
      </c>
      <c r="AK5" s="45">
        <f t="shared" si="0"/>
        <v>32</v>
      </c>
      <c r="AL5" s="45">
        <f t="shared" si="0"/>
        <v>33</v>
      </c>
      <c r="AM5" s="45">
        <f t="shared" ref="AM5:BM5" si="1">+AL5+1</f>
        <v>34</v>
      </c>
      <c r="AN5" s="45">
        <f t="shared" si="1"/>
        <v>35</v>
      </c>
      <c r="AO5" s="45">
        <f t="shared" si="1"/>
        <v>36</v>
      </c>
      <c r="AP5" s="45">
        <f t="shared" si="1"/>
        <v>37</v>
      </c>
      <c r="AQ5" s="45">
        <f t="shared" si="1"/>
        <v>38</v>
      </c>
      <c r="AR5" s="45">
        <f t="shared" si="1"/>
        <v>39</v>
      </c>
      <c r="AS5" s="45">
        <f t="shared" si="1"/>
        <v>40</v>
      </c>
      <c r="AT5" s="45">
        <f t="shared" si="1"/>
        <v>41</v>
      </c>
      <c r="AU5" s="45">
        <f t="shared" si="1"/>
        <v>42</v>
      </c>
      <c r="AV5" s="45">
        <f t="shared" si="1"/>
        <v>43</v>
      </c>
      <c r="AW5" s="45">
        <f t="shared" si="1"/>
        <v>44</v>
      </c>
      <c r="AX5" s="45">
        <f t="shared" si="1"/>
        <v>45</v>
      </c>
      <c r="AY5" s="45">
        <f t="shared" si="1"/>
        <v>46</v>
      </c>
      <c r="AZ5" s="45">
        <f t="shared" si="1"/>
        <v>47</v>
      </c>
      <c r="BA5" s="45">
        <f t="shared" si="1"/>
        <v>48</v>
      </c>
      <c r="BB5" s="45">
        <f t="shared" si="1"/>
        <v>49</v>
      </c>
      <c r="BC5" s="45">
        <f t="shared" si="1"/>
        <v>50</v>
      </c>
      <c r="BD5" s="45">
        <f t="shared" si="1"/>
        <v>51</v>
      </c>
      <c r="BE5" s="45">
        <f t="shared" si="1"/>
        <v>52</v>
      </c>
      <c r="BF5" s="45">
        <f t="shared" si="1"/>
        <v>53</v>
      </c>
      <c r="BG5" s="45">
        <f t="shared" si="1"/>
        <v>54</v>
      </c>
      <c r="BH5" s="45">
        <f t="shared" si="1"/>
        <v>55</v>
      </c>
      <c r="BI5" s="45">
        <f t="shared" si="1"/>
        <v>56</v>
      </c>
      <c r="BJ5" s="45">
        <f t="shared" si="1"/>
        <v>57</v>
      </c>
      <c r="BK5" s="45">
        <f t="shared" si="1"/>
        <v>58</v>
      </c>
      <c r="BL5" s="45">
        <f t="shared" si="1"/>
        <v>59</v>
      </c>
      <c r="BM5" s="45">
        <f t="shared" si="1"/>
        <v>60</v>
      </c>
    </row>
    <row r="6" spans="1:67" x14ac:dyDescent="0.3">
      <c r="A6" s="71">
        <v>1</v>
      </c>
      <c r="B6" s="79">
        <f>IF(MOD($A6, 12) = 0, $G$2 * 1.05, $G$2)</f>
        <v>6000</v>
      </c>
      <c r="C6" s="80">
        <f>$B6*(1-'Inputs &amp; Assuptions'!$B$12)</f>
        <v>3480.0000000000005</v>
      </c>
      <c r="E6" s="71">
        <v>1</v>
      </c>
      <c r="F6" s="62">
        <f>+$C6</f>
        <v>3480.0000000000005</v>
      </c>
      <c r="G6" s="63" cm="1">
        <f t="array" ref="G6">IF(COLUMN() - ($E6 + 5) &lt; 0, 0,
  IF(COLUMN() - ($E6 + 5) = 0, $F6,
    F6 * (1 - IFERROR(INDEX('Inputs &amp; Assuptions'!$B$13:$B$72, COLUMN() - ($E6 + 5)), 0))
  )
)</f>
        <v>3114.6000000000004</v>
      </c>
      <c r="H6" s="63">
        <f t="array" ref="H6">IF(COLUMN() - ($E6 + 5) &lt; 0, 0,
  IF(COLUMN() - ($E6 + 5) = 0, $F6,
    G6 * (1 - IFERROR(INDEX('Inputs &amp; Assuptions'!$B$13:$B$72, COLUMN() - ($E6 + 5)), 0))
  )
)</f>
        <v>2865.4320000000002</v>
      </c>
      <c r="I6" s="63">
        <f t="array" ref="I6">IF(COLUMN() - ($E6 + 5) &lt; 0, 0,
  IF(COLUMN() - ($E6 + 5) = 0, $F6,
    H6 * (1 - IFERROR(INDEX('Inputs &amp; Assuptions'!$B$13:$B$72, COLUMN() - ($E6 + 5)), 0))
  )
)</f>
        <v>2707.8332399999999</v>
      </c>
      <c r="J6" s="63">
        <f t="array" ref="J6">IF(COLUMN() - ($E6 + 5) &lt; 0, 0,
  IF(COLUMN() - ($E6 + 5) = 0, $F6,
    I6 * (1 - IFERROR(INDEX('Inputs &amp; Assuptions'!$B$13:$B$72, COLUMN() - ($E6 + 5)), 0))
  )
)</f>
        <v>2572.4415779999999</v>
      </c>
      <c r="K6" s="63">
        <f t="array" ref="K6">IF(COLUMN() - ($E6 + 5) &lt; 0, 0,
  IF(COLUMN() - ($E6 + 5) = 0, $F6,
    J6 * (1 - IFERROR(INDEX('Inputs &amp; Assuptions'!$B$13:$B$72, COLUMN() - ($E6 + 5)), 0))
  )
)</f>
        <v>2456.6817069899998</v>
      </c>
      <c r="L6" s="63">
        <f t="array" ref="L6">IF(COLUMN() - ($E6 + 5) &lt; 0, 0,
  IF(COLUMN() - ($E6 + 5) = 0, $F6,
    K6 * (1 - IFERROR(INDEX('Inputs &amp; Assuptions'!$B$13:$B$72, COLUMN() - ($E6 + 5)), 0))
  )
)</f>
        <v>2358.4144387103997</v>
      </c>
      <c r="M6" s="63">
        <f t="array" ref="M6">IF(COLUMN() - ($E6 + 5) &lt; 0, 0,
  IF(COLUMN() - ($E6 + 5) = 0, $F6,
    L6 * (1 - IFERROR(INDEX('Inputs &amp; Assuptions'!$B$13:$B$72, COLUMN() - ($E6 + 5)), 0))
  )
)</f>
        <v>2275.8699333555355</v>
      </c>
      <c r="N6" s="63">
        <f t="array" ref="N6">IF(COLUMN() - ($E6 + 5) &lt; 0, 0,
  IF(COLUMN() - ($E6 + 5) = 0, $F6,
    M6 * (1 - IFERROR(INDEX('Inputs &amp; Assuptions'!$B$13:$B$72, COLUMN() - ($E6 + 5)), 0))
  )
)</f>
        <v>2207.5938353548695</v>
      </c>
      <c r="O6" s="63" cm="1">
        <f t="array" ref="O6">IF(COLUMN() - ($E6 + 5) &lt; 0, 0,
  IF(COLUMN() - ($E6 + 5) = 0, $F6,
    N6 * (1 - IFERROR(INDEX('Inputs &amp; Assuptions'!$B$13:$B$72, COLUMN() - ($E6 + 5)), 0))
  )
)</f>
        <v>2152.4039894709977</v>
      </c>
      <c r="P6" s="63">
        <f t="array" ref="P6">IF(COLUMN() - ($E6 + 5) &lt; 0, 0,
  IF(COLUMN() - ($E6 + 5) = 0, $F6,
    O6 * (1 - IFERROR(INDEX('Inputs &amp; Assuptions'!$B$13:$B$72, COLUMN() - ($E6 + 5)), 0))
  )
)</f>
        <v>2109.3559096815775</v>
      </c>
      <c r="Q6" s="63" cm="1">
        <f t="array" ref="Q6">IF(COLUMN() - ($E6 + 5) &lt; 0, 0,
  IF(COLUMN() - ($E6 + 5) = 0, $F6,
    P6 * (1 - IFERROR(INDEX('Inputs &amp; Assuptions'!$B$13:$B$72, COLUMN() - ($E6 + 5)), 0))
  )
)</f>
        <v>2088.2623505847619</v>
      </c>
      <c r="R6" s="63" cm="1">
        <f t="array" ref="R6">IF(COLUMN() - ($E6 + 5) &lt; 0, 0,
  IF(COLUMN() - ($E6 + 5) = 0, $F6,
    Q6 * (1 - IFERROR(INDEX('Inputs &amp; Assuptions'!$B$13:$B$72, COLUMN() - ($E6 + 5)), 0))
  )
)</f>
        <v>2067.3797270789141</v>
      </c>
      <c r="S6" s="63">
        <f t="array" ref="S6">IF(COLUMN() - ($E6 + 5) &lt; 0, 0,
  IF(COLUMN() - ($E6 + 5) = 0, $F6,
    R6 * (1 - IFERROR(INDEX('Inputs &amp; Assuptions'!$B$13:$B$72, COLUMN() - ($E6 + 5)), 0))
  )
)</f>
        <v>2046.7059298081249</v>
      </c>
      <c r="T6" s="63">
        <f t="array" ref="T6">IF(COLUMN() - ($E6 + 5) &lt; 0, 0,
  IF(COLUMN() - ($E6 + 5) = 0, $F6,
    S6 * (1 - IFERROR(INDEX('Inputs &amp; Assuptions'!$B$13:$B$72, COLUMN() - ($E6 + 5)), 0))
  )
)</f>
        <v>2026.2388705100436</v>
      </c>
      <c r="U6" s="63">
        <f t="array" ref="U6">IF(COLUMN() - ($E6 + 5) &lt; 0, 0,
  IF(COLUMN() - ($E6 + 5) = 0, $F6,
    T6 * (1 - IFERROR(INDEX('Inputs &amp; Assuptions'!$B$13:$B$72, COLUMN() - ($E6 + 5)), 0))
  )
)</f>
        <v>2005.9764818049432</v>
      </c>
      <c r="V6" s="63">
        <f t="array" ref="V6">IF(COLUMN() - ($E6 + 5) &lt; 0, 0,
  IF(COLUMN() - ($E6 + 5) = 0, $F6,
    U6 * (1 - IFERROR(INDEX('Inputs &amp; Assuptions'!$B$13:$B$72, COLUMN() - ($E6 + 5)), 0))
  )
)</f>
        <v>1985.9167169868938</v>
      </c>
      <c r="W6" s="63">
        <f t="array" ref="W6">IF(COLUMN() - ($E6 + 5) &lt; 0, 0,
  IF(COLUMN() - ($E6 + 5) = 0, $F6,
    V6 * (1 - IFERROR(INDEX('Inputs &amp; Assuptions'!$B$13:$B$72, COLUMN() - ($E6 + 5)), 0))
  )
)</f>
        <v>1966.0575498170249</v>
      </c>
      <c r="X6" s="63">
        <f t="array" ref="X6">IF(COLUMN() - ($E6 + 5) &lt; 0, 0,
  IF(COLUMN() - ($E6 + 5) = 0, $F6,
    W6 * (1 - IFERROR(INDEX('Inputs &amp; Assuptions'!$B$13:$B$72, COLUMN() - ($E6 + 5)), 0))
  )
)</f>
        <v>1946.3969743188545</v>
      </c>
      <c r="Y6" s="63">
        <f t="array" ref="Y6">IF(COLUMN() - ($E6 + 5) &lt; 0, 0,
  IF(COLUMN() - ($E6 + 5) = 0, $F6,
    X6 * (1 - IFERROR(INDEX('Inputs &amp; Assuptions'!$B$13:$B$72, COLUMN() - ($E6 + 5)), 0))
  )
)</f>
        <v>1926.933004575666</v>
      </c>
      <c r="Z6" s="63">
        <f t="array" ref="Z6">IF(COLUMN() - ($E6 + 5) &lt; 0, 0,
  IF(COLUMN() - ($E6 + 5) = 0, $F6,
    Y6 * (1 - IFERROR(INDEX('Inputs &amp; Assuptions'!$B$13:$B$72, COLUMN() - ($E6 + 5)), 0))
  )
)</f>
        <v>1907.6636745299093</v>
      </c>
      <c r="AA6" s="63">
        <f t="array" ref="AA6">IF(COLUMN() - ($E6 + 5) &lt; 0, 0,
  IF(COLUMN() - ($E6 + 5) = 0, $F6,
    Z6 * (1 - IFERROR(INDEX('Inputs &amp; Assuptions'!$B$13:$B$72, COLUMN() - ($E6 + 5)), 0))
  )
)</f>
        <v>1888.5870377846102</v>
      </c>
      <c r="AB6" s="63">
        <f t="array" ref="AB6">IF(COLUMN() - ($E6 + 5) &lt; 0, 0,
  IF(COLUMN() - ($E6 + 5) = 0, $F6,
    AA6 * (1 - IFERROR(INDEX('Inputs &amp; Assuptions'!$B$13:$B$72, COLUMN() - ($E6 + 5)), 0))
  )
)</f>
        <v>1869.7011674067639</v>
      </c>
      <c r="AC6" s="63">
        <f t="array" ref="AC6">IF(COLUMN() - ($E6 + 5) &lt; 0, 0,
  IF(COLUMN() - ($E6 + 5) = 0, $F6,
    AB6 * (1 - IFERROR(INDEX('Inputs &amp; Assuptions'!$B$13:$B$72, COLUMN() - ($E6 + 5)), 0))
  )
)</f>
        <v>1851.0041557326963</v>
      </c>
      <c r="AD6" s="63">
        <f t="array" ref="AD6">IF(COLUMN() - ($E6 + 5) &lt; 0, 0,
  IF(COLUMN() - ($E6 + 5) = 0, $F6,
    AC6 * (1 - IFERROR(INDEX('Inputs &amp; Assuptions'!$B$13:$B$72, COLUMN() - ($E6 + 5)), 0))
  )
)</f>
        <v>1832.4941141753693</v>
      </c>
      <c r="AE6" s="63">
        <f t="array" ref="AE6">IF(COLUMN() - ($E6 + 5) &lt; 0, 0,
  IF(COLUMN() - ($E6 + 5) = 0, $F6,
    AD6 * (1 - IFERROR(INDEX('Inputs &amp; Assuptions'!$B$13:$B$72, COLUMN() - ($E6 + 5)), 0))
  )
)</f>
        <v>1814.1691730336156</v>
      </c>
      <c r="AF6" s="63">
        <f t="array" ref="AF6">IF(COLUMN() - ($E6 + 5) &lt; 0, 0,
  IF(COLUMN() - ($E6 + 5) = 0, $F6,
    AE6 * (1 - IFERROR(INDEX('Inputs &amp; Assuptions'!$B$13:$B$72, COLUMN() - ($E6 + 5)), 0))
  )
)</f>
        <v>1796.0274813032795</v>
      </c>
      <c r="AG6" s="63">
        <f t="array" ref="AG6">IF(COLUMN() - ($E6 + 5) &lt; 0, 0,
  IF(COLUMN() - ($E6 + 5) = 0, $F6,
    AF6 * (1 - IFERROR(INDEX('Inputs &amp; Assuptions'!$B$13:$B$72, COLUMN() - ($E6 + 5)), 0))
  )
)</f>
        <v>1778.0672064902467</v>
      </c>
      <c r="AH6" s="63">
        <f t="array" ref="AH6">IF(COLUMN() - ($E6 + 5) &lt; 0, 0,
  IF(COLUMN() - ($E6 + 5) = 0, $F6,
    AG6 * (1 - IFERROR(INDEX('Inputs &amp; Assuptions'!$B$13:$B$72, COLUMN() - ($E6 + 5)), 0))
  )
)</f>
        <v>1760.2865344253441</v>
      </c>
      <c r="AI6" s="63">
        <f t="array" ref="AI6">IF(COLUMN() - ($E6 + 5) &lt; 0, 0,
  IF(COLUMN() - ($E6 + 5) = 0, $F6,
    AH6 * (1 - IFERROR(INDEX('Inputs &amp; Assuptions'!$B$13:$B$72, COLUMN() - ($E6 + 5)), 0))
  )
)</f>
        <v>1742.6836690810908</v>
      </c>
      <c r="AJ6" s="63">
        <f t="array" ref="AJ6">IF(COLUMN() - ($E6 + 5) &lt; 0, 0,
  IF(COLUMN() - ($E6 + 5) = 0, $F6,
    AI6 * (1 - IFERROR(INDEX('Inputs &amp; Assuptions'!$B$13:$B$72, COLUMN() - ($E6 + 5)), 0))
  )
)</f>
        <v>1725.2568323902799</v>
      </c>
      <c r="AK6" s="63">
        <f t="array" ref="AK6">IF(COLUMN() - ($E6 + 5) &lt; 0, 0,
  IF(COLUMN() - ($E6 + 5) = 0, $F6,
    AJ6 * (1 - IFERROR(INDEX('Inputs &amp; Assuptions'!$B$13:$B$72, COLUMN() - ($E6 + 5)), 0))
  )
)</f>
        <v>1708.0042640663771</v>
      </c>
      <c r="AL6" s="63">
        <f t="array" ref="AL6">IF(COLUMN() - ($E6 + 5) &lt; 0, 0,
  IF(COLUMN() - ($E6 + 5) = 0, $F6,
    AK6 * (1 - IFERROR(INDEX('Inputs &amp; Assuptions'!$B$13:$B$72, COLUMN() - ($E6 + 5)), 0))
  )
)</f>
        <v>1690.9242214257133</v>
      </c>
      <c r="AM6" s="63">
        <f t="array" ref="AM6">IF(COLUMN() - ($E6 + 5) &lt; 0, 0,
  IF(COLUMN() - ($E6 + 5) = 0, $F6,
    AL6 * (1 - IFERROR(INDEX('Inputs &amp; Assuptions'!$B$13:$B$72, COLUMN() - ($E6 + 5)), 0))
  )
)</f>
        <v>1674.0149792114562</v>
      </c>
      <c r="AN6" s="63">
        <f t="array" ref="AN6">IF(COLUMN() - ($E6 + 5) &lt; 0, 0,
  IF(COLUMN() - ($E6 + 5) = 0, $F6,
    AM6 * (1 - IFERROR(INDEX('Inputs &amp; Assuptions'!$B$13:$B$72, COLUMN() - ($E6 + 5)), 0))
  )
)</f>
        <v>1657.2748294193416</v>
      </c>
      <c r="AO6" s="63">
        <f t="array" ref="AO6">IF(COLUMN() - ($E6 + 5) &lt; 0, 0,
  IF(COLUMN() - ($E6 + 5) = 0, $F6,
    AN6 * (1 - IFERROR(INDEX('Inputs &amp; Assuptions'!$B$13:$B$72, COLUMN() - ($E6 + 5)), 0))
  )
)</f>
        <v>1640.7020811251482</v>
      </c>
      <c r="AP6" s="63">
        <f t="array" ref="AP6">IF(COLUMN() - ($E6 + 5) &lt; 0, 0,
  IF(COLUMN() - ($E6 + 5) = 0, $F6,
    AO6 * (1 - IFERROR(INDEX('Inputs &amp; Assuptions'!$B$13:$B$72, COLUMN() - ($E6 + 5)), 0))
  )
)</f>
        <v>1624.2950603138968</v>
      </c>
      <c r="AQ6" s="63">
        <f t="array" ref="AQ6">IF(COLUMN() - ($E6 + 5) &lt; 0, 0,
  IF(COLUMN() - ($E6 + 5) = 0, $F6,
    AP6 * (1 - IFERROR(INDEX('Inputs &amp; Assuptions'!$B$13:$B$72, COLUMN() - ($E6 + 5)), 0))
  )
)</f>
        <v>1608.0521097107578</v>
      </c>
      <c r="AR6" s="63">
        <f t="array" ref="AR6">IF(COLUMN() - ($E6 + 5) &lt; 0, 0,
  IF(COLUMN() - ($E6 + 5) = 0, $F6,
    AQ6 * (1 - IFERROR(INDEX('Inputs &amp; Assuptions'!$B$13:$B$72, COLUMN() - ($E6 + 5)), 0))
  )
)</f>
        <v>1591.9715886136503</v>
      </c>
      <c r="AS6" s="63">
        <f t="array" ref="AS6">IF(COLUMN() - ($E6 + 5) &lt; 0, 0,
  IF(COLUMN() - ($E6 + 5) = 0, $F6,
    AR6 * (1 - IFERROR(INDEX('Inputs &amp; Assuptions'!$B$13:$B$72, COLUMN() - ($E6 + 5)), 0))
  )
)</f>
        <v>1576.0518727275137</v>
      </c>
      <c r="AT6" s="63">
        <f t="array" ref="AT6">IF(COLUMN() - ($E6 + 5) &lt; 0, 0,
  IF(COLUMN() - ($E6 + 5) = 0, $F6,
    AS6 * (1 - IFERROR(INDEX('Inputs &amp; Assuptions'!$B$13:$B$72, COLUMN() - ($E6 + 5)), 0))
  )
)</f>
        <v>1560.2913540002385</v>
      </c>
      <c r="AU6" s="63">
        <f t="array" ref="AU6">IF(COLUMN() - ($E6 + 5) &lt; 0, 0,
  IF(COLUMN() - ($E6 + 5) = 0, $F6,
    AT6 * (1 - IFERROR(INDEX('Inputs &amp; Assuptions'!$B$13:$B$72, COLUMN() - ($E6 + 5)), 0))
  )
)</f>
        <v>1544.6884404602361</v>
      </c>
      <c r="AV6" s="63">
        <f t="array" ref="AV6">IF(COLUMN() - ($E6 + 5) &lt; 0, 0,
  IF(COLUMN() - ($E6 + 5) = 0, $F6,
    AU6 * (1 - IFERROR(INDEX('Inputs &amp; Assuptions'!$B$13:$B$72, COLUMN() - ($E6 + 5)), 0))
  )
)</f>
        <v>1529.2415560556337</v>
      </c>
      <c r="AW6" s="63">
        <f t="array" ref="AW6">IF(COLUMN() - ($E6 + 5) &lt; 0, 0,
  IF(COLUMN() - ($E6 + 5) = 0, $F6,
    AV6 * (1 - IFERROR(INDEX('Inputs &amp; Assuptions'!$B$13:$B$72, COLUMN() - ($E6 + 5)), 0))
  )
)</f>
        <v>1513.9491404950775</v>
      </c>
      <c r="AX6" s="63">
        <f t="array" ref="AX6">IF(COLUMN() - ($E6 + 5) &lt; 0, 0,
  IF(COLUMN() - ($E6 + 5) = 0, $F6,
    AW6 * (1 - IFERROR(INDEX('Inputs &amp; Assuptions'!$B$13:$B$72, COLUMN() - ($E6 + 5)), 0))
  )
)</f>
        <v>1498.8096490901266</v>
      </c>
      <c r="AY6" s="63">
        <f t="array" ref="AY6">IF(COLUMN() - ($E6 + 5) &lt; 0, 0,
  IF(COLUMN() - ($E6 + 5) = 0, $F6,
    AX6 * (1 - IFERROR(INDEX('Inputs &amp; Assuptions'!$B$13:$B$72, COLUMN() - ($E6 + 5)), 0))
  )
)</f>
        <v>1483.8215525992255</v>
      </c>
      <c r="AZ6" s="63">
        <f t="array" ref="AZ6">IF(COLUMN() - ($E6 + 5) &lt; 0, 0,
  IF(COLUMN() - ($E6 + 5) = 0, $F6,
    AY6 * (1 - IFERROR(INDEX('Inputs &amp; Assuptions'!$B$13:$B$72, COLUMN() - ($E6 + 5)), 0))
  )
)</f>
        <v>1468.9833370732333</v>
      </c>
      <c r="BA6" s="63">
        <f t="array" ref="BA6">IF(COLUMN() - ($E6 + 5) &lt; 0, 0,
  IF(COLUMN() - ($E6 + 5) = 0, $F6,
    AZ6 * (1 - IFERROR(INDEX('Inputs &amp; Assuptions'!$B$13:$B$72, COLUMN() - ($E6 + 5)), 0))
  )
)</f>
        <v>1454.2935037025009</v>
      </c>
      <c r="BB6" s="63">
        <f t="array" ref="BB6">IF(COLUMN() - ($E6 + 5) &lt; 0, 0,
  IF(COLUMN() - ($E6 + 5) = 0, $F6,
    BA6 * (1 - IFERROR(INDEX('Inputs &amp; Assuptions'!$B$13:$B$72, COLUMN() - ($E6 + 5)), 0))
  )
)</f>
        <v>1439.7505686654758</v>
      </c>
      <c r="BC6" s="63">
        <f t="array" ref="BC6">IF(COLUMN() - ($E6 + 5) &lt; 0, 0,
  IF(COLUMN() - ($E6 + 5) = 0, $F6,
    BB6 * (1 - IFERROR(INDEX('Inputs &amp; Assuptions'!$B$13:$B$72, COLUMN() - ($E6 + 5)), 0))
  )
)</f>
        <v>1425.3530629788211</v>
      </c>
      <c r="BD6" s="63">
        <f t="array" ref="BD6">IF(COLUMN() - ($E6 + 5) &lt; 0, 0,
  IF(COLUMN() - ($E6 + 5) = 0, $F6,
    BC6 * (1 - IFERROR(INDEX('Inputs &amp; Assuptions'!$B$13:$B$72, COLUMN() - ($E6 + 5)), 0))
  )
)</f>
        <v>1411.0995323490329</v>
      </c>
      <c r="BE6" s="63">
        <f t="array" ref="BE6">IF(COLUMN() - ($E6 + 5) &lt; 0, 0,
  IF(COLUMN() - ($E6 + 5) = 0, $F6,
    BD6 * (1 - IFERROR(INDEX('Inputs &amp; Assuptions'!$B$13:$B$72, COLUMN() - ($E6 + 5)), 0))
  )
)</f>
        <v>1396.9885370255424</v>
      </c>
      <c r="BF6" s="63">
        <f t="array" ref="BF6">IF(COLUMN() - ($E6 + 5) &lt; 0, 0,
  IF(COLUMN() - ($E6 + 5) = 0, $F6,
    BE6 * (1 - IFERROR(INDEX('Inputs &amp; Assuptions'!$B$13:$B$72, COLUMN() - ($E6 + 5)), 0))
  )
)</f>
        <v>1383.0186516552869</v>
      </c>
      <c r="BG6" s="63">
        <f t="array" ref="BG6">IF(COLUMN() - ($E6 + 5) &lt; 0, 0,
  IF(COLUMN() - ($E6 + 5) = 0, $F6,
    BF6 * (1 - IFERROR(INDEX('Inputs &amp; Assuptions'!$B$13:$B$72, COLUMN() - ($E6 + 5)), 0))
  )
)</f>
        <v>1369.188465138734</v>
      </c>
      <c r="BH6" s="63">
        <f t="array" ref="BH6">IF(COLUMN() - ($E6 + 5) &lt; 0, 0,
  IF(COLUMN() - ($E6 + 5) = 0, $F6,
    BG6 * (1 - IFERROR(INDEX('Inputs &amp; Assuptions'!$B$13:$B$72, COLUMN() - ($E6 + 5)), 0))
  )
)</f>
        <v>1355.4965804873466</v>
      </c>
      <c r="BI6" s="63">
        <f t="array" ref="BI6">IF(COLUMN() - ($E6 + 5) &lt; 0, 0,
  IF(COLUMN() - ($E6 + 5) = 0, $F6,
    BH6 * (1 - IFERROR(INDEX('Inputs &amp; Assuptions'!$B$13:$B$72, COLUMN() - ($E6 + 5)), 0))
  )
)</f>
        <v>1341.9416146824731</v>
      </c>
      <c r="BJ6" s="63">
        <f t="array" ref="BJ6">IF(COLUMN() - ($E6 + 5) &lt; 0, 0,
  IF(COLUMN() - ($E6 + 5) = 0, $F6,
    BI6 * (1 - IFERROR(INDEX('Inputs &amp; Assuptions'!$B$13:$B$72, COLUMN() - ($E6 + 5)), 0))
  )
)</f>
        <v>1328.5221985356484</v>
      </c>
      <c r="BK6" s="63">
        <f t="array" ref="BK6">IF(COLUMN() - ($E6 + 5) &lt; 0, 0,
  IF(COLUMN() - ($E6 + 5) = 0, $F6,
    BJ6 * (1 - IFERROR(INDEX('Inputs &amp; Assuptions'!$B$13:$B$72, COLUMN() - ($E6 + 5)), 0))
  )
)</f>
        <v>1315.236976550292</v>
      </c>
      <c r="BL6" s="63">
        <f t="array" ref="BL6">IF(COLUMN() - ($E6 + 5) &lt; 0, 0,
  IF(COLUMN() - ($E6 + 5) = 0, $F6,
    BK6 * (1 - IFERROR(INDEX('Inputs &amp; Assuptions'!$B$13:$B$72, COLUMN() - ($E6 + 5)), 0))
  )
)</f>
        <v>1302.084606784789</v>
      </c>
      <c r="BM6" s="64" cm="1">
        <f t="array" ref="BM6">IF(COLUMN() - ($E6 + 5) &lt; 0, 0,
  IF(COLUMN() - ($E6 + 5) = 0, $F6,
    BL6 * (1 - IFERROR(INDEX('Inputs &amp; Assuptions'!$B$13:$B$72, COLUMN() - ($E6 + 5)), 0))
  )
)</f>
        <v>1289.063760716941</v>
      </c>
      <c r="BN6" s="33"/>
      <c r="BO6" s="30"/>
    </row>
    <row r="7" spans="1:67" x14ac:dyDescent="0.3">
      <c r="A7" s="71">
        <f t="shared" ref="A7:A38" si="2">A6+1</f>
        <v>2</v>
      </c>
      <c r="B7" s="75">
        <f>IF(MOD($A7-1, 12) = 0, $B6 * 1.05, $B6)</f>
        <v>6000</v>
      </c>
      <c r="C7" s="81">
        <f>$B7*(1-'Inputs &amp; Assuptions'!$B$12)</f>
        <v>3480.0000000000005</v>
      </c>
      <c r="E7" s="71">
        <f t="shared" ref="E7:E38" si="3">E6+1</f>
        <v>2</v>
      </c>
      <c r="F7" s="65"/>
      <c r="G7" s="32">
        <f>+$C7</f>
        <v>3480.0000000000005</v>
      </c>
      <c r="H7" s="32">
        <f t="array" ref="H7">IF(COLUMN() - ($E7 + 5) &lt; 0, 0,
  IF(COLUMN() - ($E7 + 5) = 0, $F7,
    G7 * (1 - IFERROR(INDEX('Inputs &amp; Assuptions'!$B$13:$B$72, COLUMN() - ($E7 + 5)), 0))
  )
)</f>
        <v>3114.6000000000004</v>
      </c>
      <c r="I7" s="32">
        <f t="array" ref="I7">IF(COLUMN() - ($E7 + 5) &lt; 0, 0,
  IF(COLUMN() - ($E7 + 5) = 0, $F7,
    H7 * (1 - IFERROR(INDEX('Inputs &amp; Assuptions'!$B$13:$B$72, COLUMN() - ($E7 + 5)), 0))
  )
)</f>
        <v>2865.4320000000002</v>
      </c>
      <c r="J7" s="32">
        <f t="array" ref="J7">IF(COLUMN() - ($E7 + 5) &lt; 0, 0,
  IF(COLUMN() - ($E7 + 5) = 0, $F7,
    I7 * (1 - IFERROR(INDEX('Inputs &amp; Assuptions'!$B$13:$B$72, COLUMN() - ($E7 + 5)), 0))
  )
)</f>
        <v>2707.8332399999999</v>
      </c>
      <c r="K7" s="32">
        <f t="array" ref="K7">IF(COLUMN() - ($E7 + 5) &lt; 0, 0,
  IF(COLUMN() - ($E7 + 5) = 0, $F7,
    J7 * (1 - IFERROR(INDEX('Inputs &amp; Assuptions'!$B$13:$B$72, COLUMN() - ($E7 + 5)), 0))
  )
)</f>
        <v>2572.4415779999999</v>
      </c>
      <c r="L7" s="32">
        <f t="array" ref="L7">IF(COLUMN() - ($E7 + 5) &lt; 0, 0,
  IF(COLUMN() - ($E7 + 5) = 0, $F7,
    K7 * (1 - IFERROR(INDEX('Inputs &amp; Assuptions'!$B$13:$B$72, COLUMN() - ($E7 + 5)), 0))
  )
)</f>
        <v>2456.6817069899998</v>
      </c>
      <c r="M7" s="32">
        <f t="array" ref="M7">IF(COLUMN() - ($E7 + 5) &lt; 0, 0,
  IF(COLUMN() - ($E7 + 5) = 0, $F7,
    L7 * (1 - IFERROR(INDEX('Inputs &amp; Assuptions'!$B$13:$B$72, COLUMN() - ($E7 + 5)), 0))
  )
)</f>
        <v>2358.4144387103997</v>
      </c>
      <c r="N7" s="32">
        <f t="array" ref="N7">IF(COLUMN() - ($E7 + 5) &lt; 0, 0,
  IF(COLUMN() - ($E7 + 5) = 0, $F7,
    M7 * (1 - IFERROR(INDEX('Inputs &amp; Assuptions'!$B$13:$B$72, COLUMN() - ($E7 + 5)), 0))
  )
)</f>
        <v>2275.8699333555355</v>
      </c>
      <c r="O7" s="32">
        <f t="array" ref="O7">IF(COLUMN() - ($E7 + 5) &lt; 0, 0,
  IF(COLUMN() - ($E7 + 5) = 0, $F7,
    N7 * (1 - IFERROR(INDEX('Inputs &amp; Assuptions'!$B$13:$B$72, COLUMN() - ($E7 + 5)), 0))
  )
)</f>
        <v>2207.5938353548695</v>
      </c>
      <c r="P7" s="32">
        <f t="array" ref="P7">IF(COLUMN() - ($E7 + 5) &lt; 0, 0,
  IF(COLUMN() - ($E7 + 5) = 0, $F7,
    O7 * (1 - IFERROR(INDEX('Inputs &amp; Assuptions'!$B$13:$B$72, COLUMN() - ($E7 + 5)), 0))
  )
)</f>
        <v>2152.4039894709977</v>
      </c>
      <c r="Q7" s="32">
        <f t="array" ref="Q7">IF(COLUMN() - ($E7 + 5) &lt; 0, 0,
  IF(COLUMN() - ($E7 + 5) = 0, $F7,
    P7 * (1 - IFERROR(INDEX('Inputs &amp; Assuptions'!$B$13:$B$72, COLUMN() - ($E7 + 5)), 0))
  )
)</f>
        <v>2109.3559096815775</v>
      </c>
      <c r="R7" s="32">
        <f t="array" ref="R7">IF(COLUMN() - ($E7 + 5) &lt; 0, 0,
  IF(COLUMN() - ($E7 + 5) = 0, $F7,
    Q7 * (1 - IFERROR(INDEX('Inputs &amp; Assuptions'!$B$13:$B$72, COLUMN() - ($E7 + 5)), 0))
  )
)</f>
        <v>2088.2623505847619</v>
      </c>
      <c r="S7" s="32">
        <f t="array" ref="S7">IF(COLUMN() - ($E7 + 5) &lt; 0, 0,
  IF(COLUMN() - ($E7 + 5) = 0, $F7,
    R7 * (1 - IFERROR(INDEX('Inputs &amp; Assuptions'!$B$13:$B$72, COLUMN() - ($E7 + 5)), 0))
  )
)</f>
        <v>2067.3797270789141</v>
      </c>
      <c r="T7" s="32">
        <f t="array" ref="T7">IF(COLUMN() - ($E7 + 5) &lt; 0, 0,
  IF(COLUMN() - ($E7 + 5) = 0, $F7,
    S7 * (1 - IFERROR(INDEX('Inputs &amp; Assuptions'!$B$13:$B$72, COLUMN() - ($E7 + 5)), 0))
  )
)</f>
        <v>2046.7059298081249</v>
      </c>
      <c r="U7" s="32">
        <f t="array" ref="U7">IF(COLUMN() - ($E7 + 5) &lt; 0, 0,
  IF(COLUMN() - ($E7 + 5) = 0, $F7,
    T7 * (1 - IFERROR(INDEX('Inputs &amp; Assuptions'!$B$13:$B$72, COLUMN() - ($E7 + 5)), 0))
  )
)</f>
        <v>2026.2388705100436</v>
      </c>
      <c r="V7" s="32">
        <f t="array" ref="V7">IF(COLUMN() - ($E7 + 5) &lt; 0, 0,
  IF(COLUMN() - ($E7 + 5) = 0, $F7,
    U7 * (1 - IFERROR(INDEX('Inputs &amp; Assuptions'!$B$13:$B$72, COLUMN() - ($E7 + 5)), 0))
  )
)</f>
        <v>2005.9764818049432</v>
      </c>
      <c r="W7" s="32">
        <f t="array" ref="W7">IF(COLUMN() - ($E7 + 5) &lt; 0, 0,
  IF(COLUMN() - ($E7 + 5) = 0, $F7,
    V7 * (1 - IFERROR(INDEX('Inputs &amp; Assuptions'!$B$13:$B$72, COLUMN() - ($E7 + 5)), 0))
  )
)</f>
        <v>1985.9167169868938</v>
      </c>
      <c r="X7" s="32">
        <f t="array" ref="X7">IF(COLUMN() - ($E7 + 5) &lt; 0, 0,
  IF(COLUMN() - ($E7 + 5) = 0, $F7,
    W7 * (1 - IFERROR(INDEX('Inputs &amp; Assuptions'!$B$13:$B$72, COLUMN() - ($E7 + 5)), 0))
  )
)</f>
        <v>1966.0575498170249</v>
      </c>
      <c r="Y7" s="32">
        <f t="array" ref="Y7">IF(COLUMN() - ($E7 + 5) &lt; 0, 0,
  IF(COLUMN() - ($E7 + 5) = 0, $F7,
    X7 * (1 - IFERROR(INDEX('Inputs &amp; Assuptions'!$B$13:$B$72, COLUMN() - ($E7 + 5)), 0))
  )
)</f>
        <v>1946.3969743188545</v>
      </c>
      <c r="Z7" s="32">
        <f t="array" ref="Z7">IF(COLUMN() - ($E7 + 5) &lt; 0, 0,
  IF(COLUMN() - ($E7 + 5) = 0, $F7,
    Y7 * (1 - IFERROR(INDEX('Inputs &amp; Assuptions'!$B$13:$B$72, COLUMN() - ($E7 + 5)), 0))
  )
)</f>
        <v>1926.933004575666</v>
      </c>
      <c r="AA7" s="32">
        <f t="array" ref="AA7">IF(COLUMN() - ($E7 + 5) &lt; 0, 0,
  IF(COLUMN() - ($E7 + 5) = 0, $F7,
    Z7 * (1 - IFERROR(INDEX('Inputs &amp; Assuptions'!$B$13:$B$72, COLUMN() - ($E7 + 5)), 0))
  )
)</f>
        <v>1907.6636745299093</v>
      </c>
      <c r="AB7" s="32">
        <f t="array" ref="AB7">IF(COLUMN() - ($E7 + 5) &lt; 0, 0,
  IF(COLUMN() - ($E7 + 5) = 0, $F7,
    AA7 * (1 - IFERROR(INDEX('Inputs &amp; Assuptions'!$B$13:$B$72, COLUMN() - ($E7 + 5)), 0))
  )
)</f>
        <v>1888.5870377846102</v>
      </c>
      <c r="AC7" s="32">
        <f t="array" ref="AC7">IF(COLUMN() - ($E7 + 5) &lt; 0, 0,
  IF(COLUMN() - ($E7 + 5) = 0, $F7,
    AB7 * (1 - IFERROR(INDEX('Inputs &amp; Assuptions'!$B$13:$B$72, COLUMN() - ($E7 + 5)), 0))
  )
)</f>
        <v>1869.7011674067639</v>
      </c>
      <c r="AD7" s="32">
        <f t="array" ref="AD7">IF(COLUMN() - ($E7 + 5) &lt; 0, 0,
  IF(COLUMN() - ($E7 + 5) = 0, $F7,
    AC7 * (1 - IFERROR(INDEX('Inputs &amp; Assuptions'!$B$13:$B$72, COLUMN() - ($E7 + 5)), 0))
  )
)</f>
        <v>1851.0041557326963</v>
      </c>
      <c r="AE7" s="32">
        <f t="array" ref="AE7">IF(COLUMN() - ($E7 + 5) &lt; 0, 0,
  IF(COLUMN() - ($E7 + 5) = 0, $F7,
    AD7 * (1 - IFERROR(INDEX('Inputs &amp; Assuptions'!$B$13:$B$72, COLUMN() - ($E7 + 5)), 0))
  )
)</f>
        <v>1832.4941141753693</v>
      </c>
      <c r="AF7" s="32">
        <f t="array" ref="AF7">IF(COLUMN() - ($E7 + 5) &lt; 0, 0,
  IF(COLUMN() - ($E7 + 5) = 0, $F7,
    AE7 * (1 - IFERROR(INDEX('Inputs &amp; Assuptions'!$B$13:$B$72, COLUMN() - ($E7 + 5)), 0))
  )
)</f>
        <v>1814.1691730336156</v>
      </c>
      <c r="AG7" s="32">
        <f t="array" ref="AG7">IF(COLUMN() - ($E7 + 5) &lt; 0, 0,
  IF(COLUMN() - ($E7 + 5) = 0, $F7,
    AF7 * (1 - IFERROR(INDEX('Inputs &amp; Assuptions'!$B$13:$B$72, COLUMN() - ($E7 + 5)), 0))
  )
)</f>
        <v>1796.0274813032795</v>
      </c>
      <c r="AH7" s="32">
        <f t="array" ref="AH7">IF(COLUMN() - ($E7 + 5) &lt; 0, 0,
  IF(COLUMN() - ($E7 + 5) = 0, $F7,
    AG7 * (1 - IFERROR(INDEX('Inputs &amp; Assuptions'!$B$13:$B$72, COLUMN() - ($E7 + 5)), 0))
  )
)</f>
        <v>1778.0672064902467</v>
      </c>
      <c r="AI7" s="32">
        <f t="array" ref="AI7">IF(COLUMN() - ($E7 + 5) &lt; 0, 0,
  IF(COLUMN() - ($E7 + 5) = 0, $F7,
    AH7 * (1 - IFERROR(INDEX('Inputs &amp; Assuptions'!$B$13:$B$72, COLUMN() - ($E7 + 5)), 0))
  )
)</f>
        <v>1760.2865344253441</v>
      </c>
      <c r="AJ7" s="32">
        <f t="array" ref="AJ7">IF(COLUMN() - ($E7 + 5) &lt; 0, 0,
  IF(COLUMN() - ($E7 + 5) = 0, $F7,
    AI7 * (1 - IFERROR(INDEX('Inputs &amp; Assuptions'!$B$13:$B$72, COLUMN() - ($E7 + 5)), 0))
  )
)</f>
        <v>1742.6836690810908</v>
      </c>
      <c r="AK7" s="32">
        <f t="array" ref="AK7">IF(COLUMN() - ($E7 + 5) &lt; 0, 0,
  IF(COLUMN() - ($E7 + 5) = 0, $F7,
    AJ7 * (1 - IFERROR(INDEX('Inputs &amp; Assuptions'!$B$13:$B$72, COLUMN() - ($E7 + 5)), 0))
  )
)</f>
        <v>1725.2568323902799</v>
      </c>
      <c r="AL7" s="32">
        <f t="array" ref="AL7">IF(COLUMN() - ($E7 + 5) &lt; 0, 0,
  IF(COLUMN() - ($E7 + 5) = 0, $F7,
    AK7 * (1 - IFERROR(INDEX('Inputs &amp; Assuptions'!$B$13:$B$72, COLUMN() - ($E7 + 5)), 0))
  )
)</f>
        <v>1708.0042640663771</v>
      </c>
      <c r="AM7" s="32">
        <f t="array" ref="AM7">IF(COLUMN() - ($E7 + 5) &lt; 0, 0,
  IF(COLUMN() - ($E7 + 5) = 0, $F7,
    AL7 * (1 - IFERROR(INDEX('Inputs &amp; Assuptions'!$B$13:$B$72, COLUMN() - ($E7 + 5)), 0))
  )
)</f>
        <v>1690.9242214257133</v>
      </c>
      <c r="AN7" s="32">
        <f t="array" ref="AN7">IF(COLUMN() - ($E7 + 5) &lt; 0, 0,
  IF(COLUMN() - ($E7 + 5) = 0, $F7,
    AM7 * (1 - IFERROR(INDEX('Inputs &amp; Assuptions'!$B$13:$B$72, COLUMN() - ($E7 + 5)), 0))
  )
)</f>
        <v>1674.0149792114562</v>
      </c>
      <c r="AO7" s="32">
        <f t="array" ref="AO7">IF(COLUMN() - ($E7 + 5) &lt; 0, 0,
  IF(COLUMN() - ($E7 + 5) = 0, $F7,
    AN7 * (1 - IFERROR(INDEX('Inputs &amp; Assuptions'!$B$13:$B$72, COLUMN() - ($E7 + 5)), 0))
  )
)</f>
        <v>1657.2748294193416</v>
      </c>
      <c r="AP7" s="32">
        <f t="array" ref="AP7">IF(COLUMN() - ($E7 + 5) &lt; 0, 0,
  IF(COLUMN() - ($E7 + 5) = 0, $F7,
    AO7 * (1 - IFERROR(INDEX('Inputs &amp; Assuptions'!$B$13:$B$72, COLUMN() - ($E7 + 5)), 0))
  )
)</f>
        <v>1640.7020811251482</v>
      </c>
      <c r="AQ7" s="32">
        <f t="array" ref="AQ7">IF(COLUMN() - ($E7 + 5) &lt; 0, 0,
  IF(COLUMN() - ($E7 + 5) = 0, $F7,
    AP7 * (1 - IFERROR(INDEX('Inputs &amp; Assuptions'!$B$13:$B$72, COLUMN() - ($E7 + 5)), 0))
  )
)</f>
        <v>1624.2950603138968</v>
      </c>
      <c r="AR7" s="32">
        <f t="array" ref="AR7">IF(COLUMN() - ($E7 + 5) &lt; 0, 0,
  IF(COLUMN() - ($E7 + 5) = 0, $F7,
    AQ7 * (1 - IFERROR(INDEX('Inputs &amp; Assuptions'!$B$13:$B$72, COLUMN() - ($E7 + 5)), 0))
  )
)</f>
        <v>1608.0521097107578</v>
      </c>
      <c r="AS7" s="32">
        <f t="array" ref="AS7">IF(COLUMN() - ($E7 + 5) &lt; 0, 0,
  IF(COLUMN() - ($E7 + 5) = 0, $F7,
    AR7 * (1 - IFERROR(INDEX('Inputs &amp; Assuptions'!$B$13:$B$72, COLUMN() - ($E7 + 5)), 0))
  )
)</f>
        <v>1591.9715886136503</v>
      </c>
      <c r="AT7" s="32">
        <f t="array" ref="AT7">IF(COLUMN() - ($E7 + 5) &lt; 0, 0,
  IF(COLUMN() - ($E7 + 5) = 0, $F7,
    AS7 * (1 - IFERROR(INDEX('Inputs &amp; Assuptions'!$B$13:$B$72, COLUMN() - ($E7 + 5)), 0))
  )
)</f>
        <v>1576.0518727275137</v>
      </c>
      <c r="AU7" s="32">
        <f t="array" ref="AU7">IF(COLUMN() - ($E7 + 5) &lt; 0, 0,
  IF(COLUMN() - ($E7 + 5) = 0, $F7,
    AT7 * (1 - IFERROR(INDEX('Inputs &amp; Assuptions'!$B$13:$B$72, COLUMN() - ($E7 + 5)), 0))
  )
)</f>
        <v>1560.2913540002385</v>
      </c>
      <c r="AV7" s="32">
        <f t="array" ref="AV7">IF(COLUMN() - ($E7 + 5) &lt; 0, 0,
  IF(COLUMN() - ($E7 + 5) = 0, $F7,
    AU7 * (1 - IFERROR(INDEX('Inputs &amp; Assuptions'!$B$13:$B$72, COLUMN() - ($E7 + 5)), 0))
  )
)</f>
        <v>1544.6884404602361</v>
      </c>
      <c r="AW7" s="32">
        <f t="array" ref="AW7">IF(COLUMN() - ($E7 + 5) &lt; 0, 0,
  IF(COLUMN() - ($E7 + 5) = 0, $F7,
    AV7 * (1 - IFERROR(INDEX('Inputs &amp; Assuptions'!$B$13:$B$72, COLUMN() - ($E7 + 5)), 0))
  )
)</f>
        <v>1529.2415560556337</v>
      </c>
      <c r="AX7" s="32">
        <f t="array" ref="AX7">IF(COLUMN() - ($E7 + 5) &lt; 0, 0,
  IF(COLUMN() - ($E7 + 5) = 0, $F7,
    AW7 * (1 - IFERROR(INDEX('Inputs &amp; Assuptions'!$B$13:$B$72, COLUMN() - ($E7 + 5)), 0))
  )
)</f>
        <v>1513.9491404950775</v>
      </c>
      <c r="AY7" s="32">
        <f t="array" ref="AY7">IF(COLUMN() - ($E7 + 5) &lt; 0, 0,
  IF(COLUMN() - ($E7 + 5) = 0, $F7,
    AX7 * (1 - IFERROR(INDEX('Inputs &amp; Assuptions'!$B$13:$B$72, COLUMN() - ($E7 + 5)), 0))
  )
)</f>
        <v>1498.8096490901266</v>
      </c>
      <c r="AZ7" s="32">
        <f t="array" ref="AZ7">IF(COLUMN() - ($E7 + 5) &lt; 0, 0,
  IF(COLUMN() - ($E7 + 5) = 0, $F7,
    AY7 * (1 - IFERROR(INDEX('Inputs &amp; Assuptions'!$B$13:$B$72, COLUMN() - ($E7 + 5)), 0))
  )
)</f>
        <v>1483.8215525992255</v>
      </c>
      <c r="BA7" s="32">
        <f t="array" ref="BA7">IF(COLUMN() - ($E7 + 5) &lt; 0, 0,
  IF(COLUMN() - ($E7 + 5) = 0, $F7,
    AZ7 * (1 - IFERROR(INDEX('Inputs &amp; Assuptions'!$B$13:$B$72, COLUMN() - ($E7 + 5)), 0))
  )
)</f>
        <v>1468.9833370732333</v>
      </c>
      <c r="BB7" s="32">
        <f t="array" ref="BB7">IF(COLUMN() - ($E7 + 5) &lt; 0, 0,
  IF(COLUMN() - ($E7 + 5) = 0, $F7,
    BA7 * (1 - IFERROR(INDEX('Inputs &amp; Assuptions'!$B$13:$B$72, COLUMN() - ($E7 + 5)), 0))
  )
)</f>
        <v>1454.2935037025009</v>
      </c>
      <c r="BC7" s="32">
        <f t="array" ref="BC7">IF(COLUMN() - ($E7 + 5) &lt; 0, 0,
  IF(COLUMN() - ($E7 + 5) = 0, $F7,
    BB7 * (1 - IFERROR(INDEX('Inputs &amp; Assuptions'!$B$13:$B$72, COLUMN() - ($E7 + 5)), 0))
  )
)</f>
        <v>1439.7505686654758</v>
      </c>
      <c r="BD7" s="32">
        <f t="array" ref="BD7">IF(COLUMN() - ($E7 + 5) &lt; 0, 0,
  IF(COLUMN() - ($E7 + 5) = 0, $F7,
    BC7 * (1 - IFERROR(INDEX('Inputs &amp; Assuptions'!$B$13:$B$72, COLUMN() - ($E7 + 5)), 0))
  )
)</f>
        <v>1425.3530629788211</v>
      </c>
      <c r="BE7" s="32">
        <f t="array" ref="BE7">IF(COLUMN() - ($E7 + 5) &lt; 0, 0,
  IF(COLUMN() - ($E7 + 5) = 0, $F7,
    BD7 * (1 - IFERROR(INDEX('Inputs &amp; Assuptions'!$B$13:$B$72, COLUMN() - ($E7 + 5)), 0))
  )
)</f>
        <v>1411.0995323490329</v>
      </c>
      <c r="BF7" s="32">
        <f t="array" ref="BF7">IF(COLUMN() - ($E7 + 5) &lt; 0, 0,
  IF(COLUMN() - ($E7 + 5) = 0, $F7,
    BE7 * (1 - IFERROR(INDEX('Inputs &amp; Assuptions'!$B$13:$B$72, COLUMN() - ($E7 + 5)), 0))
  )
)</f>
        <v>1396.9885370255424</v>
      </c>
      <c r="BG7" s="32">
        <f t="array" ref="BG7">IF(COLUMN() - ($E7 + 5) &lt; 0, 0,
  IF(COLUMN() - ($E7 + 5) = 0, $F7,
    BF7 * (1 - IFERROR(INDEX('Inputs &amp; Assuptions'!$B$13:$B$72, COLUMN() - ($E7 + 5)), 0))
  )
)</f>
        <v>1383.0186516552869</v>
      </c>
      <c r="BH7" s="32">
        <f t="array" ref="BH7">IF(COLUMN() - ($E7 + 5) &lt; 0, 0,
  IF(COLUMN() - ($E7 + 5) = 0, $F7,
    BG7 * (1 - IFERROR(INDEX('Inputs &amp; Assuptions'!$B$13:$B$72, COLUMN() - ($E7 + 5)), 0))
  )
)</f>
        <v>1369.188465138734</v>
      </c>
      <c r="BI7" s="32">
        <f t="array" ref="BI7">IF(COLUMN() - ($E7 + 5) &lt; 0, 0,
  IF(COLUMN() - ($E7 + 5) = 0, $F7,
    BH7 * (1 - IFERROR(INDEX('Inputs &amp; Assuptions'!$B$13:$B$72, COLUMN() - ($E7 + 5)), 0))
  )
)</f>
        <v>1355.4965804873466</v>
      </c>
      <c r="BJ7" s="32">
        <f t="array" ref="BJ7">IF(COLUMN() - ($E7 + 5) &lt; 0, 0,
  IF(COLUMN() - ($E7 + 5) = 0, $F7,
    BI7 * (1 - IFERROR(INDEX('Inputs &amp; Assuptions'!$B$13:$B$72, COLUMN() - ($E7 + 5)), 0))
  )
)</f>
        <v>1341.9416146824731</v>
      </c>
      <c r="BK7" s="32">
        <f t="array" ref="BK7">IF(COLUMN() - ($E7 + 5) &lt; 0, 0,
  IF(COLUMN() - ($E7 + 5) = 0, $F7,
    BJ7 * (1 - IFERROR(INDEX('Inputs &amp; Assuptions'!$B$13:$B$72, COLUMN() - ($E7 + 5)), 0))
  )
)</f>
        <v>1328.5221985356484</v>
      </c>
      <c r="BL7" s="32">
        <f t="array" ref="BL7">IF(COLUMN() - ($E7 + 5) &lt; 0, 0,
  IF(COLUMN() - ($E7 + 5) = 0, $F7,
    BK7 * (1 - IFERROR(INDEX('Inputs &amp; Assuptions'!$B$13:$B$72, COLUMN() - ($E7 + 5)), 0))
  )
)</f>
        <v>1315.236976550292</v>
      </c>
      <c r="BM7" s="66">
        <f t="array" ref="BM7">IF(COLUMN() - ($E7 + 5) &lt; 0, 0,
  IF(COLUMN() - ($E7 + 5) = 0, $F7,
    BL7 * (1 - IFERROR(INDEX('Inputs &amp; Assuptions'!$B$13:$B$72, COLUMN() - ($E7 + 5)), 0))
  )
)</f>
        <v>1302.084606784789</v>
      </c>
      <c r="BN7" s="33"/>
    </row>
    <row r="8" spans="1:67" x14ac:dyDescent="0.3">
      <c r="A8" s="71">
        <f t="shared" si="2"/>
        <v>3</v>
      </c>
      <c r="B8" s="75">
        <f t="shared" ref="B8:B65" si="4">IF(MOD($A8-1, 12) = 0, $B7 * 1.05, $B7)</f>
        <v>6000</v>
      </c>
      <c r="C8" s="81">
        <f>$B8*(1-'Inputs &amp; Assuptions'!$B$12)</f>
        <v>3480.0000000000005</v>
      </c>
      <c r="E8" s="71">
        <f t="shared" si="3"/>
        <v>3</v>
      </c>
      <c r="F8" s="65"/>
      <c r="G8" s="32"/>
      <c r="H8" s="32">
        <f>+$C8</f>
        <v>3480.0000000000005</v>
      </c>
      <c r="I8" s="32">
        <f t="array" ref="I8">IF(COLUMN() - ($E8 + 5) &lt; 0, 0,
  IF(COLUMN() - ($E8 + 5) = 0, $F8,
    H8 * (1 - IFERROR(INDEX('Inputs &amp; Assuptions'!$B$13:$B$72, COLUMN() - ($E8 + 5)), 0))
  )
)</f>
        <v>3114.6000000000004</v>
      </c>
      <c r="J8" s="32">
        <f t="array" ref="J8">IF(COLUMN() - ($E8 + 5) &lt; 0, 0,
  IF(COLUMN() - ($E8 + 5) = 0, $F8,
    I8 * (1 - IFERROR(INDEX('Inputs &amp; Assuptions'!$B$13:$B$72, COLUMN() - ($E8 + 5)), 0))
  )
)</f>
        <v>2865.4320000000002</v>
      </c>
      <c r="K8" s="32">
        <f t="array" ref="K8">IF(COLUMN() - ($E8 + 5) &lt; 0, 0,
  IF(COLUMN() - ($E8 + 5) = 0, $F8,
    J8 * (1 - IFERROR(INDEX('Inputs &amp; Assuptions'!$B$13:$B$72, COLUMN() - ($E8 + 5)), 0))
  )
)</f>
        <v>2707.8332399999999</v>
      </c>
      <c r="L8" s="32">
        <f t="array" ref="L8">IF(COLUMN() - ($E8 + 5) &lt; 0, 0,
  IF(COLUMN() - ($E8 + 5) = 0, $F8,
    K8 * (1 - IFERROR(INDEX('Inputs &amp; Assuptions'!$B$13:$B$72, COLUMN() - ($E8 + 5)), 0))
  )
)</f>
        <v>2572.4415779999999</v>
      </c>
      <c r="M8" s="32">
        <f t="array" ref="M8">IF(COLUMN() - ($E8 + 5) &lt; 0, 0,
  IF(COLUMN() - ($E8 + 5) = 0, $F8,
    L8 * (1 - IFERROR(INDEX('Inputs &amp; Assuptions'!$B$13:$B$72, COLUMN() - ($E8 + 5)), 0))
  )
)</f>
        <v>2456.6817069899998</v>
      </c>
      <c r="N8" s="32">
        <f t="array" ref="N8">IF(COLUMN() - ($E8 + 5) &lt; 0, 0,
  IF(COLUMN() - ($E8 + 5) = 0, $F8,
    M8 * (1 - IFERROR(INDEX('Inputs &amp; Assuptions'!$B$13:$B$72, COLUMN() - ($E8 + 5)), 0))
  )
)</f>
        <v>2358.4144387103997</v>
      </c>
      <c r="O8" s="32">
        <f t="array" ref="O8">IF(COLUMN() - ($E8 + 5) &lt; 0, 0,
  IF(COLUMN() - ($E8 + 5) = 0, $F8,
    N8 * (1 - IFERROR(INDEX('Inputs &amp; Assuptions'!$B$13:$B$72, COLUMN() - ($E8 + 5)), 0))
  )
)</f>
        <v>2275.8699333555355</v>
      </c>
      <c r="P8" s="32">
        <f t="array" ref="P8">IF(COLUMN() - ($E8 + 5) &lt; 0, 0,
  IF(COLUMN() - ($E8 + 5) = 0, $F8,
    O8 * (1 - IFERROR(INDEX('Inputs &amp; Assuptions'!$B$13:$B$72, COLUMN() - ($E8 + 5)), 0))
  )
)</f>
        <v>2207.5938353548695</v>
      </c>
      <c r="Q8" s="32">
        <f t="array" ref="Q8">IF(COLUMN() - ($E8 + 5) &lt; 0, 0,
  IF(COLUMN() - ($E8 + 5) = 0, $F8,
    P8 * (1 - IFERROR(INDEX('Inputs &amp; Assuptions'!$B$13:$B$72, COLUMN() - ($E8 + 5)), 0))
  )
)</f>
        <v>2152.4039894709977</v>
      </c>
      <c r="R8" s="32">
        <f t="array" ref="R8">IF(COLUMN() - ($E8 + 5) &lt; 0, 0,
  IF(COLUMN() - ($E8 + 5) = 0, $F8,
    Q8 * (1 - IFERROR(INDEX('Inputs &amp; Assuptions'!$B$13:$B$72, COLUMN() - ($E8 + 5)), 0))
  )
)</f>
        <v>2109.3559096815775</v>
      </c>
      <c r="S8" s="32">
        <f t="array" ref="S8">IF(COLUMN() - ($E8 + 5) &lt; 0, 0,
  IF(COLUMN() - ($E8 + 5) = 0, $F8,
    R8 * (1 - IFERROR(INDEX('Inputs &amp; Assuptions'!$B$13:$B$72, COLUMN() - ($E8 + 5)), 0))
  )
)</f>
        <v>2088.2623505847619</v>
      </c>
      <c r="T8" s="32">
        <f t="array" ref="T8">IF(COLUMN() - ($E8 + 5) &lt; 0, 0,
  IF(COLUMN() - ($E8 + 5) = 0, $F8,
    S8 * (1 - IFERROR(INDEX('Inputs &amp; Assuptions'!$B$13:$B$72, COLUMN() - ($E8 + 5)), 0))
  )
)</f>
        <v>2067.3797270789141</v>
      </c>
      <c r="U8" s="32">
        <f t="array" ref="U8">IF(COLUMN() - ($E8 + 5) &lt; 0, 0,
  IF(COLUMN() - ($E8 + 5) = 0, $F8,
    T8 * (1 - IFERROR(INDEX('Inputs &amp; Assuptions'!$B$13:$B$72, COLUMN() - ($E8 + 5)), 0))
  )
)</f>
        <v>2046.7059298081249</v>
      </c>
      <c r="V8" s="32">
        <f t="array" ref="V8">IF(COLUMN() - ($E8 + 5) &lt; 0, 0,
  IF(COLUMN() - ($E8 + 5) = 0, $F8,
    U8 * (1 - IFERROR(INDEX('Inputs &amp; Assuptions'!$B$13:$B$72, COLUMN() - ($E8 + 5)), 0))
  )
)</f>
        <v>2026.2388705100436</v>
      </c>
      <c r="W8" s="32">
        <f t="array" ref="W8">IF(COLUMN() - ($E8 + 5) &lt; 0, 0,
  IF(COLUMN() - ($E8 + 5) = 0, $F8,
    V8 * (1 - IFERROR(INDEX('Inputs &amp; Assuptions'!$B$13:$B$72, COLUMN() - ($E8 + 5)), 0))
  )
)</f>
        <v>2005.9764818049432</v>
      </c>
      <c r="X8" s="32">
        <f t="array" ref="X8">IF(COLUMN() - ($E8 + 5) &lt; 0, 0,
  IF(COLUMN() - ($E8 + 5) = 0, $F8,
    W8 * (1 - IFERROR(INDEX('Inputs &amp; Assuptions'!$B$13:$B$72, COLUMN() - ($E8 + 5)), 0))
  )
)</f>
        <v>1985.9167169868938</v>
      </c>
      <c r="Y8" s="32">
        <f t="array" ref="Y8">IF(COLUMN() - ($E8 + 5) &lt; 0, 0,
  IF(COLUMN() - ($E8 + 5) = 0, $F8,
    X8 * (1 - IFERROR(INDEX('Inputs &amp; Assuptions'!$B$13:$B$72, COLUMN() - ($E8 + 5)), 0))
  )
)</f>
        <v>1966.0575498170249</v>
      </c>
      <c r="Z8" s="32">
        <f t="array" ref="Z8">IF(COLUMN() - ($E8 + 5) &lt; 0, 0,
  IF(COLUMN() - ($E8 + 5) = 0, $F8,
    Y8 * (1 - IFERROR(INDEX('Inputs &amp; Assuptions'!$B$13:$B$72, COLUMN() - ($E8 + 5)), 0))
  )
)</f>
        <v>1946.3969743188545</v>
      </c>
      <c r="AA8" s="32">
        <f t="array" ref="AA8">IF(COLUMN() - ($E8 + 5) &lt; 0, 0,
  IF(COLUMN() - ($E8 + 5) = 0, $F8,
    Z8 * (1 - IFERROR(INDEX('Inputs &amp; Assuptions'!$B$13:$B$72, COLUMN() - ($E8 + 5)), 0))
  )
)</f>
        <v>1926.933004575666</v>
      </c>
      <c r="AB8" s="32">
        <f t="array" ref="AB8">IF(COLUMN() - ($E8 + 5) &lt; 0, 0,
  IF(COLUMN() - ($E8 + 5) = 0, $F8,
    AA8 * (1 - IFERROR(INDEX('Inputs &amp; Assuptions'!$B$13:$B$72, COLUMN() - ($E8 + 5)), 0))
  )
)</f>
        <v>1907.6636745299093</v>
      </c>
      <c r="AC8" s="32">
        <f t="array" ref="AC8">IF(COLUMN() - ($E8 + 5) &lt; 0, 0,
  IF(COLUMN() - ($E8 + 5) = 0, $F8,
    AB8 * (1 - IFERROR(INDEX('Inputs &amp; Assuptions'!$B$13:$B$72, COLUMN() - ($E8 + 5)), 0))
  )
)</f>
        <v>1888.5870377846102</v>
      </c>
      <c r="AD8" s="32">
        <f t="array" ref="AD8">IF(COLUMN() - ($E8 + 5) &lt; 0, 0,
  IF(COLUMN() - ($E8 + 5) = 0, $F8,
    AC8 * (1 - IFERROR(INDEX('Inputs &amp; Assuptions'!$B$13:$B$72, COLUMN() - ($E8 + 5)), 0))
  )
)</f>
        <v>1869.7011674067639</v>
      </c>
      <c r="AE8" s="32">
        <f t="array" ref="AE8">IF(COLUMN() - ($E8 + 5) &lt; 0, 0,
  IF(COLUMN() - ($E8 + 5) = 0, $F8,
    AD8 * (1 - IFERROR(INDEX('Inputs &amp; Assuptions'!$B$13:$B$72, COLUMN() - ($E8 + 5)), 0))
  )
)</f>
        <v>1851.0041557326963</v>
      </c>
      <c r="AF8" s="32">
        <f t="array" ref="AF8">IF(COLUMN() - ($E8 + 5) &lt; 0, 0,
  IF(COLUMN() - ($E8 + 5) = 0, $F8,
    AE8 * (1 - IFERROR(INDEX('Inputs &amp; Assuptions'!$B$13:$B$72, COLUMN() - ($E8 + 5)), 0))
  )
)</f>
        <v>1832.4941141753693</v>
      </c>
      <c r="AG8" s="32">
        <f t="array" ref="AG8">IF(COLUMN() - ($E8 + 5) &lt; 0, 0,
  IF(COLUMN() - ($E8 + 5) = 0, $F8,
    AF8 * (1 - IFERROR(INDEX('Inputs &amp; Assuptions'!$B$13:$B$72, COLUMN() - ($E8 + 5)), 0))
  )
)</f>
        <v>1814.1691730336156</v>
      </c>
      <c r="AH8" s="32">
        <f t="array" ref="AH8">IF(COLUMN() - ($E8 + 5) &lt; 0, 0,
  IF(COLUMN() - ($E8 + 5) = 0, $F8,
    AG8 * (1 - IFERROR(INDEX('Inputs &amp; Assuptions'!$B$13:$B$72, COLUMN() - ($E8 + 5)), 0))
  )
)</f>
        <v>1796.0274813032795</v>
      </c>
      <c r="AI8" s="32">
        <f t="array" ref="AI8">IF(COLUMN() - ($E8 + 5) &lt; 0, 0,
  IF(COLUMN() - ($E8 + 5) = 0, $F8,
    AH8 * (1 - IFERROR(INDEX('Inputs &amp; Assuptions'!$B$13:$B$72, COLUMN() - ($E8 + 5)), 0))
  )
)</f>
        <v>1778.0672064902467</v>
      </c>
      <c r="AJ8" s="32">
        <f t="array" ref="AJ8">IF(COLUMN() - ($E8 + 5) &lt; 0, 0,
  IF(COLUMN() - ($E8 + 5) = 0, $F8,
    AI8 * (1 - IFERROR(INDEX('Inputs &amp; Assuptions'!$B$13:$B$72, COLUMN() - ($E8 + 5)), 0))
  )
)</f>
        <v>1760.2865344253441</v>
      </c>
      <c r="AK8" s="32">
        <f t="array" ref="AK8">IF(COLUMN() - ($E8 + 5) &lt; 0, 0,
  IF(COLUMN() - ($E8 + 5) = 0, $F8,
    AJ8 * (1 - IFERROR(INDEX('Inputs &amp; Assuptions'!$B$13:$B$72, COLUMN() - ($E8 + 5)), 0))
  )
)</f>
        <v>1742.6836690810908</v>
      </c>
      <c r="AL8" s="32">
        <f t="array" ref="AL8">IF(COLUMN() - ($E8 + 5) &lt; 0, 0,
  IF(COLUMN() - ($E8 + 5) = 0, $F8,
    AK8 * (1 - IFERROR(INDEX('Inputs &amp; Assuptions'!$B$13:$B$72, COLUMN() - ($E8 + 5)), 0))
  )
)</f>
        <v>1725.2568323902799</v>
      </c>
      <c r="AM8" s="32">
        <f t="array" ref="AM8">IF(COLUMN() - ($E8 + 5) &lt; 0, 0,
  IF(COLUMN() - ($E8 + 5) = 0, $F8,
    AL8 * (1 - IFERROR(INDEX('Inputs &amp; Assuptions'!$B$13:$B$72, COLUMN() - ($E8 + 5)), 0))
  )
)</f>
        <v>1708.0042640663771</v>
      </c>
      <c r="AN8" s="32">
        <f t="array" ref="AN8">IF(COLUMN() - ($E8 + 5) &lt; 0, 0,
  IF(COLUMN() - ($E8 + 5) = 0, $F8,
    AM8 * (1 - IFERROR(INDEX('Inputs &amp; Assuptions'!$B$13:$B$72, COLUMN() - ($E8 + 5)), 0))
  )
)</f>
        <v>1690.9242214257133</v>
      </c>
      <c r="AO8" s="32">
        <f t="array" ref="AO8">IF(COLUMN() - ($E8 + 5) &lt; 0, 0,
  IF(COLUMN() - ($E8 + 5) = 0, $F8,
    AN8 * (1 - IFERROR(INDEX('Inputs &amp; Assuptions'!$B$13:$B$72, COLUMN() - ($E8 + 5)), 0))
  )
)</f>
        <v>1674.0149792114562</v>
      </c>
      <c r="AP8" s="32">
        <f t="array" ref="AP8">IF(COLUMN() - ($E8 + 5) &lt; 0, 0,
  IF(COLUMN() - ($E8 + 5) = 0, $F8,
    AO8 * (1 - IFERROR(INDEX('Inputs &amp; Assuptions'!$B$13:$B$72, COLUMN() - ($E8 + 5)), 0))
  )
)</f>
        <v>1657.2748294193416</v>
      </c>
      <c r="AQ8" s="32">
        <f t="array" ref="AQ8">IF(COLUMN() - ($E8 + 5) &lt; 0, 0,
  IF(COLUMN() - ($E8 + 5) = 0, $F8,
    AP8 * (1 - IFERROR(INDEX('Inputs &amp; Assuptions'!$B$13:$B$72, COLUMN() - ($E8 + 5)), 0))
  )
)</f>
        <v>1640.7020811251482</v>
      </c>
      <c r="AR8" s="32">
        <f t="array" ref="AR8">IF(COLUMN() - ($E8 + 5) &lt; 0, 0,
  IF(COLUMN() - ($E8 + 5) = 0, $F8,
    AQ8 * (1 - IFERROR(INDEX('Inputs &amp; Assuptions'!$B$13:$B$72, COLUMN() - ($E8 + 5)), 0))
  )
)</f>
        <v>1624.2950603138968</v>
      </c>
      <c r="AS8" s="32">
        <f t="array" ref="AS8">IF(COLUMN() - ($E8 + 5) &lt; 0, 0,
  IF(COLUMN() - ($E8 + 5) = 0, $F8,
    AR8 * (1 - IFERROR(INDEX('Inputs &amp; Assuptions'!$B$13:$B$72, COLUMN() - ($E8 + 5)), 0))
  )
)</f>
        <v>1608.0521097107578</v>
      </c>
      <c r="AT8" s="32">
        <f t="array" ref="AT8">IF(COLUMN() - ($E8 + 5) &lt; 0, 0,
  IF(COLUMN() - ($E8 + 5) = 0, $F8,
    AS8 * (1 - IFERROR(INDEX('Inputs &amp; Assuptions'!$B$13:$B$72, COLUMN() - ($E8 + 5)), 0))
  )
)</f>
        <v>1591.9715886136503</v>
      </c>
      <c r="AU8" s="32">
        <f t="array" ref="AU8">IF(COLUMN() - ($E8 + 5) &lt; 0, 0,
  IF(COLUMN() - ($E8 + 5) = 0, $F8,
    AT8 * (1 - IFERROR(INDEX('Inputs &amp; Assuptions'!$B$13:$B$72, COLUMN() - ($E8 + 5)), 0))
  )
)</f>
        <v>1576.0518727275137</v>
      </c>
      <c r="AV8" s="32">
        <f t="array" ref="AV8">IF(COLUMN() - ($E8 + 5) &lt; 0, 0,
  IF(COLUMN() - ($E8 + 5) = 0, $F8,
    AU8 * (1 - IFERROR(INDEX('Inputs &amp; Assuptions'!$B$13:$B$72, COLUMN() - ($E8 + 5)), 0))
  )
)</f>
        <v>1560.2913540002385</v>
      </c>
      <c r="AW8" s="32">
        <f t="array" ref="AW8">IF(COLUMN() - ($E8 + 5) &lt; 0, 0,
  IF(COLUMN() - ($E8 + 5) = 0, $F8,
    AV8 * (1 - IFERROR(INDEX('Inputs &amp; Assuptions'!$B$13:$B$72, COLUMN() - ($E8 + 5)), 0))
  )
)</f>
        <v>1544.6884404602361</v>
      </c>
      <c r="AX8" s="32">
        <f t="array" ref="AX8">IF(COLUMN() - ($E8 + 5) &lt; 0, 0,
  IF(COLUMN() - ($E8 + 5) = 0, $F8,
    AW8 * (1 - IFERROR(INDEX('Inputs &amp; Assuptions'!$B$13:$B$72, COLUMN() - ($E8 + 5)), 0))
  )
)</f>
        <v>1529.2415560556337</v>
      </c>
      <c r="AY8" s="32">
        <f t="array" ref="AY8">IF(COLUMN() - ($E8 + 5) &lt; 0, 0,
  IF(COLUMN() - ($E8 + 5) = 0, $F8,
    AX8 * (1 - IFERROR(INDEX('Inputs &amp; Assuptions'!$B$13:$B$72, COLUMN() - ($E8 + 5)), 0))
  )
)</f>
        <v>1513.9491404950775</v>
      </c>
      <c r="AZ8" s="32">
        <f t="array" ref="AZ8">IF(COLUMN() - ($E8 + 5) &lt; 0, 0,
  IF(COLUMN() - ($E8 + 5) = 0, $F8,
    AY8 * (1 - IFERROR(INDEX('Inputs &amp; Assuptions'!$B$13:$B$72, COLUMN() - ($E8 + 5)), 0))
  )
)</f>
        <v>1498.8096490901266</v>
      </c>
      <c r="BA8" s="32">
        <f t="array" ref="BA8">IF(COLUMN() - ($E8 + 5) &lt; 0, 0,
  IF(COLUMN() - ($E8 + 5) = 0, $F8,
    AZ8 * (1 - IFERROR(INDEX('Inputs &amp; Assuptions'!$B$13:$B$72, COLUMN() - ($E8 + 5)), 0))
  )
)</f>
        <v>1483.8215525992255</v>
      </c>
      <c r="BB8" s="32">
        <f t="array" ref="BB8">IF(COLUMN() - ($E8 + 5) &lt; 0, 0,
  IF(COLUMN() - ($E8 + 5) = 0, $F8,
    BA8 * (1 - IFERROR(INDEX('Inputs &amp; Assuptions'!$B$13:$B$72, COLUMN() - ($E8 + 5)), 0))
  )
)</f>
        <v>1468.9833370732333</v>
      </c>
      <c r="BC8" s="32">
        <f t="array" ref="BC8">IF(COLUMN() - ($E8 + 5) &lt; 0, 0,
  IF(COLUMN() - ($E8 + 5) = 0, $F8,
    BB8 * (1 - IFERROR(INDEX('Inputs &amp; Assuptions'!$B$13:$B$72, COLUMN() - ($E8 + 5)), 0))
  )
)</f>
        <v>1454.2935037025009</v>
      </c>
      <c r="BD8" s="32">
        <f t="array" ref="BD8">IF(COLUMN() - ($E8 + 5) &lt; 0, 0,
  IF(COLUMN() - ($E8 + 5) = 0, $F8,
    BC8 * (1 - IFERROR(INDEX('Inputs &amp; Assuptions'!$B$13:$B$72, COLUMN() - ($E8 + 5)), 0))
  )
)</f>
        <v>1439.7505686654758</v>
      </c>
      <c r="BE8" s="32">
        <f t="array" ref="BE8">IF(COLUMN() - ($E8 + 5) &lt; 0, 0,
  IF(COLUMN() - ($E8 + 5) = 0, $F8,
    BD8 * (1 - IFERROR(INDEX('Inputs &amp; Assuptions'!$B$13:$B$72, COLUMN() - ($E8 + 5)), 0))
  )
)</f>
        <v>1425.3530629788211</v>
      </c>
      <c r="BF8" s="32">
        <f t="array" ref="BF8">IF(COLUMN() - ($E8 + 5) &lt; 0, 0,
  IF(COLUMN() - ($E8 + 5) = 0, $F8,
    BE8 * (1 - IFERROR(INDEX('Inputs &amp; Assuptions'!$B$13:$B$72, COLUMN() - ($E8 + 5)), 0))
  )
)</f>
        <v>1411.0995323490329</v>
      </c>
      <c r="BG8" s="32">
        <f t="array" ref="BG8">IF(COLUMN() - ($E8 + 5) &lt; 0, 0,
  IF(COLUMN() - ($E8 + 5) = 0, $F8,
    BF8 * (1 - IFERROR(INDEX('Inputs &amp; Assuptions'!$B$13:$B$72, COLUMN() - ($E8 + 5)), 0))
  )
)</f>
        <v>1396.9885370255424</v>
      </c>
      <c r="BH8" s="32">
        <f t="array" ref="BH8">IF(COLUMN() - ($E8 + 5) &lt; 0, 0,
  IF(COLUMN() - ($E8 + 5) = 0, $F8,
    BG8 * (1 - IFERROR(INDEX('Inputs &amp; Assuptions'!$B$13:$B$72, COLUMN() - ($E8 + 5)), 0))
  )
)</f>
        <v>1383.0186516552869</v>
      </c>
      <c r="BI8" s="32">
        <f t="array" ref="BI8">IF(COLUMN() - ($E8 + 5) &lt; 0, 0,
  IF(COLUMN() - ($E8 + 5) = 0, $F8,
    BH8 * (1 - IFERROR(INDEX('Inputs &amp; Assuptions'!$B$13:$B$72, COLUMN() - ($E8 + 5)), 0))
  )
)</f>
        <v>1369.188465138734</v>
      </c>
      <c r="BJ8" s="32">
        <f t="array" ref="BJ8">IF(COLUMN() - ($E8 + 5) &lt; 0, 0,
  IF(COLUMN() - ($E8 + 5) = 0, $F8,
    BI8 * (1 - IFERROR(INDEX('Inputs &amp; Assuptions'!$B$13:$B$72, COLUMN() - ($E8 + 5)), 0))
  )
)</f>
        <v>1355.4965804873466</v>
      </c>
      <c r="BK8" s="32">
        <f t="array" ref="BK8">IF(COLUMN() - ($E8 + 5) &lt; 0, 0,
  IF(COLUMN() - ($E8 + 5) = 0, $F8,
    BJ8 * (1 - IFERROR(INDEX('Inputs &amp; Assuptions'!$B$13:$B$72, COLUMN() - ($E8 + 5)), 0))
  )
)</f>
        <v>1341.9416146824731</v>
      </c>
      <c r="BL8" s="32">
        <f t="array" ref="BL8">IF(COLUMN() - ($E8 + 5) &lt; 0, 0,
  IF(COLUMN() - ($E8 + 5) = 0, $F8,
    BK8 * (1 - IFERROR(INDEX('Inputs &amp; Assuptions'!$B$13:$B$72, COLUMN() - ($E8 + 5)), 0))
  )
)</f>
        <v>1328.5221985356484</v>
      </c>
      <c r="BM8" s="66">
        <f t="array" ref="BM8">IF(COLUMN() - ($E8 + 5) &lt; 0, 0,
  IF(COLUMN() - ($E8 + 5) = 0, $F8,
    BL8 * (1 - IFERROR(INDEX('Inputs &amp; Assuptions'!$B$13:$B$72, COLUMN() - ($E8 + 5)), 0))
  )
)</f>
        <v>1315.236976550292</v>
      </c>
      <c r="BN8" s="33"/>
    </row>
    <row r="9" spans="1:67" x14ac:dyDescent="0.3">
      <c r="A9" s="71">
        <f t="shared" si="2"/>
        <v>4</v>
      </c>
      <c r="B9" s="75">
        <f t="shared" si="4"/>
        <v>6000</v>
      </c>
      <c r="C9" s="81">
        <f>$B9*(1-'Inputs &amp; Assuptions'!$B$12)</f>
        <v>3480.0000000000005</v>
      </c>
      <c r="E9" s="71">
        <f t="shared" si="3"/>
        <v>4</v>
      </c>
      <c r="F9" s="65"/>
      <c r="G9" s="32"/>
      <c r="H9" s="32"/>
      <c r="I9" s="32">
        <f>+$C9</f>
        <v>3480.0000000000005</v>
      </c>
      <c r="J9" s="32">
        <f t="array" ref="J9">IF(COLUMN() - ($E9 + 5) &lt; 0, 0,
  IF(COLUMN() - ($E9 + 5) = 0, $F9,
    I9 * (1 - IFERROR(INDEX('Inputs &amp; Assuptions'!$B$13:$B$72, COLUMN() - ($E9 + 5)), 0))
  )
)</f>
        <v>3114.6000000000004</v>
      </c>
      <c r="K9" s="32">
        <f t="array" ref="K9">IF(COLUMN() - ($E9 + 5) &lt; 0, 0,
  IF(COLUMN() - ($E9 + 5) = 0, $F9,
    J9 * (1 - IFERROR(INDEX('Inputs &amp; Assuptions'!$B$13:$B$72, COLUMN() - ($E9 + 5)), 0))
  )
)</f>
        <v>2865.4320000000002</v>
      </c>
      <c r="L9" s="32">
        <f t="array" ref="L9">IF(COLUMN() - ($E9 + 5) &lt; 0, 0,
  IF(COLUMN() - ($E9 + 5) = 0, $F9,
    K9 * (1 - IFERROR(INDEX('Inputs &amp; Assuptions'!$B$13:$B$72, COLUMN() - ($E9 + 5)), 0))
  )
)</f>
        <v>2707.8332399999999</v>
      </c>
      <c r="M9" s="32">
        <f t="array" ref="M9">IF(COLUMN() - ($E9 + 5) &lt; 0, 0,
  IF(COLUMN() - ($E9 + 5) = 0, $F9,
    L9 * (1 - IFERROR(INDEX('Inputs &amp; Assuptions'!$B$13:$B$72, COLUMN() - ($E9 + 5)), 0))
  )
)</f>
        <v>2572.4415779999999</v>
      </c>
      <c r="N9" s="32">
        <f t="array" ref="N9">IF(COLUMN() - ($E9 + 5) &lt; 0, 0,
  IF(COLUMN() - ($E9 + 5) = 0, $F9,
    M9 * (1 - IFERROR(INDEX('Inputs &amp; Assuptions'!$B$13:$B$72, COLUMN() - ($E9 + 5)), 0))
  )
)</f>
        <v>2456.6817069899998</v>
      </c>
      <c r="O9" s="32">
        <f t="array" ref="O9">IF(COLUMN() - ($E9 + 5) &lt; 0, 0,
  IF(COLUMN() - ($E9 + 5) = 0, $F9,
    N9 * (1 - IFERROR(INDEX('Inputs &amp; Assuptions'!$B$13:$B$72, COLUMN() - ($E9 + 5)), 0))
  )
)</f>
        <v>2358.4144387103997</v>
      </c>
      <c r="P9" s="32">
        <f t="array" ref="P9">IF(COLUMN() - ($E9 + 5) &lt; 0, 0,
  IF(COLUMN() - ($E9 + 5) = 0, $F9,
    O9 * (1 - IFERROR(INDEX('Inputs &amp; Assuptions'!$B$13:$B$72, COLUMN() - ($E9 + 5)), 0))
  )
)</f>
        <v>2275.8699333555355</v>
      </c>
      <c r="Q9" s="32">
        <f t="array" ref="Q9">IF(COLUMN() - ($E9 + 5) &lt; 0, 0,
  IF(COLUMN() - ($E9 + 5) = 0, $F9,
    P9 * (1 - IFERROR(INDEX('Inputs &amp; Assuptions'!$B$13:$B$72, COLUMN() - ($E9 + 5)), 0))
  )
)</f>
        <v>2207.5938353548695</v>
      </c>
      <c r="R9" s="32">
        <f t="array" ref="R9">IF(COLUMN() - ($E9 + 5) &lt; 0, 0,
  IF(COLUMN() - ($E9 + 5) = 0, $F9,
    Q9 * (1 - IFERROR(INDEX('Inputs &amp; Assuptions'!$B$13:$B$72, COLUMN() - ($E9 + 5)), 0))
  )
)</f>
        <v>2152.4039894709977</v>
      </c>
      <c r="S9" s="32">
        <f t="array" ref="S9">IF(COLUMN() - ($E9 + 5) &lt; 0, 0,
  IF(COLUMN() - ($E9 + 5) = 0, $F9,
    R9 * (1 - IFERROR(INDEX('Inputs &amp; Assuptions'!$B$13:$B$72, COLUMN() - ($E9 + 5)), 0))
  )
)</f>
        <v>2109.3559096815775</v>
      </c>
      <c r="T9" s="32">
        <f t="array" ref="T9">IF(COLUMN() - ($E9 + 5) &lt; 0, 0,
  IF(COLUMN() - ($E9 + 5) = 0, $F9,
    S9 * (1 - IFERROR(INDEX('Inputs &amp; Assuptions'!$B$13:$B$72, COLUMN() - ($E9 + 5)), 0))
  )
)</f>
        <v>2088.2623505847619</v>
      </c>
      <c r="U9" s="32">
        <f t="array" ref="U9">IF(COLUMN() - ($E9 + 5) &lt; 0, 0,
  IF(COLUMN() - ($E9 + 5) = 0, $F9,
    T9 * (1 - IFERROR(INDEX('Inputs &amp; Assuptions'!$B$13:$B$72, COLUMN() - ($E9 + 5)), 0))
  )
)</f>
        <v>2067.3797270789141</v>
      </c>
      <c r="V9" s="32">
        <f t="array" ref="V9">IF(COLUMN() - ($E9 + 5) &lt; 0, 0,
  IF(COLUMN() - ($E9 + 5) = 0, $F9,
    U9 * (1 - IFERROR(INDEX('Inputs &amp; Assuptions'!$B$13:$B$72, COLUMN() - ($E9 + 5)), 0))
  )
)</f>
        <v>2046.7059298081249</v>
      </c>
      <c r="W9" s="32">
        <f t="array" ref="W9">IF(COLUMN() - ($E9 + 5) &lt; 0, 0,
  IF(COLUMN() - ($E9 + 5) = 0, $F9,
    V9 * (1 - IFERROR(INDEX('Inputs &amp; Assuptions'!$B$13:$B$72, COLUMN() - ($E9 + 5)), 0))
  )
)</f>
        <v>2026.2388705100436</v>
      </c>
      <c r="X9" s="32">
        <f t="array" ref="X9">IF(COLUMN() - ($E9 + 5) &lt; 0, 0,
  IF(COLUMN() - ($E9 + 5) = 0, $F9,
    W9 * (1 - IFERROR(INDEX('Inputs &amp; Assuptions'!$B$13:$B$72, COLUMN() - ($E9 + 5)), 0))
  )
)</f>
        <v>2005.9764818049432</v>
      </c>
      <c r="Y9" s="32">
        <f t="array" ref="Y9">IF(COLUMN() - ($E9 + 5) &lt; 0, 0,
  IF(COLUMN() - ($E9 + 5) = 0, $F9,
    X9 * (1 - IFERROR(INDEX('Inputs &amp; Assuptions'!$B$13:$B$72, COLUMN() - ($E9 + 5)), 0))
  )
)</f>
        <v>1985.9167169868938</v>
      </c>
      <c r="Z9" s="32">
        <f t="array" ref="Z9">IF(COLUMN() - ($E9 + 5) &lt; 0, 0,
  IF(COLUMN() - ($E9 + 5) = 0, $F9,
    Y9 * (1 - IFERROR(INDEX('Inputs &amp; Assuptions'!$B$13:$B$72, COLUMN() - ($E9 + 5)), 0))
  )
)</f>
        <v>1966.0575498170249</v>
      </c>
      <c r="AA9" s="32">
        <f t="array" ref="AA9">IF(COLUMN() - ($E9 + 5) &lt; 0, 0,
  IF(COLUMN() - ($E9 + 5) = 0, $F9,
    Z9 * (1 - IFERROR(INDEX('Inputs &amp; Assuptions'!$B$13:$B$72, COLUMN() - ($E9 + 5)), 0))
  )
)</f>
        <v>1946.3969743188545</v>
      </c>
      <c r="AB9" s="32">
        <f t="array" ref="AB9">IF(COLUMN() - ($E9 + 5) &lt; 0, 0,
  IF(COLUMN() - ($E9 + 5) = 0, $F9,
    AA9 * (1 - IFERROR(INDEX('Inputs &amp; Assuptions'!$B$13:$B$72, COLUMN() - ($E9 + 5)), 0))
  )
)</f>
        <v>1926.933004575666</v>
      </c>
      <c r="AC9" s="32">
        <f t="array" ref="AC9">IF(COLUMN() - ($E9 + 5) &lt; 0, 0,
  IF(COLUMN() - ($E9 + 5) = 0, $F9,
    AB9 * (1 - IFERROR(INDEX('Inputs &amp; Assuptions'!$B$13:$B$72, COLUMN() - ($E9 + 5)), 0))
  )
)</f>
        <v>1907.6636745299093</v>
      </c>
      <c r="AD9" s="32">
        <f t="array" ref="AD9">IF(COLUMN() - ($E9 + 5) &lt; 0, 0,
  IF(COLUMN() - ($E9 + 5) = 0, $F9,
    AC9 * (1 - IFERROR(INDEX('Inputs &amp; Assuptions'!$B$13:$B$72, COLUMN() - ($E9 + 5)), 0))
  )
)</f>
        <v>1888.5870377846102</v>
      </c>
      <c r="AE9" s="32">
        <f t="array" ref="AE9">IF(COLUMN() - ($E9 + 5) &lt; 0, 0,
  IF(COLUMN() - ($E9 + 5) = 0, $F9,
    AD9 * (1 - IFERROR(INDEX('Inputs &amp; Assuptions'!$B$13:$B$72, COLUMN() - ($E9 + 5)), 0))
  )
)</f>
        <v>1869.7011674067639</v>
      </c>
      <c r="AF9" s="32">
        <f t="array" ref="AF9">IF(COLUMN() - ($E9 + 5) &lt; 0, 0,
  IF(COLUMN() - ($E9 + 5) = 0, $F9,
    AE9 * (1 - IFERROR(INDEX('Inputs &amp; Assuptions'!$B$13:$B$72, COLUMN() - ($E9 + 5)), 0))
  )
)</f>
        <v>1851.0041557326963</v>
      </c>
      <c r="AG9" s="32">
        <f t="array" ref="AG9">IF(COLUMN() - ($E9 + 5) &lt; 0, 0,
  IF(COLUMN() - ($E9 + 5) = 0, $F9,
    AF9 * (1 - IFERROR(INDEX('Inputs &amp; Assuptions'!$B$13:$B$72, COLUMN() - ($E9 + 5)), 0))
  )
)</f>
        <v>1832.4941141753693</v>
      </c>
      <c r="AH9" s="32">
        <f t="array" ref="AH9">IF(COLUMN() - ($E9 + 5) &lt; 0, 0,
  IF(COLUMN() - ($E9 + 5) = 0, $F9,
    AG9 * (1 - IFERROR(INDEX('Inputs &amp; Assuptions'!$B$13:$B$72, COLUMN() - ($E9 + 5)), 0))
  )
)</f>
        <v>1814.1691730336156</v>
      </c>
      <c r="AI9" s="32">
        <f t="array" ref="AI9">IF(COLUMN() - ($E9 + 5) &lt; 0, 0,
  IF(COLUMN() - ($E9 + 5) = 0, $F9,
    AH9 * (1 - IFERROR(INDEX('Inputs &amp; Assuptions'!$B$13:$B$72, COLUMN() - ($E9 + 5)), 0))
  )
)</f>
        <v>1796.0274813032795</v>
      </c>
      <c r="AJ9" s="32">
        <f t="array" ref="AJ9">IF(COLUMN() - ($E9 + 5) &lt; 0, 0,
  IF(COLUMN() - ($E9 + 5) = 0, $F9,
    AI9 * (1 - IFERROR(INDEX('Inputs &amp; Assuptions'!$B$13:$B$72, COLUMN() - ($E9 + 5)), 0))
  )
)</f>
        <v>1778.0672064902467</v>
      </c>
      <c r="AK9" s="32">
        <f t="array" ref="AK9">IF(COLUMN() - ($E9 + 5) &lt; 0, 0,
  IF(COLUMN() - ($E9 + 5) = 0, $F9,
    AJ9 * (1 - IFERROR(INDEX('Inputs &amp; Assuptions'!$B$13:$B$72, COLUMN() - ($E9 + 5)), 0))
  )
)</f>
        <v>1760.2865344253441</v>
      </c>
      <c r="AL9" s="32">
        <f t="array" ref="AL9">IF(COLUMN() - ($E9 + 5) &lt; 0, 0,
  IF(COLUMN() - ($E9 + 5) = 0, $F9,
    AK9 * (1 - IFERROR(INDEX('Inputs &amp; Assuptions'!$B$13:$B$72, COLUMN() - ($E9 + 5)), 0))
  )
)</f>
        <v>1742.6836690810908</v>
      </c>
      <c r="AM9" s="32">
        <f t="array" ref="AM9">IF(COLUMN() - ($E9 + 5) &lt; 0, 0,
  IF(COLUMN() - ($E9 + 5) = 0, $F9,
    AL9 * (1 - IFERROR(INDEX('Inputs &amp; Assuptions'!$B$13:$B$72, COLUMN() - ($E9 + 5)), 0))
  )
)</f>
        <v>1725.2568323902799</v>
      </c>
      <c r="AN9" s="32">
        <f t="array" ref="AN9">IF(COLUMN() - ($E9 + 5) &lt; 0, 0,
  IF(COLUMN() - ($E9 + 5) = 0, $F9,
    AM9 * (1 - IFERROR(INDEX('Inputs &amp; Assuptions'!$B$13:$B$72, COLUMN() - ($E9 + 5)), 0))
  )
)</f>
        <v>1708.0042640663771</v>
      </c>
      <c r="AO9" s="32">
        <f t="array" ref="AO9">IF(COLUMN() - ($E9 + 5) &lt; 0, 0,
  IF(COLUMN() - ($E9 + 5) = 0, $F9,
    AN9 * (1 - IFERROR(INDEX('Inputs &amp; Assuptions'!$B$13:$B$72, COLUMN() - ($E9 + 5)), 0))
  )
)</f>
        <v>1690.9242214257133</v>
      </c>
      <c r="AP9" s="32">
        <f t="array" ref="AP9">IF(COLUMN() - ($E9 + 5) &lt; 0, 0,
  IF(COLUMN() - ($E9 + 5) = 0, $F9,
    AO9 * (1 - IFERROR(INDEX('Inputs &amp; Assuptions'!$B$13:$B$72, COLUMN() - ($E9 + 5)), 0))
  )
)</f>
        <v>1674.0149792114562</v>
      </c>
      <c r="AQ9" s="32">
        <f t="array" ref="AQ9">IF(COLUMN() - ($E9 + 5) &lt; 0, 0,
  IF(COLUMN() - ($E9 + 5) = 0, $F9,
    AP9 * (1 - IFERROR(INDEX('Inputs &amp; Assuptions'!$B$13:$B$72, COLUMN() - ($E9 + 5)), 0))
  )
)</f>
        <v>1657.2748294193416</v>
      </c>
      <c r="AR9" s="32">
        <f t="array" ref="AR9">IF(COLUMN() - ($E9 + 5) &lt; 0, 0,
  IF(COLUMN() - ($E9 + 5) = 0, $F9,
    AQ9 * (1 - IFERROR(INDEX('Inputs &amp; Assuptions'!$B$13:$B$72, COLUMN() - ($E9 + 5)), 0))
  )
)</f>
        <v>1640.7020811251482</v>
      </c>
      <c r="AS9" s="32">
        <f t="array" ref="AS9">IF(COLUMN() - ($E9 + 5) &lt; 0, 0,
  IF(COLUMN() - ($E9 + 5) = 0, $F9,
    AR9 * (1 - IFERROR(INDEX('Inputs &amp; Assuptions'!$B$13:$B$72, COLUMN() - ($E9 + 5)), 0))
  )
)</f>
        <v>1624.2950603138968</v>
      </c>
      <c r="AT9" s="32">
        <f t="array" ref="AT9">IF(COLUMN() - ($E9 + 5) &lt; 0, 0,
  IF(COLUMN() - ($E9 + 5) = 0, $F9,
    AS9 * (1 - IFERROR(INDEX('Inputs &amp; Assuptions'!$B$13:$B$72, COLUMN() - ($E9 + 5)), 0))
  )
)</f>
        <v>1608.0521097107578</v>
      </c>
      <c r="AU9" s="32">
        <f t="array" ref="AU9">IF(COLUMN() - ($E9 + 5) &lt; 0, 0,
  IF(COLUMN() - ($E9 + 5) = 0, $F9,
    AT9 * (1 - IFERROR(INDEX('Inputs &amp; Assuptions'!$B$13:$B$72, COLUMN() - ($E9 + 5)), 0))
  )
)</f>
        <v>1591.9715886136503</v>
      </c>
      <c r="AV9" s="32">
        <f t="array" ref="AV9">IF(COLUMN() - ($E9 + 5) &lt; 0, 0,
  IF(COLUMN() - ($E9 + 5) = 0, $F9,
    AU9 * (1 - IFERROR(INDEX('Inputs &amp; Assuptions'!$B$13:$B$72, COLUMN() - ($E9 + 5)), 0))
  )
)</f>
        <v>1576.0518727275137</v>
      </c>
      <c r="AW9" s="32">
        <f t="array" ref="AW9">IF(COLUMN() - ($E9 + 5) &lt; 0, 0,
  IF(COLUMN() - ($E9 + 5) = 0, $F9,
    AV9 * (1 - IFERROR(INDEX('Inputs &amp; Assuptions'!$B$13:$B$72, COLUMN() - ($E9 + 5)), 0))
  )
)</f>
        <v>1560.2913540002385</v>
      </c>
      <c r="AX9" s="32">
        <f t="array" ref="AX9">IF(COLUMN() - ($E9 + 5) &lt; 0, 0,
  IF(COLUMN() - ($E9 + 5) = 0, $F9,
    AW9 * (1 - IFERROR(INDEX('Inputs &amp; Assuptions'!$B$13:$B$72, COLUMN() - ($E9 + 5)), 0))
  )
)</f>
        <v>1544.6884404602361</v>
      </c>
      <c r="AY9" s="32">
        <f t="array" ref="AY9">IF(COLUMN() - ($E9 + 5) &lt; 0, 0,
  IF(COLUMN() - ($E9 + 5) = 0, $F9,
    AX9 * (1 - IFERROR(INDEX('Inputs &amp; Assuptions'!$B$13:$B$72, COLUMN() - ($E9 + 5)), 0))
  )
)</f>
        <v>1529.2415560556337</v>
      </c>
      <c r="AZ9" s="32">
        <f t="array" ref="AZ9">IF(COLUMN() - ($E9 + 5) &lt; 0, 0,
  IF(COLUMN() - ($E9 + 5) = 0, $F9,
    AY9 * (1 - IFERROR(INDEX('Inputs &amp; Assuptions'!$B$13:$B$72, COLUMN() - ($E9 + 5)), 0))
  )
)</f>
        <v>1513.9491404950775</v>
      </c>
      <c r="BA9" s="32">
        <f t="array" ref="BA9">IF(COLUMN() - ($E9 + 5) &lt; 0, 0,
  IF(COLUMN() - ($E9 + 5) = 0, $F9,
    AZ9 * (1 - IFERROR(INDEX('Inputs &amp; Assuptions'!$B$13:$B$72, COLUMN() - ($E9 + 5)), 0))
  )
)</f>
        <v>1498.8096490901266</v>
      </c>
      <c r="BB9" s="32">
        <f t="array" ref="BB9">IF(COLUMN() - ($E9 + 5) &lt; 0, 0,
  IF(COLUMN() - ($E9 + 5) = 0, $F9,
    BA9 * (1 - IFERROR(INDEX('Inputs &amp; Assuptions'!$B$13:$B$72, COLUMN() - ($E9 + 5)), 0))
  )
)</f>
        <v>1483.8215525992255</v>
      </c>
      <c r="BC9" s="32">
        <f t="array" ref="BC9">IF(COLUMN() - ($E9 + 5) &lt; 0, 0,
  IF(COLUMN() - ($E9 + 5) = 0, $F9,
    BB9 * (1 - IFERROR(INDEX('Inputs &amp; Assuptions'!$B$13:$B$72, COLUMN() - ($E9 + 5)), 0))
  )
)</f>
        <v>1468.9833370732333</v>
      </c>
      <c r="BD9" s="32">
        <f t="array" ref="BD9">IF(COLUMN() - ($E9 + 5) &lt; 0, 0,
  IF(COLUMN() - ($E9 + 5) = 0, $F9,
    BC9 * (1 - IFERROR(INDEX('Inputs &amp; Assuptions'!$B$13:$B$72, COLUMN() - ($E9 + 5)), 0))
  )
)</f>
        <v>1454.2935037025009</v>
      </c>
      <c r="BE9" s="32">
        <f t="array" ref="BE9">IF(COLUMN() - ($E9 + 5) &lt; 0, 0,
  IF(COLUMN() - ($E9 + 5) = 0, $F9,
    BD9 * (1 - IFERROR(INDEX('Inputs &amp; Assuptions'!$B$13:$B$72, COLUMN() - ($E9 + 5)), 0))
  )
)</f>
        <v>1439.7505686654758</v>
      </c>
      <c r="BF9" s="32">
        <f t="array" ref="BF9">IF(COLUMN() - ($E9 + 5) &lt; 0, 0,
  IF(COLUMN() - ($E9 + 5) = 0, $F9,
    BE9 * (1 - IFERROR(INDEX('Inputs &amp; Assuptions'!$B$13:$B$72, COLUMN() - ($E9 + 5)), 0))
  )
)</f>
        <v>1425.3530629788211</v>
      </c>
      <c r="BG9" s="32">
        <f t="array" ref="BG9">IF(COLUMN() - ($E9 + 5) &lt; 0, 0,
  IF(COLUMN() - ($E9 + 5) = 0, $F9,
    BF9 * (1 - IFERROR(INDEX('Inputs &amp; Assuptions'!$B$13:$B$72, COLUMN() - ($E9 + 5)), 0))
  )
)</f>
        <v>1411.0995323490329</v>
      </c>
      <c r="BH9" s="32">
        <f t="array" ref="BH9">IF(COLUMN() - ($E9 + 5) &lt; 0, 0,
  IF(COLUMN() - ($E9 + 5) = 0, $F9,
    BG9 * (1 - IFERROR(INDEX('Inputs &amp; Assuptions'!$B$13:$B$72, COLUMN() - ($E9 + 5)), 0))
  )
)</f>
        <v>1396.9885370255424</v>
      </c>
      <c r="BI9" s="32">
        <f t="array" ref="BI9">IF(COLUMN() - ($E9 + 5) &lt; 0, 0,
  IF(COLUMN() - ($E9 + 5) = 0, $F9,
    BH9 * (1 - IFERROR(INDEX('Inputs &amp; Assuptions'!$B$13:$B$72, COLUMN() - ($E9 + 5)), 0))
  )
)</f>
        <v>1383.0186516552869</v>
      </c>
      <c r="BJ9" s="32">
        <f t="array" ref="BJ9">IF(COLUMN() - ($E9 + 5) &lt; 0, 0,
  IF(COLUMN() - ($E9 + 5) = 0, $F9,
    BI9 * (1 - IFERROR(INDEX('Inputs &amp; Assuptions'!$B$13:$B$72, COLUMN() - ($E9 + 5)), 0))
  )
)</f>
        <v>1369.188465138734</v>
      </c>
      <c r="BK9" s="32">
        <f t="array" ref="BK9">IF(COLUMN() - ($E9 + 5) &lt; 0, 0,
  IF(COLUMN() - ($E9 + 5) = 0, $F9,
    BJ9 * (1 - IFERROR(INDEX('Inputs &amp; Assuptions'!$B$13:$B$72, COLUMN() - ($E9 + 5)), 0))
  )
)</f>
        <v>1355.4965804873466</v>
      </c>
      <c r="BL9" s="32">
        <f t="array" ref="BL9">IF(COLUMN() - ($E9 + 5) &lt; 0, 0,
  IF(COLUMN() - ($E9 + 5) = 0, $F9,
    BK9 * (1 - IFERROR(INDEX('Inputs &amp; Assuptions'!$B$13:$B$72, COLUMN() - ($E9 + 5)), 0))
  )
)</f>
        <v>1341.9416146824731</v>
      </c>
      <c r="BM9" s="66">
        <f t="array" ref="BM9">IF(COLUMN() - ($E9 + 5) &lt; 0, 0,
  IF(COLUMN() - ($E9 + 5) = 0, $F9,
    BL9 * (1 - IFERROR(INDEX('Inputs &amp; Assuptions'!$B$13:$B$72, COLUMN() - ($E9 + 5)), 0))
  )
)</f>
        <v>1328.5221985356484</v>
      </c>
      <c r="BN9" s="33"/>
    </row>
    <row r="10" spans="1:67" x14ac:dyDescent="0.3">
      <c r="A10" s="71">
        <f t="shared" si="2"/>
        <v>5</v>
      </c>
      <c r="B10" s="75">
        <f t="shared" si="4"/>
        <v>6000</v>
      </c>
      <c r="C10" s="81">
        <f>$B10*(1-'Inputs &amp; Assuptions'!$B$12)</f>
        <v>3480.0000000000005</v>
      </c>
      <c r="E10" s="71">
        <f t="shared" si="3"/>
        <v>5</v>
      </c>
      <c r="F10" s="65"/>
      <c r="G10" s="32"/>
      <c r="H10" s="32"/>
      <c r="I10" s="32"/>
      <c r="J10" s="32">
        <f>+$C10</f>
        <v>3480.0000000000005</v>
      </c>
      <c r="K10" s="32">
        <f t="array" ref="K10">IF(COLUMN() - ($E10 + 5) &lt; 0, 0,
  IF(COLUMN() - ($E10 + 5) = 0, $F10,
    J10 * (1 - IFERROR(INDEX('Inputs &amp; Assuptions'!$B$13:$B$72, COLUMN() - ($E10 + 5)), 0))
  )
)</f>
        <v>3114.6000000000004</v>
      </c>
      <c r="L10" s="32">
        <f t="array" ref="L10">IF(COLUMN() - ($E10 + 5) &lt; 0, 0,
  IF(COLUMN() - ($E10 + 5) = 0, $F10,
    K10 * (1 - IFERROR(INDEX('Inputs &amp; Assuptions'!$B$13:$B$72, COLUMN() - ($E10 + 5)), 0))
  )
)</f>
        <v>2865.4320000000002</v>
      </c>
      <c r="M10" s="32">
        <f t="array" ref="M10">IF(COLUMN() - ($E10 + 5) &lt; 0, 0,
  IF(COLUMN() - ($E10 + 5) = 0, $F10,
    L10 * (1 - IFERROR(INDEX('Inputs &amp; Assuptions'!$B$13:$B$72, COLUMN() - ($E10 + 5)), 0))
  )
)</f>
        <v>2707.8332399999999</v>
      </c>
      <c r="N10" s="32">
        <f t="array" ref="N10">IF(COLUMN() - ($E10 + 5) &lt; 0, 0,
  IF(COLUMN() - ($E10 + 5) = 0, $F10,
    M10 * (1 - IFERROR(INDEX('Inputs &amp; Assuptions'!$B$13:$B$72, COLUMN() - ($E10 + 5)), 0))
  )
)</f>
        <v>2572.4415779999999</v>
      </c>
      <c r="O10" s="32">
        <f t="array" ref="O10">IF(COLUMN() - ($E10 + 5) &lt; 0, 0,
  IF(COLUMN() - ($E10 + 5) = 0, $F10,
    N10 * (1 - IFERROR(INDEX('Inputs &amp; Assuptions'!$B$13:$B$72, COLUMN() - ($E10 + 5)), 0))
  )
)</f>
        <v>2456.6817069899998</v>
      </c>
      <c r="P10" s="32">
        <f t="array" ref="P10">IF(COLUMN() - ($E10 + 5) &lt; 0, 0,
  IF(COLUMN() - ($E10 + 5) = 0, $F10,
    O10 * (1 - IFERROR(INDEX('Inputs &amp; Assuptions'!$B$13:$B$72, COLUMN() - ($E10 + 5)), 0))
  )
)</f>
        <v>2358.4144387103997</v>
      </c>
      <c r="Q10" s="32">
        <f t="array" ref="Q10">IF(COLUMN() - ($E10 + 5) &lt; 0, 0,
  IF(COLUMN() - ($E10 + 5) = 0, $F10,
    P10 * (1 - IFERROR(INDEX('Inputs &amp; Assuptions'!$B$13:$B$72, COLUMN() - ($E10 + 5)), 0))
  )
)</f>
        <v>2275.8699333555355</v>
      </c>
      <c r="R10" s="32">
        <f t="array" ref="R10">IF(COLUMN() - ($E10 + 5) &lt; 0, 0,
  IF(COLUMN() - ($E10 + 5) = 0, $F10,
    Q10 * (1 - IFERROR(INDEX('Inputs &amp; Assuptions'!$B$13:$B$72, COLUMN() - ($E10 + 5)), 0))
  )
)</f>
        <v>2207.5938353548695</v>
      </c>
      <c r="S10" s="32">
        <f t="array" ref="S10">IF(COLUMN() - ($E10 + 5) &lt; 0, 0,
  IF(COLUMN() - ($E10 + 5) = 0, $F10,
    R10 * (1 - IFERROR(INDEX('Inputs &amp; Assuptions'!$B$13:$B$72, COLUMN() - ($E10 + 5)), 0))
  )
)</f>
        <v>2152.4039894709977</v>
      </c>
      <c r="T10" s="32">
        <f t="array" ref="T10">IF(COLUMN() - ($E10 + 5) &lt; 0, 0,
  IF(COLUMN() - ($E10 + 5) = 0, $F10,
    S10 * (1 - IFERROR(INDEX('Inputs &amp; Assuptions'!$B$13:$B$72, COLUMN() - ($E10 + 5)), 0))
  )
)</f>
        <v>2109.3559096815775</v>
      </c>
      <c r="U10" s="32">
        <f t="array" ref="U10">IF(COLUMN() - ($E10 + 5) &lt; 0, 0,
  IF(COLUMN() - ($E10 + 5) = 0, $F10,
    T10 * (1 - IFERROR(INDEX('Inputs &amp; Assuptions'!$B$13:$B$72, COLUMN() - ($E10 + 5)), 0))
  )
)</f>
        <v>2088.2623505847619</v>
      </c>
      <c r="V10" s="32">
        <f t="array" ref="V10">IF(COLUMN() - ($E10 + 5) &lt; 0, 0,
  IF(COLUMN() - ($E10 + 5) = 0, $F10,
    U10 * (1 - IFERROR(INDEX('Inputs &amp; Assuptions'!$B$13:$B$72, COLUMN() - ($E10 + 5)), 0))
  )
)</f>
        <v>2067.3797270789141</v>
      </c>
      <c r="W10" s="32">
        <f t="array" ref="W10">IF(COLUMN() - ($E10 + 5) &lt; 0, 0,
  IF(COLUMN() - ($E10 + 5) = 0, $F10,
    V10 * (1 - IFERROR(INDEX('Inputs &amp; Assuptions'!$B$13:$B$72, COLUMN() - ($E10 + 5)), 0))
  )
)</f>
        <v>2046.7059298081249</v>
      </c>
      <c r="X10" s="32">
        <f t="array" ref="X10">IF(COLUMN() - ($E10 + 5) &lt; 0, 0,
  IF(COLUMN() - ($E10 + 5) = 0, $F10,
    W10 * (1 - IFERROR(INDEX('Inputs &amp; Assuptions'!$B$13:$B$72, COLUMN() - ($E10 + 5)), 0))
  )
)</f>
        <v>2026.2388705100436</v>
      </c>
      <c r="Y10" s="32">
        <f t="array" ref="Y10">IF(COLUMN() - ($E10 + 5) &lt; 0, 0,
  IF(COLUMN() - ($E10 + 5) = 0, $F10,
    X10 * (1 - IFERROR(INDEX('Inputs &amp; Assuptions'!$B$13:$B$72, COLUMN() - ($E10 + 5)), 0))
  )
)</f>
        <v>2005.9764818049432</v>
      </c>
      <c r="Z10" s="32">
        <f t="array" ref="Z10">IF(COLUMN() - ($E10 + 5) &lt; 0, 0,
  IF(COLUMN() - ($E10 + 5) = 0, $F10,
    Y10 * (1 - IFERROR(INDEX('Inputs &amp; Assuptions'!$B$13:$B$72, COLUMN() - ($E10 + 5)), 0))
  )
)</f>
        <v>1985.9167169868938</v>
      </c>
      <c r="AA10" s="32">
        <f t="array" ref="AA10">IF(COLUMN() - ($E10 + 5) &lt; 0, 0,
  IF(COLUMN() - ($E10 + 5) = 0, $F10,
    Z10 * (1 - IFERROR(INDEX('Inputs &amp; Assuptions'!$B$13:$B$72, COLUMN() - ($E10 + 5)), 0))
  )
)</f>
        <v>1966.0575498170249</v>
      </c>
      <c r="AB10" s="32">
        <f t="array" ref="AB10">IF(COLUMN() - ($E10 + 5) &lt; 0, 0,
  IF(COLUMN() - ($E10 + 5) = 0, $F10,
    AA10 * (1 - IFERROR(INDEX('Inputs &amp; Assuptions'!$B$13:$B$72, COLUMN() - ($E10 + 5)), 0))
  )
)</f>
        <v>1946.3969743188545</v>
      </c>
      <c r="AC10" s="32">
        <f t="array" ref="AC10">IF(COLUMN() - ($E10 + 5) &lt; 0, 0,
  IF(COLUMN() - ($E10 + 5) = 0, $F10,
    AB10 * (1 - IFERROR(INDEX('Inputs &amp; Assuptions'!$B$13:$B$72, COLUMN() - ($E10 + 5)), 0))
  )
)</f>
        <v>1926.933004575666</v>
      </c>
      <c r="AD10" s="32">
        <f t="array" ref="AD10">IF(COLUMN() - ($E10 + 5) &lt; 0, 0,
  IF(COLUMN() - ($E10 + 5) = 0, $F10,
    AC10 * (1 - IFERROR(INDEX('Inputs &amp; Assuptions'!$B$13:$B$72, COLUMN() - ($E10 + 5)), 0))
  )
)</f>
        <v>1907.6636745299093</v>
      </c>
      <c r="AE10" s="32">
        <f t="array" ref="AE10">IF(COLUMN() - ($E10 + 5) &lt; 0, 0,
  IF(COLUMN() - ($E10 + 5) = 0, $F10,
    AD10 * (1 - IFERROR(INDEX('Inputs &amp; Assuptions'!$B$13:$B$72, COLUMN() - ($E10 + 5)), 0))
  )
)</f>
        <v>1888.5870377846102</v>
      </c>
      <c r="AF10" s="32">
        <f t="array" ref="AF10">IF(COLUMN() - ($E10 + 5) &lt; 0, 0,
  IF(COLUMN() - ($E10 + 5) = 0, $F10,
    AE10 * (1 - IFERROR(INDEX('Inputs &amp; Assuptions'!$B$13:$B$72, COLUMN() - ($E10 + 5)), 0))
  )
)</f>
        <v>1869.7011674067639</v>
      </c>
      <c r="AG10" s="32">
        <f t="array" ref="AG10">IF(COLUMN() - ($E10 + 5) &lt; 0, 0,
  IF(COLUMN() - ($E10 + 5) = 0, $F10,
    AF10 * (1 - IFERROR(INDEX('Inputs &amp; Assuptions'!$B$13:$B$72, COLUMN() - ($E10 + 5)), 0))
  )
)</f>
        <v>1851.0041557326963</v>
      </c>
      <c r="AH10" s="32">
        <f t="array" ref="AH10">IF(COLUMN() - ($E10 + 5) &lt; 0, 0,
  IF(COLUMN() - ($E10 + 5) = 0, $F10,
    AG10 * (1 - IFERROR(INDEX('Inputs &amp; Assuptions'!$B$13:$B$72, COLUMN() - ($E10 + 5)), 0))
  )
)</f>
        <v>1832.4941141753693</v>
      </c>
      <c r="AI10" s="32">
        <f t="array" ref="AI10">IF(COLUMN() - ($E10 + 5) &lt; 0, 0,
  IF(COLUMN() - ($E10 + 5) = 0, $F10,
    AH10 * (1 - IFERROR(INDEX('Inputs &amp; Assuptions'!$B$13:$B$72, COLUMN() - ($E10 + 5)), 0))
  )
)</f>
        <v>1814.1691730336156</v>
      </c>
      <c r="AJ10" s="32">
        <f t="array" ref="AJ10">IF(COLUMN() - ($E10 + 5) &lt; 0, 0,
  IF(COLUMN() - ($E10 + 5) = 0, $F10,
    AI10 * (1 - IFERROR(INDEX('Inputs &amp; Assuptions'!$B$13:$B$72, COLUMN() - ($E10 + 5)), 0))
  )
)</f>
        <v>1796.0274813032795</v>
      </c>
      <c r="AK10" s="32">
        <f t="array" ref="AK10">IF(COLUMN() - ($E10 + 5) &lt; 0, 0,
  IF(COLUMN() - ($E10 + 5) = 0, $F10,
    AJ10 * (1 - IFERROR(INDEX('Inputs &amp; Assuptions'!$B$13:$B$72, COLUMN() - ($E10 + 5)), 0))
  )
)</f>
        <v>1778.0672064902467</v>
      </c>
      <c r="AL10" s="32">
        <f t="array" ref="AL10">IF(COLUMN() - ($E10 + 5) &lt; 0, 0,
  IF(COLUMN() - ($E10 + 5) = 0, $F10,
    AK10 * (1 - IFERROR(INDEX('Inputs &amp; Assuptions'!$B$13:$B$72, COLUMN() - ($E10 + 5)), 0))
  )
)</f>
        <v>1760.2865344253441</v>
      </c>
      <c r="AM10" s="32">
        <f t="array" ref="AM10">IF(COLUMN() - ($E10 + 5) &lt; 0, 0,
  IF(COLUMN() - ($E10 + 5) = 0, $F10,
    AL10 * (1 - IFERROR(INDEX('Inputs &amp; Assuptions'!$B$13:$B$72, COLUMN() - ($E10 + 5)), 0))
  )
)</f>
        <v>1742.6836690810908</v>
      </c>
      <c r="AN10" s="32">
        <f t="array" ref="AN10">IF(COLUMN() - ($E10 + 5) &lt; 0, 0,
  IF(COLUMN() - ($E10 + 5) = 0, $F10,
    AM10 * (1 - IFERROR(INDEX('Inputs &amp; Assuptions'!$B$13:$B$72, COLUMN() - ($E10 + 5)), 0))
  )
)</f>
        <v>1725.2568323902799</v>
      </c>
      <c r="AO10" s="32">
        <f t="array" ref="AO10">IF(COLUMN() - ($E10 + 5) &lt; 0, 0,
  IF(COLUMN() - ($E10 + 5) = 0, $F10,
    AN10 * (1 - IFERROR(INDEX('Inputs &amp; Assuptions'!$B$13:$B$72, COLUMN() - ($E10 + 5)), 0))
  )
)</f>
        <v>1708.0042640663771</v>
      </c>
      <c r="AP10" s="32">
        <f t="array" ref="AP10">IF(COLUMN() - ($E10 + 5) &lt; 0, 0,
  IF(COLUMN() - ($E10 + 5) = 0, $F10,
    AO10 * (1 - IFERROR(INDEX('Inputs &amp; Assuptions'!$B$13:$B$72, COLUMN() - ($E10 + 5)), 0))
  )
)</f>
        <v>1690.9242214257133</v>
      </c>
      <c r="AQ10" s="32">
        <f t="array" ref="AQ10">IF(COLUMN() - ($E10 + 5) &lt; 0, 0,
  IF(COLUMN() - ($E10 + 5) = 0, $F10,
    AP10 * (1 - IFERROR(INDEX('Inputs &amp; Assuptions'!$B$13:$B$72, COLUMN() - ($E10 + 5)), 0))
  )
)</f>
        <v>1674.0149792114562</v>
      </c>
      <c r="AR10" s="32">
        <f t="array" ref="AR10">IF(COLUMN() - ($E10 + 5) &lt; 0, 0,
  IF(COLUMN() - ($E10 + 5) = 0, $F10,
    AQ10 * (1 - IFERROR(INDEX('Inputs &amp; Assuptions'!$B$13:$B$72, COLUMN() - ($E10 + 5)), 0))
  )
)</f>
        <v>1657.2748294193416</v>
      </c>
      <c r="AS10" s="32">
        <f t="array" ref="AS10">IF(COLUMN() - ($E10 + 5) &lt; 0, 0,
  IF(COLUMN() - ($E10 + 5) = 0, $F10,
    AR10 * (1 - IFERROR(INDEX('Inputs &amp; Assuptions'!$B$13:$B$72, COLUMN() - ($E10 + 5)), 0))
  )
)</f>
        <v>1640.7020811251482</v>
      </c>
      <c r="AT10" s="32">
        <f t="array" ref="AT10">IF(COLUMN() - ($E10 + 5) &lt; 0, 0,
  IF(COLUMN() - ($E10 + 5) = 0, $F10,
    AS10 * (1 - IFERROR(INDEX('Inputs &amp; Assuptions'!$B$13:$B$72, COLUMN() - ($E10 + 5)), 0))
  )
)</f>
        <v>1624.2950603138968</v>
      </c>
      <c r="AU10" s="32">
        <f t="array" ref="AU10">IF(COLUMN() - ($E10 + 5) &lt; 0, 0,
  IF(COLUMN() - ($E10 + 5) = 0, $F10,
    AT10 * (1 - IFERROR(INDEX('Inputs &amp; Assuptions'!$B$13:$B$72, COLUMN() - ($E10 + 5)), 0))
  )
)</f>
        <v>1608.0521097107578</v>
      </c>
      <c r="AV10" s="32">
        <f t="array" ref="AV10">IF(COLUMN() - ($E10 + 5) &lt; 0, 0,
  IF(COLUMN() - ($E10 + 5) = 0, $F10,
    AU10 * (1 - IFERROR(INDEX('Inputs &amp; Assuptions'!$B$13:$B$72, COLUMN() - ($E10 + 5)), 0))
  )
)</f>
        <v>1591.9715886136503</v>
      </c>
      <c r="AW10" s="32">
        <f t="array" ref="AW10">IF(COLUMN() - ($E10 + 5) &lt; 0, 0,
  IF(COLUMN() - ($E10 + 5) = 0, $F10,
    AV10 * (1 - IFERROR(INDEX('Inputs &amp; Assuptions'!$B$13:$B$72, COLUMN() - ($E10 + 5)), 0))
  )
)</f>
        <v>1576.0518727275137</v>
      </c>
      <c r="AX10" s="32">
        <f t="array" ref="AX10">IF(COLUMN() - ($E10 + 5) &lt; 0, 0,
  IF(COLUMN() - ($E10 + 5) = 0, $F10,
    AW10 * (1 - IFERROR(INDEX('Inputs &amp; Assuptions'!$B$13:$B$72, COLUMN() - ($E10 + 5)), 0))
  )
)</f>
        <v>1560.2913540002385</v>
      </c>
      <c r="AY10" s="32">
        <f t="array" ref="AY10">IF(COLUMN() - ($E10 + 5) &lt; 0, 0,
  IF(COLUMN() - ($E10 + 5) = 0, $F10,
    AX10 * (1 - IFERROR(INDEX('Inputs &amp; Assuptions'!$B$13:$B$72, COLUMN() - ($E10 + 5)), 0))
  )
)</f>
        <v>1544.6884404602361</v>
      </c>
      <c r="AZ10" s="32">
        <f t="array" ref="AZ10">IF(COLUMN() - ($E10 + 5) &lt; 0, 0,
  IF(COLUMN() - ($E10 + 5) = 0, $F10,
    AY10 * (1 - IFERROR(INDEX('Inputs &amp; Assuptions'!$B$13:$B$72, COLUMN() - ($E10 + 5)), 0))
  )
)</f>
        <v>1529.2415560556337</v>
      </c>
      <c r="BA10" s="32">
        <f t="array" ref="BA10">IF(COLUMN() - ($E10 + 5) &lt; 0, 0,
  IF(COLUMN() - ($E10 + 5) = 0, $F10,
    AZ10 * (1 - IFERROR(INDEX('Inputs &amp; Assuptions'!$B$13:$B$72, COLUMN() - ($E10 + 5)), 0))
  )
)</f>
        <v>1513.9491404950775</v>
      </c>
      <c r="BB10" s="32">
        <f t="array" ref="BB10">IF(COLUMN() - ($E10 + 5) &lt; 0, 0,
  IF(COLUMN() - ($E10 + 5) = 0, $F10,
    BA10 * (1 - IFERROR(INDEX('Inputs &amp; Assuptions'!$B$13:$B$72, COLUMN() - ($E10 + 5)), 0))
  )
)</f>
        <v>1498.8096490901266</v>
      </c>
      <c r="BC10" s="32">
        <f t="array" ref="BC10">IF(COLUMN() - ($E10 + 5) &lt; 0, 0,
  IF(COLUMN() - ($E10 + 5) = 0, $F10,
    BB10 * (1 - IFERROR(INDEX('Inputs &amp; Assuptions'!$B$13:$B$72, COLUMN() - ($E10 + 5)), 0))
  )
)</f>
        <v>1483.8215525992255</v>
      </c>
      <c r="BD10" s="32">
        <f t="array" ref="BD10">IF(COLUMN() - ($E10 + 5) &lt; 0, 0,
  IF(COLUMN() - ($E10 + 5) = 0, $F10,
    BC10 * (1 - IFERROR(INDEX('Inputs &amp; Assuptions'!$B$13:$B$72, COLUMN() - ($E10 + 5)), 0))
  )
)</f>
        <v>1468.9833370732333</v>
      </c>
      <c r="BE10" s="32">
        <f t="array" ref="BE10">IF(COLUMN() - ($E10 + 5) &lt; 0, 0,
  IF(COLUMN() - ($E10 + 5) = 0, $F10,
    BD10 * (1 - IFERROR(INDEX('Inputs &amp; Assuptions'!$B$13:$B$72, COLUMN() - ($E10 + 5)), 0))
  )
)</f>
        <v>1454.2935037025009</v>
      </c>
      <c r="BF10" s="32">
        <f t="array" ref="BF10">IF(COLUMN() - ($E10 + 5) &lt; 0, 0,
  IF(COLUMN() - ($E10 + 5) = 0, $F10,
    BE10 * (1 - IFERROR(INDEX('Inputs &amp; Assuptions'!$B$13:$B$72, COLUMN() - ($E10 + 5)), 0))
  )
)</f>
        <v>1439.7505686654758</v>
      </c>
      <c r="BG10" s="32">
        <f t="array" ref="BG10">IF(COLUMN() - ($E10 + 5) &lt; 0, 0,
  IF(COLUMN() - ($E10 + 5) = 0, $F10,
    BF10 * (1 - IFERROR(INDEX('Inputs &amp; Assuptions'!$B$13:$B$72, COLUMN() - ($E10 + 5)), 0))
  )
)</f>
        <v>1425.3530629788211</v>
      </c>
      <c r="BH10" s="32">
        <f t="array" ref="BH10">IF(COLUMN() - ($E10 + 5) &lt; 0, 0,
  IF(COLUMN() - ($E10 + 5) = 0, $F10,
    BG10 * (1 - IFERROR(INDEX('Inputs &amp; Assuptions'!$B$13:$B$72, COLUMN() - ($E10 + 5)), 0))
  )
)</f>
        <v>1411.0995323490329</v>
      </c>
      <c r="BI10" s="32">
        <f t="array" ref="BI10">IF(COLUMN() - ($E10 + 5) &lt; 0, 0,
  IF(COLUMN() - ($E10 + 5) = 0, $F10,
    BH10 * (1 - IFERROR(INDEX('Inputs &amp; Assuptions'!$B$13:$B$72, COLUMN() - ($E10 + 5)), 0))
  )
)</f>
        <v>1396.9885370255424</v>
      </c>
      <c r="BJ10" s="32">
        <f t="array" ref="BJ10">IF(COLUMN() - ($E10 + 5) &lt; 0, 0,
  IF(COLUMN() - ($E10 + 5) = 0, $F10,
    BI10 * (1 - IFERROR(INDEX('Inputs &amp; Assuptions'!$B$13:$B$72, COLUMN() - ($E10 + 5)), 0))
  )
)</f>
        <v>1383.0186516552869</v>
      </c>
      <c r="BK10" s="32">
        <f t="array" ref="BK10">IF(COLUMN() - ($E10 + 5) &lt; 0, 0,
  IF(COLUMN() - ($E10 + 5) = 0, $F10,
    BJ10 * (1 - IFERROR(INDEX('Inputs &amp; Assuptions'!$B$13:$B$72, COLUMN() - ($E10 + 5)), 0))
  )
)</f>
        <v>1369.188465138734</v>
      </c>
      <c r="BL10" s="32">
        <f t="array" ref="BL10">IF(COLUMN() - ($E10 + 5) &lt; 0, 0,
  IF(COLUMN() - ($E10 + 5) = 0, $F10,
    BK10 * (1 - IFERROR(INDEX('Inputs &amp; Assuptions'!$B$13:$B$72, COLUMN() - ($E10 + 5)), 0))
  )
)</f>
        <v>1355.4965804873466</v>
      </c>
      <c r="BM10" s="66">
        <f t="array" ref="BM10">IF(COLUMN() - ($E10 + 5) &lt; 0, 0,
  IF(COLUMN() - ($E10 + 5) = 0, $F10,
    BL10 * (1 - IFERROR(INDEX('Inputs &amp; Assuptions'!$B$13:$B$72, COLUMN() - ($E10 + 5)), 0))
  )
)</f>
        <v>1341.9416146824731</v>
      </c>
      <c r="BN10" s="33"/>
    </row>
    <row r="11" spans="1:67" x14ac:dyDescent="0.3">
      <c r="A11" s="71">
        <f t="shared" si="2"/>
        <v>6</v>
      </c>
      <c r="B11" s="75">
        <f t="shared" si="4"/>
        <v>6000</v>
      </c>
      <c r="C11" s="81">
        <f>$B11*(1-'Inputs &amp; Assuptions'!$B$12)</f>
        <v>3480.0000000000005</v>
      </c>
      <c r="E11" s="71">
        <f t="shared" si="3"/>
        <v>6</v>
      </c>
      <c r="F11" s="65"/>
      <c r="G11" s="32"/>
      <c r="H11" s="32"/>
      <c r="I11" s="32"/>
      <c r="J11" s="32"/>
      <c r="K11" s="32">
        <f>+$C11</f>
        <v>3480.0000000000005</v>
      </c>
      <c r="L11" s="32">
        <f t="array" ref="L11">IF(COLUMN() - ($E11 + 5) &lt; 0, 0,
  IF(COLUMN() - ($E11 + 5) = 0, $F11,
    K11 * (1 - IFERROR(INDEX('Inputs &amp; Assuptions'!$B$13:$B$72, COLUMN() - ($E11 + 5)), 0))
  )
)</f>
        <v>3114.6000000000004</v>
      </c>
      <c r="M11" s="32">
        <f t="array" ref="M11">IF(COLUMN() - ($E11 + 5) &lt; 0, 0,
  IF(COLUMN() - ($E11 + 5) = 0, $F11,
    L11 * (1 - IFERROR(INDEX('Inputs &amp; Assuptions'!$B$13:$B$72, COLUMN() - ($E11 + 5)), 0))
  )
)</f>
        <v>2865.4320000000002</v>
      </c>
      <c r="N11" s="32">
        <f t="array" ref="N11">IF(COLUMN() - ($E11 + 5) &lt; 0, 0,
  IF(COLUMN() - ($E11 + 5) = 0, $F11,
    M11 * (1 - IFERROR(INDEX('Inputs &amp; Assuptions'!$B$13:$B$72, COLUMN() - ($E11 + 5)), 0))
  )
)</f>
        <v>2707.8332399999999</v>
      </c>
      <c r="O11" s="32">
        <f t="array" ref="O11">IF(COLUMN() - ($E11 + 5) &lt; 0, 0,
  IF(COLUMN() - ($E11 + 5) = 0, $F11,
    N11 * (1 - IFERROR(INDEX('Inputs &amp; Assuptions'!$B$13:$B$72, COLUMN() - ($E11 + 5)), 0))
  )
)</f>
        <v>2572.4415779999999</v>
      </c>
      <c r="P11" s="32">
        <f t="array" ref="P11">IF(COLUMN() - ($E11 + 5) &lt; 0, 0,
  IF(COLUMN() - ($E11 + 5) = 0, $F11,
    O11 * (1 - IFERROR(INDEX('Inputs &amp; Assuptions'!$B$13:$B$72, COLUMN() - ($E11 + 5)), 0))
  )
)</f>
        <v>2456.6817069899998</v>
      </c>
      <c r="Q11" s="32">
        <f t="array" ref="Q11">IF(COLUMN() - ($E11 + 5) &lt; 0, 0,
  IF(COLUMN() - ($E11 + 5) = 0, $F11,
    P11 * (1 - IFERROR(INDEX('Inputs &amp; Assuptions'!$B$13:$B$72, COLUMN() - ($E11 + 5)), 0))
  )
)</f>
        <v>2358.4144387103997</v>
      </c>
      <c r="R11" s="32">
        <f t="array" ref="R11">IF(COLUMN() - ($E11 + 5) &lt; 0, 0,
  IF(COLUMN() - ($E11 + 5) = 0, $F11,
    Q11 * (1 - IFERROR(INDEX('Inputs &amp; Assuptions'!$B$13:$B$72, COLUMN() - ($E11 + 5)), 0))
  )
)</f>
        <v>2275.8699333555355</v>
      </c>
      <c r="S11" s="32">
        <f t="array" ref="S11">IF(COLUMN() - ($E11 + 5) &lt; 0, 0,
  IF(COLUMN() - ($E11 + 5) = 0, $F11,
    R11 * (1 - IFERROR(INDEX('Inputs &amp; Assuptions'!$B$13:$B$72, COLUMN() - ($E11 + 5)), 0))
  )
)</f>
        <v>2207.5938353548695</v>
      </c>
      <c r="T11" s="32">
        <f t="array" ref="T11">IF(COLUMN() - ($E11 + 5) &lt; 0, 0,
  IF(COLUMN() - ($E11 + 5) = 0, $F11,
    S11 * (1 - IFERROR(INDEX('Inputs &amp; Assuptions'!$B$13:$B$72, COLUMN() - ($E11 + 5)), 0))
  )
)</f>
        <v>2152.4039894709977</v>
      </c>
      <c r="U11" s="32">
        <f t="array" ref="U11">IF(COLUMN() - ($E11 + 5) &lt; 0, 0,
  IF(COLUMN() - ($E11 + 5) = 0, $F11,
    T11 * (1 - IFERROR(INDEX('Inputs &amp; Assuptions'!$B$13:$B$72, COLUMN() - ($E11 + 5)), 0))
  )
)</f>
        <v>2109.3559096815775</v>
      </c>
      <c r="V11" s="32">
        <f t="array" ref="V11">IF(COLUMN() - ($E11 + 5) &lt; 0, 0,
  IF(COLUMN() - ($E11 + 5) = 0, $F11,
    U11 * (1 - IFERROR(INDEX('Inputs &amp; Assuptions'!$B$13:$B$72, COLUMN() - ($E11 + 5)), 0))
  )
)</f>
        <v>2088.2623505847619</v>
      </c>
      <c r="W11" s="32">
        <f t="array" ref="W11">IF(COLUMN() - ($E11 + 5) &lt; 0, 0,
  IF(COLUMN() - ($E11 + 5) = 0, $F11,
    V11 * (1 - IFERROR(INDEX('Inputs &amp; Assuptions'!$B$13:$B$72, COLUMN() - ($E11 + 5)), 0))
  )
)</f>
        <v>2067.3797270789141</v>
      </c>
      <c r="X11" s="32">
        <f t="array" ref="X11">IF(COLUMN() - ($E11 + 5) &lt; 0, 0,
  IF(COLUMN() - ($E11 + 5) = 0, $F11,
    W11 * (1 - IFERROR(INDEX('Inputs &amp; Assuptions'!$B$13:$B$72, COLUMN() - ($E11 + 5)), 0))
  )
)</f>
        <v>2046.7059298081249</v>
      </c>
      <c r="Y11" s="32">
        <f t="array" ref="Y11">IF(COLUMN() - ($E11 + 5) &lt; 0, 0,
  IF(COLUMN() - ($E11 + 5) = 0, $F11,
    X11 * (1 - IFERROR(INDEX('Inputs &amp; Assuptions'!$B$13:$B$72, COLUMN() - ($E11 + 5)), 0))
  )
)</f>
        <v>2026.2388705100436</v>
      </c>
      <c r="Z11" s="32">
        <f t="array" ref="Z11">IF(COLUMN() - ($E11 + 5) &lt; 0, 0,
  IF(COLUMN() - ($E11 + 5) = 0, $F11,
    Y11 * (1 - IFERROR(INDEX('Inputs &amp; Assuptions'!$B$13:$B$72, COLUMN() - ($E11 + 5)), 0))
  )
)</f>
        <v>2005.9764818049432</v>
      </c>
      <c r="AA11" s="32">
        <f t="array" ref="AA11">IF(COLUMN() - ($E11 + 5) &lt; 0, 0,
  IF(COLUMN() - ($E11 + 5) = 0, $F11,
    Z11 * (1 - IFERROR(INDEX('Inputs &amp; Assuptions'!$B$13:$B$72, COLUMN() - ($E11 + 5)), 0))
  )
)</f>
        <v>1985.9167169868938</v>
      </c>
      <c r="AB11" s="32">
        <f t="array" ref="AB11">IF(COLUMN() - ($E11 + 5) &lt; 0, 0,
  IF(COLUMN() - ($E11 + 5) = 0, $F11,
    AA11 * (1 - IFERROR(INDEX('Inputs &amp; Assuptions'!$B$13:$B$72, COLUMN() - ($E11 + 5)), 0))
  )
)</f>
        <v>1966.0575498170249</v>
      </c>
      <c r="AC11" s="32">
        <f t="array" ref="AC11">IF(COLUMN() - ($E11 + 5) &lt; 0, 0,
  IF(COLUMN() - ($E11 + 5) = 0, $F11,
    AB11 * (1 - IFERROR(INDEX('Inputs &amp; Assuptions'!$B$13:$B$72, COLUMN() - ($E11 + 5)), 0))
  )
)</f>
        <v>1946.3969743188545</v>
      </c>
      <c r="AD11" s="32">
        <f t="array" ref="AD11">IF(COLUMN() - ($E11 + 5) &lt; 0, 0,
  IF(COLUMN() - ($E11 + 5) = 0, $F11,
    AC11 * (1 - IFERROR(INDEX('Inputs &amp; Assuptions'!$B$13:$B$72, COLUMN() - ($E11 + 5)), 0))
  )
)</f>
        <v>1926.933004575666</v>
      </c>
      <c r="AE11" s="32">
        <f t="array" ref="AE11">IF(COLUMN() - ($E11 + 5) &lt; 0, 0,
  IF(COLUMN() - ($E11 + 5) = 0, $F11,
    AD11 * (1 - IFERROR(INDEX('Inputs &amp; Assuptions'!$B$13:$B$72, COLUMN() - ($E11 + 5)), 0))
  )
)</f>
        <v>1907.6636745299093</v>
      </c>
      <c r="AF11" s="32">
        <f t="array" ref="AF11">IF(COLUMN() - ($E11 + 5) &lt; 0, 0,
  IF(COLUMN() - ($E11 + 5) = 0, $F11,
    AE11 * (1 - IFERROR(INDEX('Inputs &amp; Assuptions'!$B$13:$B$72, COLUMN() - ($E11 + 5)), 0))
  )
)</f>
        <v>1888.5870377846102</v>
      </c>
      <c r="AG11" s="32">
        <f t="array" ref="AG11">IF(COLUMN() - ($E11 + 5) &lt; 0, 0,
  IF(COLUMN() - ($E11 + 5) = 0, $F11,
    AF11 * (1 - IFERROR(INDEX('Inputs &amp; Assuptions'!$B$13:$B$72, COLUMN() - ($E11 + 5)), 0))
  )
)</f>
        <v>1869.7011674067639</v>
      </c>
      <c r="AH11" s="32">
        <f t="array" ref="AH11">IF(COLUMN() - ($E11 + 5) &lt; 0, 0,
  IF(COLUMN() - ($E11 + 5) = 0, $F11,
    AG11 * (1 - IFERROR(INDEX('Inputs &amp; Assuptions'!$B$13:$B$72, COLUMN() - ($E11 + 5)), 0))
  )
)</f>
        <v>1851.0041557326963</v>
      </c>
      <c r="AI11" s="32">
        <f t="array" ref="AI11">IF(COLUMN() - ($E11 + 5) &lt; 0, 0,
  IF(COLUMN() - ($E11 + 5) = 0, $F11,
    AH11 * (1 - IFERROR(INDEX('Inputs &amp; Assuptions'!$B$13:$B$72, COLUMN() - ($E11 + 5)), 0))
  )
)</f>
        <v>1832.4941141753693</v>
      </c>
      <c r="AJ11" s="32">
        <f t="array" ref="AJ11">IF(COLUMN() - ($E11 + 5) &lt; 0, 0,
  IF(COLUMN() - ($E11 + 5) = 0, $F11,
    AI11 * (1 - IFERROR(INDEX('Inputs &amp; Assuptions'!$B$13:$B$72, COLUMN() - ($E11 + 5)), 0))
  )
)</f>
        <v>1814.1691730336156</v>
      </c>
      <c r="AK11" s="32">
        <f t="array" ref="AK11">IF(COLUMN() - ($E11 + 5) &lt; 0, 0,
  IF(COLUMN() - ($E11 + 5) = 0, $F11,
    AJ11 * (1 - IFERROR(INDEX('Inputs &amp; Assuptions'!$B$13:$B$72, COLUMN() - ($E11 + 5)), 0))
  )
)</f>
        <v>1796.0274813032795</v>
      </c>
      <c r="AL11" s="32">
        <f t="array" ref="AL11">IF(COLUMN() - ($E11 + 5) &lt; 0, 0,
  IF(COLUMN() - ($E11 + 5) = 0, $F11,
    AK11 * (1 - IFERROR(INDEX('Inputs &amp; Assuptions'!$B$13:$B$72, COLUMN() - ($E11 + 5)), 0))
  )
)</f>
        <v>1778.0672064902467</v>
      </c>
      <c r="AM11" s="32">
        <f t="array" ref="AM11">IF(COLUMN() - ($E11 + 5) &lt; 0, 0,
  IF(COLUMN() - ($E11 + 5) = 0, $F11,
    AL11 * (1 - IFERROR(INDEX('Inputs &amp; Assuptions'!$B$13:$B$72, COLUMN() - ($E11 + 5)), 0))
  )
)</f>
        <v>1760.2865344253441</v>
      </c>
      <c r="AN11" s="32">
        <f t="array" ref="AN11">IF(COLUMN() - ($E11 + 5) &lt; 0, 0,
  IF(COLUMN() - ($E11 + 5) = 0, $F11,
    AM11 * (1 - IFERROR(INDEX('Inputs &amp; Assuptions'!$B$13:$B$72, COLUMN() - ($E11 + 5)), 0))
  )
)</f>
        <v>1742.6836690810908</v>
      </c>
      <c r="AO11" s="32">
        <f t="array" ref="AO11">IF(COLUMN() - ($E11 + 5) &lt; 0, 0,
  IF(COLUMN() - ($E11 + 5) = 0, $F11,
    AN11 * (1 - IFERROR(INDEX('Inputs &amp; Assuptions'!$B$13:$B$72, COLUMN() - ($E11 + 5)), 0))
  )
)</f>
        <v>1725.2568323902799</v>
      </c>
      <c r="AP11" s="32">
        <f t="array" ref="AP11">IF(COLUMN() - ($E11 + 5) &lt; 0, 0,
  IF(COLUMN() - ($E11 + 5) = 0, $F11,
    AO11 * (1 - IFERROR(INDEX('Inputs &amp; Assuptions'!$B$13:$B$72, COLUMN() - ($E11 + 5)), 0))
  )
)</f>
        <v>1708.0042640663771</v>
      </c>
      <c r="AQ11" s="32">
        <f t="array" ref="AQ11">IF(COLUMN() - ($E11 + 5) &lt; 0, 0,
  IF(COLUMN() - ($E11 + 5) = 0, $F11,
    AP11 * (1 - IFERROR(INDEX('Inputs &amp; Assuptions'!$B$13:$B$72, COLUMN() - ($E11 + 5)), 0))
  )
)</f>
        <v>1690.9242214257133</v>
      </c>
      <c r="AR11" s="32">
        <f t="array" ref="AR11">IF(COLUMN() - ($E11 + 5) &lt; 0, 0,
  IF(COLUMN() - ($E11 + 5) = 0, $F11,
    AQ11 * (1 - IFERROR(INDEX('Inputs &amp; Assuptions'!$B$13:$B$72, COLUMN() - ($E11 + 5)), 0))
  )
)</f>
        <v>1674.0149792114562</v>
      </c>
      <c r="AS11" s="32">
        <f t="array" ref="AS11">IF(COLUMN() - ($E11 + 5) &lt; 0, 0,
  IF(COLUMN() - ($E11 + 5) = 0, $F11,
    AR11 * (1 - IFERROR(INDEX('Inputs &amp; Assuptions'!$B$13:$B$72, COLUMN() - ($E11 + 5)), 0))
  )
)</f>
        <v>1657.2748294193416</v>
      </c>
      <c r="AT11" s="32">
        <f t="array" ref="AT11">IF(COLUMN() - ($E11 + 5) &lt; 0, 0,
  IF(COLUMN() - ($E11 + 5) = 0, $F11,
    AS11 * (1 - IFERROR(INDEX('Inputs &amp; Assuptions'!$B$13:$B$72, COLUMN() - ($E11 + 5)), 0))
  )
)</f>
        <v>1640.7020811251482</v>
      </c>
      <c r="AU11" s="32">
        <f t="array" ref="AU11">IF(COLUMN() - ($E11 + 5) &lt; 0, 0,
  IF(COLUMN() - ($E11 + 5) = 0, $F11,
    AT11 * (1 - IFERROR(INDEX('Inputs &amp; Assuptions'!$B$13:$B$72, COLUMN() - ($E11 + 5)), 0))
  )
)</f>
        <v>1624.2950603138968</v>
      </c>
      <c r="AV11" s="32">
        <f t="array" ref="AV11">IF(COLUMN() - ($E11 + 5) &lt; 0, 0,
  IF(COLUMN() - ($E11 + 5) = 0, $F11,
    AU11 * (1 - IFERROR(INDEX('Inputs &amp; Assuptions'!$B$13:$B$72, COLUMN() - ($E11 + 5)), 0))
  )
)</f>
        <v>1608.0521097107578</v>
      </c>
      <c r="AW11" s="32">
        <f t="array" ref="AW11">IF(COLUMN() - ($E11 + 5) &lt; 0, 0,
  IF(COLUMN() - ($E11 + 5) = 0, $F11,
    AV11 * (1 - IFERROR(INDEX('Inputs &amp; Assuptions'!$B$13:$B$72, COLUMN() - ($E11 + 5)), 0))
  )
)</f>
        <v>1591.9715886136503</v>
      </c>
      <c r="AX11" s="32">
        <f t="array" ref="AX11">IF(COLUMN() - ($E11 + 5) &lt; 0, 0,
  IF(COLUMN() - ($E11 + 5) = 0, $F11,
    AW11 * (1 - IFERROR(INDEX('Inputs &amp; Assuptions'!$B$13:$B$72, COLUMN() - ($E11 + 5)), 0))
  )
)</f>
        <v>1576.0518727275137</v>
      </c>
      <c r="AY11" s="32">
        <f t="array" ref="AY11">IF(COLUMN() - ($E11 + 5) &lt; 0, 0,
  IF(COLUMN() - ($E11 + 5) = 0, $F11,
    AX11 * (1 - IFERROR(INDEX('Inputs &amp; Assuptions'!$B$13:$B$72, COLUMN() - ($E11 + 5)), 0))
  )
)</f>
        <v>1560.2913540002385</v>
      </c>
      <c r="AZ11" s="32">
        <f t="array" ref="AZ11">IF(COLUMN() - ($E11 + 5) &lt; 0, 0,
  IF(COLUMN() - ($E11 + 5) = 0, $F11,
    AY11 * (1 - IFERROR(INDEX('Inputs &amp; Assuptions'!$B$13:$B$72, COLUMN() - ($E11 + 5)), 0))
  )
)</f>
        <v>1544.6884404602361</v>
      </c>
      <c r="BA11" s="32">
        <f t="array" ref="BA11">IF(COLUMN() - ($E11 + 5) &lt; 0, 0,
  IF(COLUMN() - ($E11 + 5) = 0, $F11,
    AZ11 * (1 - IFERROR(INDEX('Inputs &amp; Assuptions'!$B$13:$B$72, COLUMN() - ($E11 + 5)), 0))
  )
)</f>
        <v>1529.2415560556337</v>
      </c>
      <c r="BB11" s="32">
        <f t="array" ref="BB11">IF(COLUMN() - ($E11 + 5) &lt; 0, 0,
  IF(COLUMN() - ($E11 + 5) = 0, $F11,
    BA11 * (1 - IFERROR(INDEX('Inputs &amp; Assuptions'!$B$13:$B$72, COLUMN() - ($E11 + 5)), 0))
  )
)</f>
        <v>1513.9491404950775</v>
      </c>
      <c r="BC11" s="32">
        <f t="array" ref="BC11">IF(COLUMN() - ($E11 + 5) &lt; 0, 0,
  IF(COLUMN() - ($E11 + 5) = 0, $F11,
    BB11 * (1 - IFERROR(INDEX('Inputs &amp; Assuptions'!$B$13:$B$72, COLUMN() - ($E11 + 5)), 0))
  )
)</f>
        <v>1498.8096490901266</v>
      </c>
      <c r="BD11" s="32">
        <f t="array" ref="BD11">IF(COLUMN() - ($E11 + 5) &lt; 0, 0,
  IF(COLUMN() - ($E11 + 5) = 0, $F11,
    BC11 * (1 - IFERROR(INDEX('Inputs &amp; Assuptions'!$B$13:$B$72, COLUMN() - ($E11 + 5)), 0))
  )
)</f>
        <v>1483.8215525992255</v>
      </c>
      <c r="BE11" s="32">
        <f t="array" ref="BE11">IF(COLUMN() - ($E11 + 5) &lt; 0, 0,
  IF(COLUMN() - ($E11 + 5) = 0, $F11,
    BD11 * (1 - IFERROR(INDEX('Inputs &amp; Assuptions'!$B$13:$B$72, COLUMN() - ($E11 + 5)), 0))
  )
)</f>
        <v>1468.9833370732333</v>
      </c>
      <c r="BF11" s="32">
        <f t="array" ref="BF11">IF(COLUMN() - ($E11 + 5) &lt; 0, 0,
  IF(COLUMN() - ($E11 + 5) = 0, $F11,
    BE11 * (1 - IFERROR(INDEX('Inputs &amp; Assuptions'!$B$13:$B$72, COLUMN() - ($E11 + 5)), 0))
  )
)</f>
        <v>1454.2935037025009</v>
      </c>
      <c r="BG11" s="32">
        <f t="array" ref="BG11">IF(COLUMN() - ($E11 + 5) &lt; 0, 0,
  IF(COLUMN() - ($E11 + 5) = 0, $F11,
    BF11 * (1 - IFERROR(INDEX('Inputs &amp; Assuptions'!$B$13:$B$72, COLUMN() - ($E11 + 5)), 0))
  )
)</f>
        <v>1439.7505686654758</v>
      </c>
      <c r="BH11" s="32">
        <f t="array" ref="BH11">IF(COLUMN() - ($E11 + 5) &lt; 0, 0,
  IF(COLUMN() - ($E11 + 5) = 0, $F11,
    BG11 * (1 - IFERROR(INDEX('Inputs &amp; Assuptions'!$B$13:$B$72, COLUMN() - ($E11 + 5)), 0))
  )
)</f>
        <v>1425.3530629788211</v>
      </c>
      <c r="BI11" s="32">
        <f t="array" ref="BI11">IF(COLUMN() - ($E11 + 5) &lt; 0, 0,
  IF(COLUMN() - ($E11 + 5) = 0, $F11,
    BH11 * (1 - IFERROR(INDEX('Inputs &amp; Assuptions'!$B$13:$B$72, COLUMN() - ($E11 + 5)), 0))
  )
)</f>
        <v>1411.0995323490329</v>
      </c>
      <c r="BJ11" s="32">
        <f t="array" ref="BJ11">IF(COLUMN() - ($E11 + 5) &lt; 0, 0,
  IF(COLUMN() - ($E11 + 5) = 0, $F11,
    BI11 * (1 - IFERROR(INDEX('Inputs &amp; Assuptions'!$B$13:$B$72, COLUMN() - ($E11 + 5)), 0))
  )
)</f>
        <v>1396.9885370255424</v>
      </c>
      <c r="BK11" s="32">
        <f t="array" ref="BK11">IF(COLUMN() - ($E11 + 5) &lt; 0, 0,
  IF(COLUMN() - ($E11 + 5) = 0, $F11,
    BJ11 * (1 - IFERROR(INDEX('Inputs &amp; Assuptions'!$B$13:$B$72, COLUMN() - ($E11 + 5)), 0))
  )
)</f>
        <v>1383.0186516552869</v>
      </c>
      <c r="BL11" s="32">
        <f t="array" ref="BL11">IF(COLUMN() - ($E11 + 5) &lt; 0, 0,
  IF(COLUMN() - ($E11 + 5) = 0, $F11,
    BK11 * (1 - IFERROR(INDEX('Inputs &amp; Assuptions'!$B$13:$B$72, COLUMN() - ($E11 + 5)), 0))
  )
)</f>
        <v>1369.188465138734</v>
      </c>
      <c r="BM11" s="66">
        <f t="array" ref="BM11">IF(COLUMN() - ($E11 + 5) &lt; 0, 0,
  IF(COLUMN() - ($E11 + 5) = 0, $F11,
    BL11 * (1 - IFERROR(INDEX('Inputs &amp; Assuptions'!$B$13:$B$72, COLUMN() - ($E11 + 5)), 0))
  )
)</f>
        <v>1355.4965804873466</v>
      </c>
      <c r="BN11" s="33"/>
    </row>
    <row r="12" spans="1:67" x14ac:dyDescent="0.3">
      <c r="A12" s="71">
        <f t="shared" si="2"/>
        <v>7</v>
      </c>
      <c r="B12" s="75">
        <f t="shared" si="4"/>
        <v>6000</v>
      </c>
      <c r="C12" s="81">
        <f>$B12*(1-'Inputs &amp; Assuptions'!$B$12)</f>
        <v>3480.0000000000005</v>
      </c>
      <c r="E12" s="71">
        <f t="shared" si="3"/>
        <v>7</v>
      </c>
      <c r="F12" s="65"/>
      <c r="G12" s="32"/>
      <c r="H12" s="32"/>
      <c r="I12" s="32"/>
      <c r="J12" s="32"/>
      <c r="K12" s="32"/>
      <c r="L12" s="32">
        <f>+$C12</f>
        <v>3480.0000000000005</v>
      </c>
      <c r="M12" s="32">
        <f t="array" ref="M12">IF(COLUMN() - ($E12 + 5) &lt; 0, 0,
  IF(COLUMN() - ($E12 + 5) = 0, $F12,
    L12 * (1 - IFERROR(INDEX('Inputs &amp; Assuptions'!$B$13:$B$72, COLUMN() - ($E12 + 5)), 0))
  )
)</f>
        <v>3114.6000000000004</v>
      </c>
      <c r="N12" s="32">
        <f t="array" ref="N12">IF(COLUMN() - ($E12 + 5) &lt; 0, 0,
  IF(COLUMN() - ($E12 + 5) = 0, $F12,
    M12 * (1 - IFERROR(INDEX('Inputs &amp; Assuptions'!$B$13:$B$72, COLUMN() - ($E12 + 5)), 0))
  )
)</f>
        <v>2865.4320000000002</v>
      </c>
      <c r="O12" s="32">
        <f t="array" ref="O12">IF(COLUMN() - ($E12 + 5) &lt; 0, 0,
  IF(COLUMN() - ($E12 + 5) = 0, $F12,
    N12 * (1 - IFERROR(INDEX('Inputs &amp; Assuptions'!$B$13:$B$72, COLUMN() - ($E12 + 5)), 0))
  )
)</f>
        <v>2707.8332399999999</v>
      </c>
      <c r="P12" s="32">
        <f t="array" ref="P12">IF(COLUMN() - ($E12 + 5) &lt; 0, 0,
  IF(COLUMN() - ($E12 + 5) = 0, $F12,
    O12 * (1 - IFERROR(INDEX('Inputs &amp; Assuptions'!$B$13:$B$72, COLUMN() - ($E12 + 5)), 0))
  )
)</f>
        <v>2572.4415779999999</v>
      </c>
      <c r="Q12" s="32">
        <f t="array" ref="Q12">IF(COLUMN() - ($E12 + 5) &lt; 0, 0,
  IF(COLUMN() - ($E12 + 5) = 0, $F12,
    P12 * (1 - IFERROR(INDEX('Inputs &amp; Assuptions'!$B$13:$B$72, COLUMN() - ($E12 + 5)), 0))
  )
)</f>
        <v>2456.6817069899998</v>
      </c>
      <c r="R12" s="32">
        <f t="array" ref="R12">IF(COLUMN() - ($E12 + 5) &lt; 0, 0,
  IF(COLUMN() - ($E12 + 5) = 0, $F12,
    Q12 * (1 - IFERROR(INDEX('Inputs &amp; Assuptions'!$B$13:$B$72, COLUMN() - ($E12 + 5)), 0))
  )
)</f>
        <v>2358.4144387103997</v>
      </c>
      <c r="S12" s="32">
        <f t="array" ref="S12">IF(COLUMN() - ($E12 + 5) &lt; 0, 0,
  IF(COLUMN() - ($E12 + 5) = 0, $F12,
    R12 * (1 - IFERROR(INDEX('Inputs &amp; Assuptions'!$B$13:$B$72, COLUMN() - ($E12 + 5)), 0))
  )
)</f>
        <v>2275.8699333555355</v>
      </c>
      <c r="T12" s="32">
        <f t="array" ref="T12">IF(COLUMN() - ($E12 + 5) &lt; 0, 0,
  IF(COLUMN() - ($E12 + 5) = 0, $F12,
    S12 * (1 - IFERROR(INDEX('Inputs &amp; Assuptions'!$B$13:$B$72, COLUMN() - ($E12 + 5)), 0))
  )
)</f>
        <v>2207.5938353548695</v>
      </c>
      <c r="U12" s="32">
        <f t="array" ref="U12">IF(COLUMN() - ($E12 + 5) &lt; 0, 0,
  IF(COLUMN() - ($E12 + 5) = 0, $F12,
    T12 * (1 - IFERROR(INDEX('Inputs &amp; Assuptions'!$B$13:$B$72, COLUMN() - ($E12 + 5)), 0))
  )
)</f>
        <v>2152.4039894709977</v>
      </c>
      <c r="V12" s="32">
        <f t="array" ref="V12">IF(COLUMN() - ($E12 + 5) &lt; 0, 0,
  IF(COLUMN() - ($E12 + 5) = 0, $F12,
    U12 * (1 - IFERROR(INDEX('Inputs &amp; Assuptions'!$B$13:$B$72, COLUMN() - ($E12 + 5)), 0))
  )
)</f>
        <v>2109.3559096815775</v>
      </c>
      <c r="W12" s="32">
        <f t="array" ref="W12">IF(COLUMN() - ($E12 + 5) &lt; 0, 0,
  IF(COLUMN() - ($E12 + 5) = 0, $F12,
    V12 * (1 - IFERROR(INDEX('Inputs &amp; Assuptions'!$B$13:$B$72, COLUMN() - ($E12 + 5)), 0))
  )
)</f>
        <v>2088.2623505847619</v>
      </c>
      <c r="X12" s="32">
        <f t="array" ref="X12">IF(COLUMN() - ($E12 + 5) &lt; 0, 0,
  IF(COLUMN() - ($E12 + 5) = 0, $F12,
    W12 * (1 - IFERROR(INDEX('Inputs &amp; Assuptions'!$B$13:$B$72, COLUMN() - ($E12 + 5)), 0))
  )
)</f>
        <v>2067.3797270789141</v>
      </c>
      <c r="Y12" s="32">
        <f t="array" ref="Y12">IF(COLUMN() - ($E12 + 5) &lt; 0, 0,
  IF(COLUMN() - ($E12 + 5) = 0, $F12,
    X12 * (1 - IFERROR(INDEX('Inputs &amp; Assuptions'!$B$13:$B$72, COLUMN() - ($E12 + 5)), 0))
  )
)</f>
        <v>2046.7059298081249</v>
      </c>
      <c r="Z12" s="32">
        <f t="array" ref="Z12">IF(COLUMN() - ($E12 + 5) &lt; 0, 0,
  IF(COLUMN() - ($E12 + 5) = 0, $F12,
    Y12 * (1 - IFERROR(INDEX('Inputs &amp; Assuptions'!$B$13:$B$72, COLUMN() - ($E12 + 5)), 0))
  )
)</f>
        <v>2026.2388705100436</v>
      </c>
      <c r="AA12" s="32">
        <f t="array" ref="AA12">IF(COLUMN() - ($E12 + 5) &lt; 0, 0,
  IF(COLUMN() - ($E12 + 5) = 0, $F12,
    Z12 * (1 - IFERROR(INDEX('Inputs &amp; Assuptions'!$B$13:$B$72, COLUMN() - ($E12 + 5)), 0))
  )
)</f>
        <v>2005.9764818049432</v>
      </c>
      <c r="AB12" s="32">
        <f t="array" ref="AB12">IF(COLUMN() - ($E12 + 5) &lt; 0, 0,
  IF(COLUMN() - ($E12 + 5) = 0, $F12,
    AA12 * (1 - IFERROR(INDEX('Inputs &amp; Assuptions'!$B$13:$B$72, COLUMN() - ($E12 + 5)), 0))
  )
)</f>
        <v>1985.9167169868938</v>
      </c>
      <c r="AC12" s="32">
        <f t="array" ref="AC12">IF(COLUMN() - ($E12 + 5) &lt; 0, 0,
  IF(COLUMN() - ($E12 + 5) = 0, $F12,
    AB12 * (1 - IFERROR(INDEX('Inputs &amp; Assuptions'!$B$13:$B$72, COLUMN() - ($E12 + 5)), 0))
  )
)</f>
        <v>1966.0575498170249</v>
      </c>
      <c r="AD12" s="32">
        <f t="array" ref="AD12">IF(COLUMN() - ($E12 + 5) &lt; 0, 0,
  IF(COLUMN() - ($E12 + 5) = 0, $F12,
    AC12 * (1 - IFERROR(INDEX('Inputs &amp; Assuptions'!$B$13:$B$72, COLUMN() - ($E12 + 5)), 0))
  )
)</f>
        <v>1946.3969743188545</v>
      </c>
      <c r="AE12" s="32">
        <f t="array" ref="AE12">IF(COLUMN() - ($E12 + 5) &lt; 0, 0,
  IF(COLUMN() - ($E12 + 5) = 0, $F12,
    AD12 * (1 - IFERROR(INDEX('Inputs &amp; Assuptions'!$B$13:$B$72, COLUMN() - ($E12 + 5)), 0))
  )
)</f>
        <v>1926.933004575666</v>
      </c>
      <c r="AF12" s="32">
        <f t="array" ref="AF12">IF(COLUMN() - ($E12 + 5) &lt; 0, 0,
  IF(COLUMN() - ($E12 + 5) = 0, $F12,
    AE12 * (1 - IFERROR(INDEX('Inputs &amp; Assuptions'!$B$13:$B$72, COLUMN() - ($E12 + 5)), 0))
  )
)</f>
        <v>1907.6636745299093</v>
      </c>
      <c r="AG12" s="32">
        <f t="array" ref="AG12">IF(COLUMN() - ($E12 + 5) &lt; 0, 0,
  IF(COLUMN() - ($E12 + 5) = 0, $F12,
    AF12 * (1 - IFERROR(INDEX('Inputs &amp; Assuptions'!$B$13:$B$72, COLUMN() - ($E12 + 5)), 0))
  )
)</f>
        <v>1888.5870377846102</v>
      </c>
      <c r="AH12" s="32">
        <f t="array" ref="AH12">IF(COLUMN() - ($E12 + 5) &lt; 0, 0,
  IF(COLUMN() - ($E12 + 5) = 0, $F12,
    AG12 * (1 - IFERROR(INDEX('Inputs &amp; Assuptions'!$B$13:$B$72, COLUMN() - ($E12 + 5)), 0))
  )
)</f>
        <v>1869.7011674067639</v>
      </c>
      <c r="AI12" s="32">
        <f t="array" ref="AI12">IF(COLUMN() - ($E12 + 5) &lt; 0, 0,
  IF(COLUMN() - ($E12 + 5) = 0, $F12,
    AH12 * (1 - IFERROR(INDEX('Inputs &amp; Assuptions'!$B$13:$B$72, COLUMN() - ($E12 + 5)), 0))
  )
)</f>
        <v>1851.0041557326963</v>
      </c>
      <c r="AJ12" s="32">
        <f t="array" ref="AJ12">IF(COLUMN() - ($E12 + 5) &lt; 0, 0,
  IF(COLUMN() - ($E12 + 5) = 0, $F12,
    AI12 * (1 - IFERROR(INDEX('Inputs &amp; Assuptions'!$B$13:$B$72, COLUMN() - ($E12 + 5)), 0))
  )
)</f>
        <v>1832.4941141753693</v>
      </c>
      <c r="AK12" s="32">
        <f t="array" ref="AK12">IF(COLUMN() - ($E12 + 5) &lt; 0, 0,
  IF(COLUMN() - ($E12 + 5) = 0, $F12,
    AJ12 * (1 - IFERROR(INDEX('Inputs &amp; Assuptions'!$B$13:$B$72, COLUMN() - ($E12 + 5)), 0))
  )
)</f>
        <v>1814.1691730336156</v>
      </c>
      <c r="AL12" s="32">
        <f t="array" ref="AL12">IF(COLUMN() - ($E12 + 5) &lt; 0, 0,
  IF(COLUMN() - ($E12 + 5) = 0, $F12,
    AK12 * (1 - IFERROR(INDEX('Inputs &amp; Assuptions'!$B$13:$B$72, COLUMN() - ($E12 + 5)), 0))
  )
)</f>
        <v>1796.0274813032795</v>
      </c>
      <c r="AM12" s="32">
        <f t="array" ref="AM12">IF(COLUMN() - ($E12 + 5) &lt; 0, 0,
  IF(COLUMN() - ($E12 + 5) = 0, $F12,
    AL12 * (1 - IFERROR(INDEX('Inputs &amp; Assuptions'!$B$13:$B$72, COLUMN() - ($E12 + 5)), 0))
  )
)</f>
        <v>1778.0672064902467</v>
      </c>
      <c r="AN12" s="32">
        <f t="array" ref="AN12">IF(COLUMN() - ($E12 + 5) &lt; 0, 0,
  IF(COLUMN() - ($E12 + 5) = 0, $F12,
    AM12 * (1 - IFERROR(INDEX('Inputs &amp; Assuptions'!$B$13:$B$72, COLUMN() - ($E12 + 5)), 0))
  )
)</f>
        <v>1760.2865344253441</v>
      </c>
      <c r="AO12" s="32">
        <f t="array" ref="AO12">IF(COLUMN() - ($E12 + 5) &lt; 0, 0,
  IF(COLUMN() - ($E12 + 5) = 0, $F12,
    AN12 * (1 - IFERROR(INDEX('Inputs &amp; Assuptions'!$B$13:$B$72, COLUMN() - ($E12 + 5)), 0))
  )
)</f>
        <v>1742.6836690810908</v>
      </c>
      <c r="AP12" s="32">
        <f t="array" ref="AP12">IF(COLUMN() - ($E12 + 5) &lt; 0, 0,
  IF(COLUMN() - ($E12 + 5) = 0, $F12,
    AO12 * (1 - IFERROR(INDEX('Inputs &amp; Assuptions'!$B$13:$B$72, COLUMN() - ($E12 + 5)), 0))
  )
)</f>
        <v>1725.2568323902799</v>
      </c>
      <c r="AQ12" s="32">
        <f t="array" ref="AQ12">IF(COLUMN() - ($E12 + 5) &lt; 0, 0,
  IF(COLUMN() - ($E12 + 5) = 0, $F12,
    AP12 * (1 - IFERROR(INDEX('Inputs &amp; Assuptions'!$B$13:$B$72, COLUMN() - ($E12 + 5)), 0))
  )
)</f>
        <v>1708.0042640663771</v>
      </c>
      <c r="AR12" s="32">
        <f t="array" ref="AR12">IF(COLUMN() - ($E12 + 5) &lt; 0, 0,
  IF(COLUMN() - ($E12 + 5) = 0, $F12,
    AQ12 * (1 - IFERROR(INDEX('Inputs &amp; Assuptions'!$B$13:$B$72, COLUMN() - ($E12 + 5)), 0))
  )
)</f>
        <v>1690.9242214257133</v>
      </c>
      <c r="AS12" s="32">
        <f t="array" ref="AS12">IF(COLUMN() - ($E12 + 5) &lt; 0, 0,
  IF(COLUMN() - ($E12 + 5) = 0, $F12,
    AR12 * (1 - IFERROR(INDEX('Inputs &amp; Assuptions'!$B$13:$B$72, COLUMN() - ($E12 + 5)), 0))
  )
)</f>
        <v>1674.0149792114562</v>
      </c>
      <c r="AT12" s="32">
        <f t="array" ref="AT12">IF(COLUMN() - ($E12 + 5) &lt; 0, 0,
  IF(COLUMN() - ($E12 + 5) = 0, $F12,
    AS12 * (1 - IFERROR(INDEX('Inputs &amp; Assuptions'!$B$13:$B$72, COLUMN() - ($E12 + 5)), 0))
  )
)</f>
        <v>1657.2748294193416</v>
      </c>
      <c r="AU12" s="32">
        <f t="array" ref="AU12">IF(COLUMN() - ($E12 + 5) &lt; 0, 0,
  IF(COLUMN() - ($E12 + 5) = 0, $F12,
    AT12 * (1 - IFERROR(INDEX('Inputs &amp; Assuptions'!$B$13:$B$72, COLUMN() - ($E12 + 5)), 0))
  )
)</f>
        <v>1640.7020811251482</v>
      </c>
      <c r="AV12" s="32">
        <f t="array" ref="AV12">IF(COLUMN() - ($E12 + 5) &lt; 0, 0,
  IF(COLUMN() - ($E12 + 5) = 0, $F12,
    AU12 * (1 - IFERROR(INDEX('Inputs &amp; Assuptions'!$B$13:$B$72, COLUMN() - ($E12 + 5)), 0))
  )
)</f>
        <v>1624.2950603138968</v>
      </c>
      <c r="AW12" s="32">
        <f t="array" ref="AW12">IF(COLUMN() - ($E12 + 5) &lt; 0, 0,
  IF(COLUMN() - ($E12 + 5) = 0, $F12,
    AV12 * (1 - IFERROR(INDEX('Inputs &amp; Assuptions'!$B$13:$B$72, COLUMN() - ($E12 + 5)), 0))
  )
)</f>
        <v>1608.0521097107578</v>
      </c>
      <c r="AX12" s="32">
        <f t="array" ref="AX12">IF(COLUMN() - ($E12 + 5) &lt; 0, 0,
  IF(COLUMN() - ($E12 + 5) = 0, $F12,
    AW12 * (1 - IFERROR(INDEX('Inputs &amp; Assuptions'!$B$13:$B$72, COLUMN() - ($E12 + 5)), 0))
  )
)</f>
        <v>1591.9715886136503</v>
      </c>
      <c r="AY12" s="32">
        <f t="array" ref="AY12">IF(COLUMN() - ($E12 + 5) &lt; 0, 0,
  IF(COLUMN() - ($E12 + 5) = 0, $F12,
    AX12 * (1 - IFERROR(INDEX('Inputs &amp; Assuptions'!$B$13:$B$72, COLUMN() - ($E12 + 5)), 0))
  )
)</f>
        <v>1576.0518727275137</v>
      </c>
      <c r="AZ12" s="32">
        <f t="array" ref="AZ12">IF(COLUMN() - ($E12 + 5) &lt; 0, 0,
  IF(COLUMN() - ($E12 + 5) = 0, $F12,
    AY12 * (1 - IFERROR(INDEX('Inputs &amp; Assuptions'!$B$13:$B$72, COLUMN() - ($E12 + 5)), 0))
  )
)</f>
        <v>1560.2913540002385</v>
      </c>
      <c r="BA12" s="32">
        <f t="array" ref="BA12">IF(COLUMN() - ($E12 + 5) &lt; 0, 0,
  IF(COLUMN() - ($E12 + 5) = 0, $F12,
    AZ12 * (1 - IFERROR(INDEX('Inputs &amp; Assuptions'!$B$13:$B$72, COLUMN() - ($E12 + 5)), 0))
  )
)</f>
        <v>1544.6884404602361</v>
      </c>
      <c r="BB12" s="32">
        <f t="array" ref="BB12">IF(COLUMN() - ($E12 + 5) &lt; 0, 0,
  IF(COLUMN() - ($E12 + 5) = 0, $F12,
    BA12 * (1 - IFERROR(INDEX('Inputs &amp; Assuptions'!$B$13:$B$72, COLUMN() - ($E12 + 5)), 0))
  )
)</f>
        <v>1529.2415560556337</v>
      </c>
      <c r="BC12" s="32">
        <f t="array" ref="BC12">IF(COLUMN() - ($E12 + 5) &lt; 0, 0,
  IF(COLUMN() - ($E12 + 5) = 0, $F12,
    BB12 * (1 - IFERROR(INDEX('Inputs &amp; Assuptions'!$B$13:$B$72, COLUMN() - ($E12 + 5)), 0))
  )
)</f>
        <v>1513.9491404950775</v>
      </c>
      <c r="BD12" s="32">
        <f t="array" ref="BD12">IF(COLUMN() - ($E12 + 5) &lt; 0, 0,
  IF(COLUMN() - ($E12 + 5) = 0, $F12,
    BC12 * (1 - IFERROR(INDEX('Inputs &amp; Assuptions'!$B$13:$B$72, COLUMN() - ($E12 + 5)), 0))
  )
)</f>
        <v>1498.8096490901266</v>
      </c>
      <c r="BE12" s="32">
        <f t="array" ref="BE12">IF(COLUMN() - ($E12 + 5) &lt; 0, 0,
  IF(COLUMN() - ($E12 + 5) = 0, $F12,
    BD12 * (1 - IFERROR(INDEX('Inputs &amp; Assuptions'!$B$13:$B$72, COLUMN() - ($E12 + 5)), 0))
  )
)</f>
        <v>1483.8215525992255</v>
      </c>
      <c r="BF12" s="32">
        <f t="array" ref="BF12">IF(COLUMN() - ($E12 + 5) &lt; 0, 0,
  IF(COLUMN() - ($E12 + 5) = 0, $F12,
    BE12 * (1 - IFERROR(INDEX('Inputs &amp; Assuptions'!$B$13:$B$72, COLUMN() - ($E12 + 5)), 0))
  )
)</f>
        <v>1468.9833370732333</v>
      </c>
      <c r="BG12" s="32">
        <f t="array" ref="BG12">IF(COLUMN() - ($E12 + 5) &lt; 0, 0,
  IF(COLUMN() - ($E12 + 5) = 0, $F12,
    BF12 * (1 - IFERROR(INDEX('Inputs &amp; Assuptions'!$B$13:$B$72, COLUMN() - ($E12 + 5)), 0))
  )
)</f>
        <v>1454.2935037025009</v>
      </c>
      <c r="BH12" s="32">
        <f t="array" ref="BH12">IF(COLUMN() - ($E12 + 5) &lt; 0, 0,
  IF(COLUMN() - ($E12 + 5) = 0, $F12,
    BG12 * (1 - IFERROR(INDEX('Inputs &amp; Assuptions'!$B$13:$B$72, COLUMN() - ($E12 + 5)), 0))
  )
)</f>
        <v>1439.7505686654758</v>
      </c>
      <c r="BI12" s="32">
        <f t="array" ref="BI12">IF(COLUMN() - ($E12 + 5) &lt; 0, 0,
  IF(COLUMN() - ($E12 + 5) = 0, $F12,
    BH12 * (1 - IFERROR(INDEX('Inputs &amp; Assuptions'!$B$13:$B$72, COLUMN() - ($E12 + 5)), 0))
  )
)</f>
        <v>1425.3530629788211</v>
      </c>
      <c r="BJ12" s="32">
        <f t="array" ref="BJ12">IF(COLUMN() - ($E12 + 5) &lt; 0, 0,
  IF(COLUMN() - ($E12 + 5) = 0, $F12,
    BI12 * (1 - IFERROR(INDEX('Inputs &amp; Assuptions'!$B$13:$B$72, COLUMN() - ($E12 + 5)), 0))
  )
)</f>
        <v>1411.0995323490329</v>
      </c>
      <c r="BK12" s="32">
        <f t="array" ref="BK12">IF(COLUMN() - ($E12 + 5) &lt; 0, 0,
  IF(COLUMN() - ($E12 + 5) = 0, $F12,
    BJ12 * (1 - IFERROR(INDEX('Inputs &amp; Assuptions'!$B$13:$B$72, COLUMN() - ($E12 + 5)), 0))
  )
)</f>
        <v>1396.9885370255424</v>
      </c>
      <c r="BL12" s="32">
        <f t="array" ref="BL12">IF(COLUMN() - ($E12 + 5) &lt; 0, 0,
  IF(COLUMN() - ($E12 + 5) = 0, $F12,
    BK12 * (1 - IFERROR(INDEX('Inputs &amp; Assuptions'!$B$13:$B$72, COLUMN() - ($E12 + 5)), 0))
  )
)</f>
        <v>1383.0186516552869</v>
      </c>
      <c r="BM12" s="66">
        <f t="array" ref="BM12">IF(COLUMN() - ($E12 + 5) &lt; 0, 0,
  IF(COLUMN() - ($E12 + 5) = 0, $F12,
    BL12 * (1 - IFERROR(INDEX('Inputs &amp; Assuptions'!$B$13:$B$72, COLUMN() - ($E12 + 5)), 0))
  )
)</f>
        <v>1369.188465138734</v>
      </c>
      <c r="BN12" s="33"/>
    </row>
    <row r="13" spans="1:67" x14ac:dyDescent="0.3">
      <c r="A13" s="71">
        <f t="shared" si="2"/>
        <v>8</v>
      </c>
      <c r="B13" s="75">
        <f t="shared" si="4"/>
        <v>6000</v>
      </c>
      <c r="C13" s="81">
        <f>$B13*(1-'Inputs &amp; Assuptions'!$B$12)</f>
        <v>3480.0000000000005</v>
      </c>
      <c r="E13" s="71">
        <f t="shared" si="3"/>
        <v>8</v>
      </c>
      <c r="F13" s="65"/>
      <c r="G13" s="32"/>
      <c r="H13" s="32"/>
      <c r="I13" s="32"/>
      <c r="J13" s="32"/>
      <c r="K13" s="32"/>
      <c r="L13" s="32"/>
      <c r="M13" s="32">
        <f>+$C13</f>
        <v>3480.0000000000005</v>
      </c>
      <c r="N13" s="32">
        <f t="array" ref="N13">IF(COLUMN() - ($E13 + 5) &lt; 0, 0,
  IF(COLUMN() - ($E13 + 5) = 0, $F13,
    M13 * (1 - IFERROR(INDEX('Inputs &amp; Assuptions'!$B$13:$B$72, COLUMN() - ($E13 + 5)), 0))
  )
)</f>
        <v>3114.6000000000004</v>
      </c>
      <c r="O13" s="32">
        <f t="array" ref="O13">IF(COLUMN() - ($E13 + 5) &lt; 0, 0,
  IF(COLUMN() - ($E13 + 5) = 0, $F13,
    N13 * (1 - IFERROR(INDEX('Inputs &amp; Assuptions'!$B$13:$B$72, COLUMN() - ($E13 + 5)), 0))
  )
)</f>
        <v>2865.4320000000002</v>
      </c>
      <c r="P13" s="32">
        <f t="array" ref="P13">IF(COLUMN() - ($E13 + 5) &lt; 0, 0,
  IF(COLUMN() - ($E13 + 5) = 0, $F13,
    O13 * (1 - IFERROR(INDEX('Inputs &amp; Assuptions'!$B$13:$B$72, COLUMN() - ($E13 + 5)), 0))
  )
)</f>
        <v>2707.8332399999999</v>
      </c>
      <c r="Q13" s="32">
        <f t="array" ref="Q13">IF(COLUMN() - ($E13 + 5) &lt; 0, 0,
  IF(COLUMN() - ($E13 + 5) = 0, $F13,
    P13 * (1 - IFERROR(INDEX('Inputs &amp; Assuptions'!$B$13:$B$72, COLUMN() - ($E13 + 5)), 0))
  )
)</f>
        <v>2572.4415779999999</v>
      </c>
      <c r="R13" s="32">
        <f t="array" ref="R13">IF(COLUMN() - ($E13 + 5) &lt; 0, 0,
  IF(COLUMN() - ($E13 + 5) = 0, $F13,
    Q13 * (1 - IFERROR(INDEX('Inputs &amp; Assuptions'!$B$13:$B$72, COLUMN() - ($E13 + 5)), 0))
  )
)</f>
        <v>2456.6817069899998</v>
      </c>
      <c r="S13" s="32">
        <f t="array" ref="S13">IF(COLUMN() - ($E13 + 5) &lt; 0, 0,
  IF(COLUMN() - ($E13 + 5) = 0, $F13,
    R13 * (1 - IFERROR(INDEX('Inputs &amp; Assuptions'!$B$13:$B$72, COLUMN() - ($E13 + 5)), 0))
  )
)</f>
        <v>2358.4144387103997</v>
      </c>
      <c r="T13" s="32">
        <f t="array" ref="T13">IF(COLUMN() - ($E13 + 5) &lt; 0, 0,
  IF(COLUMN() - ($E13 + 5) = 0, $F13,
    S13 * (1 - IFERROR(INDEX('Inputs &amp; Assuptions'!$B$13:$B$72, COLUMN() - ($E13 + 5)), 0))
  )
)</f>
        <v>2275.8699333555355</v>
      </c>
      <c r="U13" s="32">
        <f t="array" ref="U13">IF(COLUMN() - ($E13 + 5) &lt; 0, 0,
  IF(COLUMN() - ($E13 + 5) = 0, $F13,
    T13 * (1 - IFERROR(INDEX('Inputs &amp; Assuptions'!$B$13:$B$72, COLUMN() - ($E13 + 5)), 0))
  )
)</f>
        <v>2207.5938353548695</v>
      </c>
      <c r="V13" s="32">
        <f t="array" ref="V13">IF(COLUMN() - ($E13 + 5) &lt; 0, 0,
  IF(COLUMN() - ($E13 + 5) = 0, $F13,
    U13 * (1 - IFERROR(INDEX('Inputs &amp; Assuptions'!$B$13:$B$72, COLUMN() - ($E13 + 5)), 0))
  )
)</f>
        <v>2152.4039894709977</v>
      </c>
      <c r="W13" s="32">
        <f t="array" ref="W13">IF(COLUMN() - ($E13 + 5) &lt; 0, 0,
  IF(COLUMN() - ($E13 + 5) = 0, $F13,
    V13 * (1 - IFERROR(INDEX('Inputs &amp; Assuptions'!$B$13:$B$72, COLUMN() - ($E13 + 5)), 0))
  )
)</f>
        <v>2109.3559096815775</v>
      </c>
      <c r="X13" s="32">
        <f t="array" ref="X13">IF(COLUMN() - ($E13 + 5) &lt; 0, 0,
  IF(COLUMN() - ($E13 + 5) = 0, $F13,
    W13 * (1 - IFERROR(INDEX('Inputs &amp; Assuptions'!$B$13:$B$72, COLUMN() - ($E13 + 5)), 0))
  )
)</f>
        <v>2088.2623505847619</v>
      </c>
      <c r="Y13" s="32">
        <f t="array" ref="Y13">IF(COLUMN() - ($E13 + 5) &lt; 0, 0,
  IF(COLUMN() - ($E13 + 5) = 0, $F13,
    X13 * (1 - IFERROR(INDEX('Inputs &amp; Assuptions'!$B$13:$B$72, COLUMN() - ($E13 + 5)), 0))
  )
)</f>
        <v>2067.3797270789141</v>
      </c>
      <c r="Z13" s="32">
        <f t="array" ref="Z13">IF(COLUMN() - ($E13 + 5) &lt; 0, 0,
  IF(COLUMN() - ($E13 + 5) = 0, $F13,
    Y13 * (1 - IFERROR(INDEX('Inputs &amp; Assuptions'!$B$13:$B$72, COLUMN() - ($E13 + 5)), 0))
  )
)</f>
        <v>2046.7059298081249</v>
      </c>
      <c r="AA13" s="32">
        <f t="array" ref="AA13">IF(COLUMN() - ($E13 + 5) &lt; 0, 0,
  IF(COLUMN() - ($E13 + 5) = 0, $F13,
    Z13 * (1 - IFERROR(INDEX('Inputs &amp; Assuptions'!$B$13:$B$72, COLUMN() - ($E13 + 5)), 0))
  )
)</f>
        <v>2026.2388705100436</v>
      </c>
      <c r="AB13" s="32">
        <f t="array" ref="AB13">IF(COLUMN() - ($E13 + 5) &lt; 0, 0,
  IF(COLUMN() - ($E13 + 5) = 0, $F13,
    AA13 * (1 - IFERROR(INDEX('Inputs &amp; Assuptions'!$B$13:$B$72, COLUMN() - ($E13 + 5)), 0))
  )
)</f>
        <v>2005.9764818049432</v>
      </c>
      <c r="AC13" s="32">
        <f t="array" ref="AC13">IF(COLUMN() - ($E13 + 5) &lt; 0, 0,
  IF(COLUMN() - ($E13 + 5) = 0, $F13,
    AB13 * (1 - IFERROR(INDEX('Inputs &amp; Assuptions'!$B$13:$B$72, COLUMN() - ($E13 + 5)), 0))
  )
)</f>
        <v>1985.9167169868938</v>
      </c>
      <c r="AD13" s="32">
        <f t="array" ref="AD13">IF(COLUMN() - ($E13 + 5) &lt; 0, 0,
  IF(COLUMN() - ($E13 + 5) = 0, $F13,
    AC13 * (1 - IFERROR(INDEX('Inputs &amp; Assuptions'!$B$13:$B$72, COLUMN() - ($E13 + 5)), 0))
  )
)</f>
        <v>1966.0575498170249</v>
      </c>
      <c r="AE13" s="32">
        <f t="array" ref="AE13">IF(COLUMN() - ($E13 + 5) &lt; 0, 0,
  IF(COLUMN() - ($E13 + 5) = 0, $F13,
    AD13 * (1 - IFERROR(INDEX('Inputs &amp; Assuptions'!$B$13:$B$72, COLUMN() - ($E13 + 5)), 0))
  )
)</f>
        <v>1946.3969743188545</v>
      </c>
      <c r="AF13" s="32">
        <f t="array" ref="AF13">IF(COLUMN() - ($E13 + 5) &lt; 0, 0,
  IF(COLUMN() - ($E13 + 5) = 0, $F13,
    AE13 * (1 - IFERROR(INDEX('Inputs &amp; Assuptions'!$B$13:$B$72, COLUMN() - ($E13 + 5)), 0))
  )
)</f>
        <v>1926.933004575666</v>
      </c>
      <c r="AG13" s="32">
        <f t="array" ref="AG13">IF(COLUMN() - ($E13 + 5) &lt; 0, 0,
  IF(COLUMN() - ($E13 + 5) = 0, $F13,
    AF13 * (1 - IFERROR(INDEX('Inputs &amp; Assuptions'!$B$13:$B$72, COLUMN() - ($E13 + 5)), 0))
  )
)</f>
        <v>1907.6636745299093</v>
      </c>
      <c r="AH13" s="32">
        <f t="array" ref="AH13">IF(COLUMN() - ($E13 + 5) &lt; 0, 0,
  IF(COLUMN() - ($E13 + 5) = 0, $F13,
    AG13 * (1 - IFERROR(INDEX('Inputs &amp; Assuptions'!$B$13:$B$72, COLUMN() - ($E13 + 5)), 0))
  )
)</f>
        <v>1888.5870377846102</v>
      </c>
      <c r="AI13" s="32">
        <f t="array" ref="AI13">IF(COLUMN() - ($E13 + 5) &lt; 0, 0,
  IF(COLUMN() - ($E13 + 5) = 0, $F13,
    AH13 * (1 - IFERROR(INDEX('Inputs &amp; Assuptions'!$B$13:$B$72, COLUMN() - ($E13 + 5)), 0))
  )
)</f>
        <v>1869.7011674067639</v>
      </c>
      <c r="AJ13" s="32">
        <f t="array" ref="AJ13">IF(COLUMN() - ($E13 + 5) &lt; 0, 0,
  IF(COLUMN() - ($E13 + 5) = 0, $F13,
    AI13 * (1 - IFERROR(INDEX('Inputs &amp; Assuptions'!$B$13:$B$72, COLUMN() - ($E13 + 5)), 0))
  )
)</f>
        <v>1851.0041557326963</v>
      </c>
      <c r="AK13" s="32">
        <f t="array" ref="AK13">IF(COLUMN() - ($E13 + 5) &lt; 0, 0,
  IF(COLUMN() - ($E13 + 5) = 0, $F13,
    AJ13 * (1 - IFERROR(INDEX('Inputs &amp; Assuptions'!$B$13:$B$72, COLUMN() - ($E13 + 5)), 0))
  )
)</f>
        <v>1832.4941141753693</v>
      </c>
      <c r="AL13" s="32">
        <f t="array" ref="AL13">IF(COLUMN() - ($E13 + 5) &lt; 0, 0,
  IF(COLUMN() - ($E13 + 5) = 0, $F13,
    AK13 * (1 - IFERROR(INDEX('Inputs &amp; Assuptions'!$B$13:$B$72, COLUMN() - ($E13 + 5)), 0))
  )
)</f>
        <v>1814.1691730336156</v>
      </c>
      <c r="AM13" s="32">
        <f t="array" ref="AM13">IF(COLUMN() - ($E13 + 5) &lt; 0, 0,
  IF(COLUMN() - ($E13 + 5) = 0, $F13,
    AL13 * (1 - IFERROR(INDEX('Inputs &amp; Assuptions'!$B$13:$B$72, COLUMN() - ($E13 + 5)), 0))
  )
)</f>
        <v>1796.0274813032795</v>
      </c>
      <c r="AN13" s="32">
        <f t="array" ref="AN13">IF(COLUMN() - ($E13 + 5) &lt; 0, 0,
  IF(COLUMN() - ($E13 + 5) = 0, $F13,
    AM13 * (1 - IFERROR(INDEX('Inputs &amp; Assuptions'!$B$13:$B$72, COLUMN() - ($E13 + 5)), 0))
  )
)</f>
        <v>1778.0672064902467</v>
      </c>
      <c r="AO13" s="32">
        <f t="array" ref="AO13">IF(COLUMN() - ($E13 + 5) &lt; 0, 0,
  IF(COLUMN() - ($E13 + 5) = 0, $F13,
    AN13 * (1 - IFERROR(INDEX('Inputs &amp; Assuptions'!$B$13:$B$72, COLUMN() - ($E13 + 5)), 0))
  )
)</f>
        <v>1760.2865344253441</v>
      </c>
      <c r="AP13" s="32">
        <f t="array" ref="AP13">IF(COLUMN() - ($E13 + 5) &lt; 0, 0,
  IF(COLUMN() - ($E13 + 5) = 0, $F13,
    AO13 * (1 - IFERROR(INDEX('Inputs &amp; Assuptions'!$B$13:$B$72, COLUMN() - ($E13 + 5)), 0))
  )
)</f>
        <v>1742.6836690810908</v>
      </c>
      <c r="AQ13" s="32">
        <f t="array" ref="AQ13">IF(COLUMN() - ($E13 + 5) &lt; 0, 0,
  IF(COLUMN() - ($E13 + 5) = 0, $F13,
    AP13 * (1 - IFERROR(INDEX('Inputs &amp; Assuptions'!$B$13:$B$72, COLUMN() - ($E13 + 5)), 0))
  )
)</f>
        <v>1725.2568323902799</v>
      </c>
      <c r="AR13" s="32">
        <f t="array" ref="AR13">IF(COLUMN() - ($E13 + 5) &lt; 0, 0,
  IF(COLUMN() - ($E13 + 5) = 0, $F13,
    AQ13 * (1 - IFERROR(INDEX('Inputs &amp; Assuptions'!$B$13:$B$72, COLUMN() - ($E13 + 5)), 0))
  )
)</f>
        <v>1708.0042640663771</v>
      </c>
      <c r="AS13" s="32">
        <f t="array" ref="AS13">IF(COLUMN() - ($E13 + 5) &lt; 0, 0,
  IF(COLUMN() - ($E13 + 5) = 0, $F13,
    AR13 * (1 - IFERROR(INDEX('Inputs &amp; Assuptions'!$B$13:$B$72, COLUMN() - ($E13 + 5)), 0))
  )
)</f>
        <v>1690.9242214257133</v>
      </c>
      <c r="AT13" s="32">
        <f t="array" ref="AT13">IF(COLUMN() - ($E13 + 5) &lt; 0, 0,
  IF(COLUMN() - ($E13 + 5) = 0, $F13,
    AS13 * (1 - IFERROR(INDEX('Inputs &amp; Assuptions'!$B$13:$B$72, COLUMN() - ($E13 + 5)), 0))
  )
)</f>
        <v>1674.0149792114562</v>
      </c>
      <c r="AU13" s="32">
        <f t="array" ref="AU13">IF(COLUMN() - ($E13 + 5) &lt; 0, 0,
  IF(COLUMN() - ($E13 + 5) = 0, $F13,
    AT13 * (1 - IFERROR(INDEX('Inputs &amp; Assuptions'!$B$13:$B$72, COLUMN() - ($E13 + 5)), 0))
  )
)</f>
        <v>1657.2748294193416</v>
      </c>
      <c r="AV13" s="32">
        <f t="array" ref="AV13">IF(COLUMN() - ($E13 + 5) &lt; 0, 0,
  IF(COLUMN() - ($E13 + 5) = 0, $F13,
    AU13 * (1 - IFERROR(INDEX('Inputs &amp; Assuptions'!$B$13:$B$72, COLUMN() - ($E13 + 5)), 0))
  )
)</f>
        <v>1640.7020811251482</v>
      </c>
      <c r="AW13" s="32">
        <f t="array" ref="AW13">IF(COLUMN() - ($E13 + 5) &lt; 0, 0,
  IF(COLUMN() - ($E13 + 5) = 0, $F13,
    AV13 * (1 - IFERROR(INDEX('Inputs &amp; Assuptions'!$B$13:$B$72, COLUMN() - ($E13 + 5)), 0))
  )
)</f>
        <v>1624.2950603138968</v>
      </c>
      <c r="AX13" s="32">
        <f t="array" ref="AX13">IF(COLUMN() - ($E13 + 5) &lt; 0, 0,
  IF(COLUMN() - ($E13 + 5) = 0, $F13,
    AW13 * (1 - IFERROR(INDEX('Inputs &amp; Assuptions'!$B$13:$B$72, COLUMN() - ($E13 + 5)), 0))
  )
)</f>
        <v>1608.0521097107578</v>
      </c>
      <c r="AY13" s="32">
        <f t="array" ref="AY13">IF(COLUMN() - ($E13 + 5) &lt; 0, 0,
  IF(COLUMN() - ($E13 + 5) = 0, $F13,
    AX13 * (1 - IFERROR(INDEX('Inputs &amp; Assuptions'!$B$13:$B$72, COLUMN() - ($E13 + 5)), 0))
  )
)</f>
        <v>1591.9715886136503</v>
      </c>
      <c r="AZ13" s="32">
        <f t="array" ref="AZ13">IF(COLUMN() - ($E13 + 5) &lt; 0, 0,
  IF(COLUMN() - ($E13 + 5) = 0, $F13,
    AY13 * (1 - IFERROR(INDEX('Inputs &amp; Assuptions'!$B$13:$B$72, COLUMN() - ($E13 + 5)), 0))
  )
)</f>
        <v>1576.0518727275137</v>
      </c>
      <c r="BA13" s="32">
        <f t="array" ref="BA13">IF(COLUMN() - ($E13 + 5) &lt; 0, 0,
  IF(COLUMN() - ($E13 + 5) = 0, $F13,
    AZ13 * (1 - IFERROR(INDEX('Inputs &amp; Assuptions'!$B$13:$B$72, COLUMN() - ($E13 + 5)), 0))
  )
)</f>
        <v>1560.2913540002385</v>
      </c>
      <c r="BB13" s="32">
        <f t="array" ref="BB13">IF(COLUMN() - ($E13 + 5) &lt; 0, 0,
  IF(COLUMN() - ($E13 + 5) = 0, $F13,
    BA13 * (1 - IFERROR(INDEX('Inputs &amp; Assuptions'!$B$13:$B$72, COLUMN() - ($E13 + 5)), 0))
  )
)</f>
        <v>1544.6884404602361</v>
      </c>
      <c r="BC13" s="32">
        <f t="array" ref="BC13">IF(COLUMN() - ($E13 + 5) &lt; 0, 0,
  IF(COLUMN() - ($E13 + 5) = 0, $F13,
    BB13 * (1 - IFERROR(INDEX('Inputs &amp; Assuptions'!$B$13:$B$72, COLUMN() - ($E13 + 5)), 0))
  )
)</f>
        <v>1529.2415560556337</v>
      </c>
      <c r="BD13" s="32">
        <f t="array" ref="BD13">IF(COLUMN() - ($E13 + 5) &lt; 0, 0,
  IF(COLUMN() - ($E13 + 5) = 0, $F13,
    BC13 * (1 - IFERROR(INDEX('Inputs &amp; Assuptions'!$B$13:$B$72, COLUMN() - ($E13 + 5)), 0))
  )
)</f>
        <v>1513.9491404950775</v>
      </c>
      <c r="BE13" s="32">
        <f t="array" ref="BE13">IF(COLUMN() - ($E13 + 5) &lt; 0, 0,
  IF(COLUMN() - ($E13 + 5) = 0, $F13,
    BD13 * (1 - IFERROR(INDEX('Inputs &amp; Assuptions'!$B$13:$B$72, COLUMN() - ($E13 + 5)), 0))
  )
)</f>
        <v>1498.8096490901266</v>
      </c>
      <c r="BF13" s="32">
        <f t="array" ref="BF13">IF(COLUMN() - ($E13 + 5) &lt; 0, 0,
  IF(COLUMN() - ($E13 + 5) = 0, $F13,
    BE13 * (1 - IFERROR(INDEX('Inputs &amp; Assuptions'!$B$13:$B$72, COLUMN() - ($E13 + 5)), 0))
  )
)</f>
        <v>1483.8215525992255</v>
      </c>
      <c r="BG13" s="32">
        <f t="array" ref="BG13">IF(COLUMN() - ($E13 + 5) &lt; 0, 0,
  IF(COLUMN() - ($E13 + 5) = 0, $F13,
    BF13 * (1 - IFERROR(INDEX('Inputs &amp; Assuptions'!$B$13:$B$72, COLUMN() - ($E13 + 5)), 0))
  )
)</f>
        <v>1468.9833370732333</v>
      </c>
      <c r="BH13" s="32">
        <f t="array" ref="BH13">IF(COLUMN() - ($E13 + 5) &lt; 0, 0,
  IF(COLUMN() - ($E13 + 5) = 0, $F13,
    BG13 * (1 - IFERROR(INDEX('Inputs &amp; Assuptions'!$B$13:$B$72, COLUMN() - ($E13 + 5)), 0))
  )
)</f>
        <v>1454.2935037025009</v>
      </c>
      <c r="BI13" s="32">
        <f t="array" ref="BI13">IF(COLUMN() - ($E13 + 5) &lt; 0, 0,
  IF(COLUMN() - ($E13 + 5) = 0, $F13,
    BH13 * (1 - IFERROR(INDEX('Inputs &amp; Assuptions'!$B$13:$B$72, COLUMN() - ($E13 + 5)), 0))
  )
)</f>
        <v>1439.7505686654758</v>
      </c>
      <c r="BJ13" s="32">
        <f t="array" ref="BJ13">IF(COLUMN() - ($E13 + 5) &lt; 0, 0,
  IF(COLUMN() - ($E13 + 5) = 0, $F13,
    BI13 * (1 - IFERROR(INDEX('Inputs &amp; Assuptions'!$B$13:$B$72, COLUMN() - ($E13 + 5)), 0))
  )
)</f>
        <v>1425.3530629788211</v>
      </c>
      <c r="BK13" s="32">
        <f t="array" ref="BK13">IF(COLUMN() - ($E13 + 5) &lt; 0, 0,
  IF(COLUMN() - ($E13 + 5) = 0, $F13,
    BJ13 * (1 - IFERROR(INDEX('Inputs &amp; Assuptions'!$B$13:$B$72, COLUMN() - ($E13 + 5)), 0))
  )
)</f>
        <v>1411.0995323490329</v>
      </c>
      <c r="BL13" s="32">
        <f t="array" ref="BL13">IF(COLUMN() - ($E13 + 5) &lt; 0, 0,
  IF(COLUMN() - ($E13 + 5) = 0, $F13,
    BK13 * (1 - IFERROR(INDEX('Inputs &amp; Assuptions'!$B$13:$B$72, COLUMN() - ($E13 + 5)), 0))
  )
)</f>
        <v>1396.9885370255424</v>
      </c>
      <c r="BM13" s="66">
        <f t="array" ref="BM13">IF(COLUMN() - ($E13 + 5) &lt; 0, 0,
  IF(COLUMN() - ($E13 + 5) = 0, $F13,
    BL13 * (1 - IFERROR(INDEX('Inputs &amp; Assuptions'!$B$13:$B$72, COLUMN() - ($E13 + 5)), 0))
  )
)</f>
        <v>1383.0186516552869</v>
      </c>
      <c r="BN13" s="33"/>
    </row>
    <row r="14" spans="1:67" x14ac:dyDescent="0.3">
      <c r="A14" s="71">
        <f t="shared" si="2"/>
        <v>9</v>
      </c>
      <c r="B14" s="75">
        <f t="shared" si="4"/>
        <v>6000</v>
      </c>
      <c r="C14" s="81">
        <f>$B14*(1-'Inputs &amp; Assuptions'!$B$12)</f>
        <v>3480.0000000000005</v>
      </c>
      <c r="E14" s="71">
        <f t="shared" si="3"/>
        <v>9</v>
      </c>
      <c r="F14" s="65"/>
      <c r="G14" s="32"/>
      <c r="H14" s="32"/>
      <c r="I14" s="32"/>
      <c r="J14" s="32"/>
      <c r="K14" s="32"/>
      <c r="L14" s="32"/>
      <c r="M14" s="32"/>
      <c r="N14" s="32">
        <f>+$C14</f>
        <v>3480.0000000000005</v>
      </c>
      <c r="O14" s="32">
        <f t="array" ref="O14">IF(COLUMN() - ($E14 + 5) &lt; 0, 0,
  IF(COLUMN() - ($E14 + 5) = 0, $F14,
    N14 * (1 - IFERROR(INDEX('Inputs &amp; Assuptions'!$B$13:$B$72, COLUMN() - ($E14 + 5)), 0))
  )
)</f>
        <v>3114.6000000000004</v>
      </c>
      <c r="P14" s="32">
        <f t="array" ref="P14">IF(COLUMN() - ($E14 + 5) &lt; 0, 0,
  IF(COLUMN() - ($E14 + 5) = 0, $F14,
    O14 * (1 - IFERROR(INDEX('Inputs &amp; Assuptions'!$B$13:$B$72, COLUMN() - ($E14 + 5)), 0))
  )
)</f>
        <v>2865.4320000000002</v>
      </c>
      <c r="Q14" s="32">
        <f t="array" ref="Q14">IF(COLUMN() - ($E14 + 5) &lt; 0, 0,
  IF(COLUMN() - ($E14 + 5) = 0, $F14,
    P14 * (1 - IFERROR(INDEX('Inputs &amp; Assuptions'!$B$13:$B$72, COLUMN() - ($E14 + 5)), 0))
  )
)</f>
        <v>2707.8332399999999</v>
      </c>
      <c r="R14" s="32">
        <f t="array" ref="R14">IF(COLUMN() - ($E14 + 5) &lt; 0, 0,
  IF(COLUMN() - ($E14 + 5) = 0, $F14,
    Q14 * (1 - IFERROR(INDEX('Inputs &amp; Assuptions'!$B$13:$B$72, COLUMN() - ($E14 + 5)), 0))
  )
)</f>
        <v>2572.4415779999999</v>
      </c>
      <c r="S14" s="32">
        <f t="array" ref="S14">IF(COLUMN() - ($E14 + 5) &lt; 0, 0,
  IF(COLUMN() - ($E14 + 5) = 0, $F14,
    R14 * (1 - IFERROR(INDEX('Inputs &amp; Assuptions'!$B$13:$B$72, COLUMN() - ($E14 + 5)), 0))
  )
)</f>
        <v>2456.6817069899998</v>
      </c>
      <c r="T14" s="32">
        <f t="array" ref="T14">IF(COLUMN() - ($E14 + 5) &lt; 0, 0,
  IF(COLUMN() - ($E14 + 5) = 0, $F14,
    S14 * (1 - IFERROR(INDEX('Inputs &amp; Assuptions'!$B$13:$B$72, COLUMN() - ($E14 + 5)), 0))
  )
)</f>
        <v>2358.4144387103997</v>
      </c>
      <c r="U14" s="32">
        <f t="array" ref="U14">IF(COLUMN() - ($E14 + 5) &lt; 0, 0,
  IF(COLUMN() - ($E14 + 5) = 0, $F14,
    T14 * (1 - IFERROR(INDEX('Inputs &amp; Assuptions'!$B$13:$B$72, COLUMN() - ($E14 + 5)), 0))
  )
)</f>
        <v>2275.8699333555355</v>
      </c>
      <c r="V14" s="32">
        <f t="array" ref="V14">IF(COLUMN() - ($E14 + 5) &lt; 0, 0,
  IF(COLUMN() - ($E14 + 5) = 0, $F14,
    U14 * (1 - IFERROR(INDEX('Inputs &amp; Assuptions'!$B$13:$B$72, COLUMN() - ($E14 + 5)), 0))
  )
)</f>
        <v>2207.5938353548695</v>
      </c>
      <c r="W14" s="32">
        <f t="array" ref="W14">IF(COLUMN() - ($E14 + 5) &lt; 0, 0,
  IF(COLUMN() - ($E14 + 5) = 0, $F14,
    V14 * (1 - IFERROR(INDEX('Inputs &amp; Assuptions'!$B$13:$B$72, COLUMN() - ($E14 + 5)), 0))
  )
)</f>
        <v>2152.4039894709977</v>
      </c>
      <c r="X14" s="32">
        <f t="array" ref="X14">IF(COLUMN() - ($E14 + 5) &lt; 0, 0,
  IF(COLUMN() - ($E14 + 5) = 0, $F14,
    W14 * (1 - IFERROR(INDEX('Inputs &amp; Assuptions'!$B$13:$B$72, COLUMN() - ($E14 + 5)), 0))
  )
)</f>
        <v>2109.3559096815775</v>
      </c>
      <c r="Y14" s="32">
        <f t="array" ref="Y14">IF(COLUMN() - ($E14 + 5) &lt; 0, 0,
  IF(COLUMN() - ($E14 + 5) = 0, $F14,
    X14 * (1 - IFERROR(INDEX('Inputs &amp; Assuptions'!$B$13:$B$72, COLUMN() - ($E14 + 5)), 0))
  )
)</f>
        <v>2088.2623505847619</v>
      </c>
      <c r="Z14" s="32">
        <f t="array" ref="Z14">IF(COLUMN() - ($E14 + 5) &lt; 0, 0,
  IF(COLUMN() - ($E14 + 5) = 0, $F14,
    Y14 * (1 - IFERROR(INDEX('Inputs &amp; Assuptions'!$B$13:$B$72, COLUMN() - ($E14 + 5)), 0))
  )
)</f>
        <v>2067.3797270789141</v>
      </c>
      <c r="AA14" s="32">
        <f t="array" ref="AA14">IF(COLUMN() - ($E14 + 5) &lt; 0, 0,
  IF(COLUMN() - ($E14 + 5) = 0, $F14,
    Z14 * (1 - IFERROR(INDEX('Inputs &amp; Assuptions'!$B$13:$B$72, COLUMN() - ($E14 + 5)), 0))
  )
)</f>
        <v>2046.7059298081249</v>
      </c>
      <c r="AB14" s="32">
        <f t="array" ref="AB14">IF(COLUMN() - ($E14 + 5) &lt; 0, 0,
  IF(COLUMN() - ($E14 + 5) = 0, $F14,
    AA14 * (1 - IFERROR(INDEX('Inputs &amp; Assuptions'!$B$13:$B$72, COLUMN() - ($E14 + 5)), 0))
  )
)</f>
        <v>2026.2388705100436</v>
      </c>
      <c r="AC14" s="32">
        <f t="array" ref="AC14">IF(COLUMN() - ($E14 + 5) &lt; 0, 0,
  IF(COLUMN() - ($E14 + 5) = 0, $F14,
    AB14 * (1 - IFERROR(INDEX('Inputs &amp; Assuptions'!$B$13:$B$72, COLUMN() - ($E14 + 5)), 0))
  )
)</f>
        <v>2005.9764818049432</v>
      </c>
      <c r="AD14" s="32">
        <f t="array" ref="AD14">IF(COLUMN() - ($E14 + 5) &lt; 0, 0,
  IF(COLUMN() - ($E14 + 5) = 0, $F14,
    AC14 * (1 - IFERROR(INDEX('Inputs &amp; Assuptions'!$B$13:$B$72, COLUMN() - ($E14 + 5)), 0))
  )
)</f>
        <v>1985.9167169868938</v>
      </c>
      <c r="AE14" s="32">
        <f t="array" ref="AE14">IF(COLUMN() - ($E14 + 5) &lt; 0, 0,
  IF(COLUMN() - ($E14 + 5) = 0, $F14,
    AD14 * (1 - IFERROR(INDEX('Inputs &amp; Assuptions'!$B$13:$B$72, COLUMN() - ($E14 + 5)), 0))
  )
)</f>
        <v>1966.0575498170249</v>
      </c>
      <c r="AF14" s="32">
        <f t="array" ref="AF14">IF(COLUMN() - ($E14 + 5) &lt; 0, 0,
  IF(COLUMN() - ($E14 + 5) = 0, $F14,
    AE14 * (1 - IFERROR(INDEX('Inputs &amp; Assuptions'!$B$13:$B$72, COLUMN() - ($E14 + 5)), 0))
  )
)</f>
        <v>1946.3969743188545</v>
      </c>
      <c r="AG14" s="32">
        <f t="array" ref="AG14">IF(COLUMN() - ($E14 + 5) &lt; 0, 0,
  IF(COLUMN() - ($E14 + 5) = 0, $F14,
    AF14 * (1 - IFERROR(INDEX('Inputs &amp; Assuptions'!$B$13:$B$72, COLUMN() - ($E14 + 5)), 0))
  )
)</f>
        <v>1926.933004575666</v>
      </c>
      <c r="AH14" s="32">
        <f t="array" ref="AH14">IF(COLUMN() - ($E14 + 5) &lt; 0, 0,
  IF(COLUMN() - ($E14 + 5) = 0, $F14,
    AG14 * (1 - IFERROR(INDEX('Inputs &amp; Assuptions'!$B$13:$B$72, COLUMN() - ($E14 + 5)), 0))
  )
)</f>
        <v>1907.6636745299093</v>
      </c>
      <c r="AI14" s="32">
        <f t="array" ref="AI14">IF(COLUMN() - ($E14 + 5) &lt; 0, 0,
  IF(COLUMN() - ($E14 + 5) = 0, $F14,
    AH14 * (1 - IFERROR(INDEX('Inputs &amp; Assuptions'!$B$13:$B$72, COLUMN() - ($E14 + 5)), 0))
  )
)</f>
        <v>1888.5870377846102</v>
      </c>
      <c r="AJ14" s="32">
        <f t="array" ref="AJ14">IF(COLUMN() - ($E14 + 5) &lt; 0, 0,
  IF(COLUMN() - ($E14 + 5) = 0, $F14,
    AI14 * (1 - IFERROR(INDEX('Inputs &amp; Assuptions'!$B$13:$B$72, COLUMN() - ($E14 + 5)), 0))
  )
)</f>
        <v>1869.7011674067639</v>
      </c>
      <c r="AK14" s="32">
        <f t="array" ref="AK14">IF(COLUMN() - ($E14 + 5) &lt; 0, 0,
  IF(COLUMN() - ($E14 + 5) = 0, $F14,
    AJ14 * (1 - IFERROR(INDEX('Inputs &amp; Assuptions'!$B$13:$B$72, COLUMN() - ($E14 + 5)), 0))
  )
)</f>
        <v>1851.0041557326963</v>
      </c>
      <c r="AL14" s="32">
        <f t="array" ref="AL14">IF(COLUMN() - ($E14 + 5) &lt; 0, 0,
  IF(COLUMN() - ($E14 + 5) = 0, $F14,
    AK14 * (1 - IFERROR(INDEX('Inputs &amp; Assuptions'!$B$13:$B$72, COLUMN() - ($E14 + 5)), 0))
  )
)</f>
        <v>1832.4941141753693</v>
      </c>
      <c r="AM14" s="32">
        <f t="array" ref="AM14">IF(COLUMN() - ($E14 + 5) &lt; 0, 0,
  IF(COLUMN() - ($E14 + 5) = 0, $F14,
    AL14 * (1 - IFERROR(INDEX('Inputs &amp; Assuptions'!$B$13:$B$72, COLUMN() - ($E14 + 5)), 0))
  )
)</f>
        <v>1814.1691730336156</v>
      </c>
      <c r="AN14" s="32">
        <f t="array" ref="AN14">IF(COLUMN() - ($E14 + 5) &lt; 0, 0,
  IF(COLUMN() - ($E14 + 5) = 0, $F14,
    AM14 * (1 - IFERROR(INDEX('Inputs &amp; Assuptions'!$B$13:$B$72, COLUMN() - ($E14 + 5)), 0))
  )
)</f>
        <v>1796.0274813032795</v>
      </c>
      <c r="AO14" s="32">
        <f t="array" ref="AO14">IF(COLUMN() - ($E14 + 5) &lt; 0, 0,
  IF(COLUMN() - ($E14 + 5) = 0, $F14,
    AN14 * (1 - IFERROR(INDEX('Inputs &amp; Assuptions'!$B$13:$B$72, COLUMN() - ($E14 + 5)), 0))
  )
)</f>
        <v>1778.0672064902467</v>
      </c>
      <c r="AP14" s="32">
        <f t="array" ref="AP14">IF(COLUMN() - ($E14 + 5) &lt; 0, 0,
  IF(COLUMN() - ($E14 + 5) = 0, $F14,
    AO14 * (1 - IFERROR(INDEX('Inputs &amp; Assuptions'!$B$13:$B$72, COLUMN() - ($E14 + 5)), 0))
  )
)</f>
        <v>1760.2865344253441</v>
      </c>
      <c r="AQ14" s="32">
        <f t="array" ref="AQ14">IF(COLUMN() - ($E14 + 5) &lt; 0, 0,
  IF(COLUMN() - ($E14 + 5) = 0, $F14,
    AP14 * (1 - IFERROR(INDEX('Inputs &amp; Assuptions'!$B$13:$B$72, COLUMN() - ($E14 + 5)), 0))
  )
)</f>
        <v>1742.6836690810908</v>
      </c>
      <c r="AR14" s="32">
        <f t="array" ref="AR14">IF(COLUMN() - ($E14 + 5) &lt; 0, 0,
  IF(COLUMN() - ($E14 + 5) = 0, $F14,
    AQ14 * (1 - IFERROR(INDEX('Inputs &amp; Assuptions'!$B$13:$B$72, COLUMN() - ($E14 + 5)), 0))
  )
)</f>
        <v>1725.2568323902799</v>
      </c>
      <c r="AS14" s="32">
        <f t="array" ref="AS14">IF(COLUMN() - ($E14 + 5) &lt; 0, 0,
  IF(COLUMN() - ($E14 + 5) = 0, $F14,
    AR14 * (1 - IFERROR(INDEX('Inputs &amp; Assuptions'!$B$13:$B$72, COLUMN() - ($E14 + 5)), 0))
  )
)</f>
        <v>1708.0042640663771</v>
      </c>
      <c r="AT14" s="32">
        <f t="array" ref="AT14">IF(COLUMN() - ($E14 + 5) &lt; 0, 0,
  IF(COLUMN() - ($E14 + 5) = 0, $F14,
    AS14 * (1 - IFERROR(INDEX('Inputs &amp; Assuptions'!$B$13:$B$72, COLUMN() - ($E14 + 5)), 0))
  )
)</f>
        <v>1690.9242214257133</v>
      </c>
      <c r="AU14" s="32">
        <f t="array" ref="AU14">IF(COLUMN() - ($E14 + 5) &lt; 0, 0,
  IF(COLUMN() - ($E14 + 5) = 0, $F14,
    AT14 * (1 - IFERROR(INDEX('Inputs &amp; Assuptions'!$B$13:$B$72, COLUMN() - ($E14 + 5)), 0))
  )
)</f>
        <v>1674.0149792114562</v>
      </c>
      <c r="AV14" s="32">
        <f t="array" ref="AV14">IF(COLUMN() - ($E14 + 5) &lt; 0, 0,
  IF(COLUMN() - ($E14 + 5) = 0, $F14,
    AU14 * (1 - IFERROR(INDEX('Inputs &amp; Assuptions'!$B$13:$B$72, COLUMN() - ($E14 + 5)), 0))
  )
)</f>
        <v>1657.2748294193416</v>
      </c>
      <c r="AW14" s="32">
        <f t="array" ref="AW14">IF(COLUMN() - ($E14 + 5) &lt; 0, 0,
  IF(COLUMN() - ($E14 + 5) = 0, $F14,
    AV14 * (1 - IFERROR(INDEX('Inputs &amp; Assuptions'!$B$13:$B$72, COLUMN() - ($E14 + 5)), 0))
  )
)</f>
        <v>1640.7020811251482</v>
      </c>
      <c r="AX14" s="32">
        <f t="array" ref="AX14">IF(COLUMN() - ($E14 + 5) &lt; 0, 0,
  IF(COLUMN() - ($E14 + 5) = 0, $F14,
    AW14 * (1 - IFERROR(INDEX('Inputs &amp; Assuptions'!$B$13:$B$72, COLUMN() - ($E14 + 5)), 0))
  )
)</f>
        <v>1624.2950603138968</v>
      </c>
      <c r="AY14" s="32">
        <f t="array" ref="AY14">IF(COLUMN() - ($E14 + 5) &lt; 0, 0,
  IF(COLUMN() - ($E14 + 5) = 0, $F14,
    AX14 * (1 - IFERROR(INDEX('Inputs &amp; Assuptions'!$B$13:$B$72, COLUMN() - ($E14 + 5)), 0))
  )
)</f>
        <v>1608.0521097107578</v>
      </c>
      <c r="AZ14" s="32">
        <f t="array" ref="AZ14">IF(COLUMN() - ($E14 + 5) &lt; 0, 0,
  IF(COLUMN() - ($E14 + 5) = 0, $F14,
    AY14 * (1 - IFERROR(INDEX('Inputs &amp; Assuptions'!$B$13:$B$72, COLUMN() - ($E14 + 5)), 0))
  )
)</f>
        <v>1591.9715886136503</v>
      </c>
      <c r="BA14" s="32">
        <f t="array" ref="BA14">IF(COLUMN() - ($E14 + 5) &lt; 0, 0,
  IF(COLUMN() - ($E14 + 5) = 0, $F14,
    AZ14 * (1 - IFERROR(INDEX('Inputs &amp; Assuptions'!$B$13:$B$72, COLUMN() - ($E14 + 5)), 0))
  )
)</f>
        <v>1576.0518727275137</v>
      </c>
      <c r="BB14" s="32">
        <f t="array" ref="BB14">IF(COLUMN() - ($E14 + 5) &lt; 0, 0,
  IF(COLUMN() - ($E14 + 5) = 0, $F14,
    BA14 * (1 - IFERROR(INDEX('Inputs &amp; Assuptions'!$B$13:$B$72, COLUMN() - ($E14 + 5)), 0))
  )
)</f>
        <v>1560.2913540002385</v>
      </c>
      <c r="BC14" s="32">
        <f t="array" ref="BC14">IF(COLUMN() - ($E14 + 5) &lt; 0, 0,
  IF(COLUMN() - ($E14 + 5) = 0, $F14,
    BB14 * (1 - IFERROR(INDEX('Inputs &amp; Assuptions'!$B$13:$B$72, COLUMN() - ($E14 + 5)), 0))
  )
)</f>
        <v>1544.6884404602361</v>
      </c>
      <c r="BD14" s="32">
        <f t="array" ref="BD14">IF(COLUMN() - ($E14 + 5) &lt; 0, 0,
  IF(COLUMN() - ($E14 + 5) = 0, $F14,
    BC14 * (1 - IFERROR(INDEX('Inputs &amp; Assuptions'!$B$13:$B$72, COLUMN() - ($E14 + 5)), 0))
  )
)</f>
        <v>1529.2415560556337</v>
      </c>
      <c r="BE14" s="32">
        <f t="array" ref="BE14">IF(COLUMN() - ($E14 + 5) &lt; 0, 0,
  IF(COLUMN() - ($E14 + 5) = 0, $F14,
    BD14 * (1 - IFERROR(INDEX('Inputs &amp; Assuptions'!$B$13:$B$72, COLUMN() - ($E14 + 5)), 0))
  )
)</f>
        <v>1513.9491404950775</v>
      </c>
      <c r="BF14" s="32">
        <f t="array" ref="BF14">IF(COLUMN() - ($E14 + 5) &lt; 0, 0,
  IF(COLUMN() - ($E14 + 5) = 0, $F14,
    BE14 * (1 - IFERROR(INDEX('Inputs &amp; Assuptions'!$B$13:$B$72, COLUMN() - ($E14 + 5)), 0))
  )
)</f>
        <v>1498.8096490901266</v>
      </c>
      <c r="BG14" s="32">
        <f t="array" ref="BG14">IF(COLUMN() - ($E14 + 5) &lt; 0, 0,
  IF(COLUMN() - ($E14 + 5) = 0, $F14,
    BF14 * (1 - IFERROR(INDEX('Inputs &amp; Assuptions'!$B$13:$B$72, COLUMN() - ($E14 + 5)), 0))
  )
)</f>
        <v>1483.8215525992255</v>
      </c>
      <c r="BH14" s="32">
        <f t="array" ref="BH14">IF(COLUMN() - ($E14 + 5) &lt; 0, 0,
  IF(COLUMN() - ($E14 + 5) = 0, $F14,
    BG14 * (1 - IFERROR(INDEX('Inputs &amp; Assuptions'!$B$13:$B$72, COLUMN() - ($E14 + 5)), 0))
  )
)</f>
        <v>1468.9833370732333</v>
      </c>
      <c r="BI14" s="32">
        <f t="array" ref="BI14">IF(COLUMN() - ($E14 + 5) &lt; 0, 0,
  IF(COLUMN() - ($E14 + 5) = 0, $F14,
    BH14 * (1 - IFERROR(INDEX('Inputs &amp; Assuptions'!$B$13:$B$72, COLUMN() - ($E14 + 5)), 0))
  )
)</f>
        <v>1454.2935037025009</v>
      </c>
      <c r="BJ14" s="32">
        <f t="array" ref="BJ14">IF(COLUMN() - ($E14 + 5) &lt; 0, 0,
  IF(COLUMN() - ($E14 + 5) = 0, $F14,
    BI14 * (1 - IFERROR(INDEX('Inputs &amp; Assuptions'!$B$13:$B$72, COLUMN() - ($E14 + 5)), 0))
  )
)</f>
        <v>1439.7505686654758</v>
      </c>
      <c r="BK14" s="32">
        <f t="array" ref="BK14">IF(COLUMN() - ($E14 + 5) &lt; 0, 0,
  IF(COLUMN() - ($E14 + 5) = 0, $F14,
    BJ14 * (1 - IFERROR(INDEX('Inputs &amp; Assuptions'!$B$13:$B$72, COLUMN() - ($E14 + 5)), 0))
  )
)</f>
        <v>1425.3530629788211</v>
      </c>
      <c r="BL14" s="32">
        <f t="array" ref="BL14">IF(COLUMN() - ($E14 + 5) &lt; 0, 0,
  IF(COLUMN() - ($E14 + 5) = 0, $F14,
    BK14 * (1 - IFERROR(INDEX('Inputs &amp; Assuptions'!$B$13:$B$72, COLUMN() - ($E14 + 5)), 0))
  )
)</f>
        <v>1411.0995323490329</v>
      </c>
      <c r="BM14" s="66">
        <f t="array" ref="BM14">IF(COLUMN() - ($E14 + 5) &lt; 0, 0,
  IF(COLUMN() - ($E14 + 5) = 0, $F14,
    BL14 * (1 - IFERROR(INDEX('Inputs &amp; Assuptions'!$B$13:$B$72, COLUMN() - ($E14 + 5)), 0))
  )
)</f>
        <v>1396.9885370255424</v>
      </c>
      <c r="BN14" s="33"/>
    </row>
    <row r="15" spans="1:67" x14ac:dyDescent="0.3">
      <c r="A15" s="71">
        <f t="shared" si="2"/>
        <v>10</v>
      </c>
      <c r="B15" s="75">
        <f t="shared" si="4"/>
        <v>6000</v>
      </c>
      <c r="C15" s="81">
        <f>$B15*(1-'Inputs &amp; Assuptions'!$B$12)</f>
        <v>3480.0000000000005</v>
      </c>
      <c r="E15" s="71">
        <f t="shared" si="3"/>
        <v>10</v>
      </c>
      <c r="F15" s="65"/>
      <c r="G15" s="32"/>
      <c r="H15" s="32"/>
      <c r="I15" s="32"/>
      <c r="J15" s="32"/>
      <c r="K15" s="32"/>
      <c r="L15" s="32"/>
      <c r="M15" s="32"/>
      <c r="N15" s="32"/>
      <c r="O15" s="32">
        <f>+$C15</f>
        <v>3480.0000000000005</v>
      </c>
      <c r="P15" s="32">
        <f t="array" ref="P15">IF(COLUMN() - ($E15 + 5) &lt; 0, 0,
  IF(COLUMN() - ($E15 + 5) = 0, $F15,
    O15 * (1 - IFERROR(INDEX('Inputs &amp; Assuptions'!$B$13:$B$72, COLUMN() - ($E15 + 5)), 0))
  )
)</f>
        <v>3114.6000000000004</v>
      </c>
      <c r="Q15" s="32">
        <f t="array" ref="Q15">IF(COLUMN() - ($E15 + 5) &lt; 0, 0,
  IF(COLUMN() - ($E15 + 5) = 0, $F15,
    P15 * (1 - IFERROR(INDEX('Inputs &amp; Assuptions'!$B$13:$B$72, COLUMN() - ($E15 + 5)), 0))
  )
)</f>
        <v>2865.4320000000002</v>
      </c>
      <c r="R15" s="32">
        <f t="array" ref="R15">IF(COLUMN() - ($E15 + 5) &lt; 0, 0,
  IF(COLUMN() - ($E15 + 5) = 0, $F15,
    Q15 * (1 - IFERROR(INDEX('Inputs &amp; Assuptions'!$B$13:$B$72, COLUMN() - ($E15 + 5)), 0))
  )
)</f>
        <v>2707.8332399999999</v>
      </c>
      <c r="S15" s="32">
        <f t="array" ref="S15">IF(COLUMN() - ($E15 + 5) &lt; 0, 0,
  IF(COLUMN() - ($E15 + 5) = 0, $F15,
    R15 * (1 - IFERROR(INDEX('Inputs &amp; Assuptions'!$B$13:$B$72, COLUMN() - ($E15 + 5)), 0))
  )
)</f>
        <v>2572.4415779999999</v>
      </c>
      <c r="T15" s="32">
        <f t="array" ref="T15">IF(COLUMN() - ($E15 + 5) &lt; 0, 0,
  IF(COLUMN() - ($E15 + 5) = 0, $F15,
    S15 * (1 - IFERROR(INDEX('Inputs &amp; Assuptions'!$B$13:$B$72, COLUMN() - ($E15 + 5)), 0))
  )
)</f>
        <v>2456.6817069899998</v>
      </c>
      <c r="U15" s="32">
        <f t="array" ref="U15">IF(COLUMN() - ($E15 + 5) &lt; 0, 0,
  IF(COLUMN() - ($E15 + 5) = 0, $F15,
    T15 * (1 - IFERROR(INDEX('Inputs &amp; Assuptions'!$B$13:$B$72, COLUMN() - ($E15 + 5)), 0))
  )
)</f>
        <v>2358.4144387103997</v>
      </c>
      <c r="V15" s="32">
        <f t="array" ref="V15">IF(COLUMN() - ($E15 + 5) &lt; 0, 0,
  IF(COLUMN() - ($E15 + 5) = 0, $F15,
    U15 * (1 - IFERROR(INDEX('Inputs &amp; Assuptions'!$B$13:$B$72, COLUMN() - ($E15 + 5)), 0))
  )
)</f>
        <v>2275.8699333555355</v>
      </c>
      <c r="W15" s="32">
        <f t="array" ref="W15">IF(COLUMN() - ($E15 + 5) &lt; 0, 0,
  IF(COLUMN() - ($E15 + 5) = 0, $F15,
    V15 * (1 - IFERROR(INDEX('Inputs &amp; Assuptions'!$B$13:$B$72, COLUMN() - ($E15 + 5)), 0))
  )
)</f>
        <v>2207.5938353548695</v>
      </c>
      <c r="X15" s="32">
        <f t="array" ref="X15">IF(COLUMN() - ($E15 + 5) &lt; 0, 0,
  IF(COLUMN() - ($E15 + 5) = 0, $F15,
    W15 * (1 - IFERROR(INDEX('Inputs &amp; Assuptions'!$B$13:$B$72, COLUMN() - ($E15 + 5)), 0))
  )
)</f>
        <v>2152.4039894709977</v>
      </c>
      <c r="Y15" s="32">
        <f t="array" ref="Y15">IF(COLUMN() - ($E15 + 5) &lt; 0, 0,
  IF(COLUMN() - ($E15 + 5) = 0, $F15,
    X15 * (1 - IFERROR(INDEX('Inputs &amp; Assuptions'!$B$13:$B$72, COLUMN() - ($E15 + 5)), 0))
  )
)</f>
        <v>2109.3559096815775</v>
      </c>
      <c r="Z15" s="32">
        <f t="array" ref="Z15">IF(COLUMN() - ($E15 + 5) &lt; 0, 0,
  IF(COLUMN() - ($E15 + 5) = 0, $F15,
    Y15 * (1 - IFERROR(INDEX('Inputs &amp; Assuptions'!$B$13:$B$72, COLUMN() - ($E15 + 5)), 0))
  )
)</f>
        <v>2088.2623505847619</v>
      </c>
      <c r="AA15" s="32">
        <f t="array" ref="AA15">IF(COLUMN() - ($E15 + 5) &lt; 0, 0,
  IF(COLUMN() - ($E15 + 5) = 0, $F15,
    Z15 * (1 - IFERROR(INDEX('Inputs &amp; Assuptions'!$B$13:$B$72, COLUMN() - ($E15 + 5)), 0))
  )
)</f>
        <v>2067.3797270789141</v>
      </c>
      <c r="AB15" s="32">
        <f t="array" ref="AB15">IF(COLUMN() - ($E15 + 5) &lt; 0, 0,
  IF(COLUMN() - ($E15 + 5) = 0, $F15,
    AA15 * (1 - IFERROR(INDEX('Inputs &amp; Assuptions'!$B$13:$B$72, COLUMN() - ($E15 + 5)), 0))
  )
)</f>
        <v>2046.7059298081249</v>
      </c>
      <c r="AC15" s="32">
        <f t="array" ref="AC15">IF(COLUMN() - ($E15 + 5) &lt; 0, 0,
  IF(COLUMN() - ($E15 + 5) = 0, $F15,
    AB15 * (1 - IFERROR(INDEX('Inputs &amp; Assuptions'!$B$13:$B$72, COLUMN() - ($E15 + 5)), 0))
  )
)</f>
        <v>2026.2388705100436</v>
      </c>
      <c r="AD15" s="32">
        <f t="array" ref="AD15">IF(COLUMN() - ($E15 + 5) &lt; 0, 0,
  IF(COLUMN() - ($E15 + 5) = 0, $F15,
    AC15 * (1 - IFERROR(INDEX('Inputs &amp; Assuptions'!$B$13:$B$72, COLUMN() - ($E15 + 5)), 0))
  )
)</f>
        <v>2005.9764818049432</v>
      </c>
      <c r="AE15" s="32">
        <f t="array" ref="AE15">IF(COLUMN() - ($E15 + 5) &lt; 0, 0,
  IF(COLUMN() - ($E15 + 5) = 0, $F15,
    AD15 * (1 - IFERROR(INDEX('Inputs &amp; Assuptions'!$B$13:$B$72, COLUMN() - ($E15 + 5)), 0))
  )
)</f>
        <v>1985.9167169868938</v>
      </c>
      <c r="AF15" s="32">
        <f t="array" ref="AF15">IF(COLUMN() - ($E15 + 5) &lt; 0, 0,
  IF(COLUMN() - ($E15 + 5) = 0, $F15,
    AE15 * (1 - IFERROR(INDEX('Inputs &amp; Assuptions'!$B$13:$B$72, COLUMN() - ($E15 + 5)), 0))
  )
)</f>
        <v>1966.0575498170249</v>
      </c>
      <c r="AG15" s="32">
        <f t="array" ref="AG15">IF(COLUMN() - ($E15 + 5) &lt; 0, 0,
  IF(COLUMN() - ($E15 + 5) = 0, $F15,
    AF15 * (1 - IFERROR(INDEX('Inputs &amp; Assuptions'!$B$13:$B$72, COLUMN() - ($E15 + 5)), 0))
  )
)</f>
        <v>1946.3969743188545</v>
      </c>
      <c r="AH15" s="32">
        <f t="array" ref="AH15">IF(COLUMN() - ($E15 + 5) &lt; 0, 0,
  IF(COLUMN() - ($E15 + 5) = 0, $F15,
    AG15 * (1 - IFERROR(INDEX('Inputs &amp; Assuptions'!$B$13:$B$72, COLUMN() - ($E15 + 5)), 0))
  )
)</f>
        <v>1926.933004575666</v>
      </c>
      <c r="AI15" s="32">
        <f t="array" ref="AI15">IF(COLUMN() - ($E15 + 5) &lt; 0, 0,
  IF(COLUMN() - ($E15 + 5) = 0, $F15,
    AH15 * (1 - IFERROR(INDEX('Inputs &amp; Assuptions'!$B$13:$B$72, COLUMN() - ($E15 + 5)), 0))
  )
)</f>
        <v>1907.6636745299093</v>
      </c>
      <c r="AJ15" s="32">
        <f t="array" ref="AJ15">IF(COLUMN() - ($E15 + 5) &lt; 0, 0,
  IF(COLUMN() - ($E15 + 5) = 0, $F15,
    AI15 * (1 - IFERROR(INDEX('Inputs &amp; Assuptions'!$B$13:$B$72, COLUMN() - ($E15 + 5)), 0))
  )
)</f>
        <v>1888.5870377846102</v>
      </c>
      <c r="AK15" s="32">
        <f t="array" ref="AK15">IF(COLUMN() - ($E15 + 5) &lt; 0, 0,
  IF(COLUMN() - ($E15 + 5) = 0, $F15,
    AJ15 * (1 - IFERROR(INDEX('Inputs &amp; Assuptions'!$B$13:$B$72, COLUMN() - ($E15 + 5)), 0))
  )
)</f>
        <v>1869.7011674067639</v>
      </c>
      <c r="AL15" s="32">
        <f t="array" ref="AL15">IF(COLUMN() - ($E15 + 5) &lt; 0, 0,
  IF(COLUMN() - ($E15 + 5) = 0, $F15,
    AK15 * (1 - IFERROR(INDEX('Inputs &amp; Assuptions'!$B$13:$B$72, COLUMN() - ($E15 + 5)), 0))
  )
)</f>
        <v>1851.0041557326963</v>
      </c>
      <c r="AM15" s="32">
        <f t="array" ref="AM15">IF(COLUMN() - ($E15 + 5) &lt; 0, 0,
  IF(COLUMN() - ($E15 + 5) = 0, $F15,
    AL15 * (1 - IFERROR(INDEX('Inputs &amp; Assuptions'!$B$13:$B$72, COLUMN() - ($E15 + 5)), 0))
  )
)</f>
        <v>1832.4941141753693</v>
      </c>
      <c r="AN15" s="32">
        <f t="array" ref="AN15">IF(COLUMN() - ($E15 + 5) &lt; 0, 0,
  IF(COLUMN() - ($E15 + 5) = 0, $F15,
    AM15 * (1 - IFERROR(INDEX('Inputs &amp; Assuptions'!$B$13:$B$72, COLUMN() - ($E15 + 5)), 0))
  )
)</f>
        <v>1814.1691730336156</v>
      </c>
      <c r="AO15" s="32">
        <f t="array" ref="AO15">IF(COLUMN() - ($E15 + 5) &lt; 0, 0,
  IF(COLUMN() - ($E15 + 5) = 0, $F15,
    AN15 * (1 - IFERROR(INDEX('Inputs &amp; Assuptions'!$B$13:$B$72, COLUMN() - ($E15 + 5)), 0))
  )
)</f>
        <v>1796.0274813032795</v>
      </c>
      <c r="AP15" s="32">
        <f t="array" ref="AP15">IF(COLUMN() - ($E15 + 5) &lt; 0, 0,
  IF(COLUMN() - ($E15 + 5) = 0, $F15,
    AO15 * (1 - IFERROR(INDEX('Inputs &amp; Assuptions'!$B$13:$B$72, COLUMN() - ($E15 + 5)), 0))
  )
)</f>
        <v>1778.0672064902467</v>
      </c>
      <c r="AQ15" s="32">
        <f t="array" ref="AQ15">IF(COLUMN() - ($E15 + 5) &lt; 0, 0,
  IF(COLUMN() - ($E15 + 5) = 0, $F15,
    AP15 * (1 - IFERROR(INDEX('Inputs &amp; Assuptions'!$B$13:$B$72, COLUMN() - ($E15 + 5)), 0))
  )
)</f>
        <v>1760.2865344253441</v>
      </c>
      <c r="AR15" s="32">
        <f t="array" ref="AR15">IF(COLUMN() - ($E15 + 5) &lt; 0, 0,
  IF(COLUMN() - ($E15 + 5) = 0, $F15,
    AQ15 * (1 - IFERROR(INDEX('Inputs &amp; Assuptions'!$B$13:$B$72, COLUMN() - ($E15 + 5)), 0))
  )
)</f>
        <v>1742.6836690810908</v>
      </c>
      <c r="AS15" s="32">
        <f t="array" ref="AS15">IF(COLUMN() - ($E15 + 5) &lt; 0, 0,
  IF(COLUMN() - ($E15 + 5) = 0, $F15,
    AR15 * (1 - IFERROR(INDEX('Inputs &amp; Assuptions'!$B$13:$B$72, COLUMN() - ($E15 + 5)), 0))
  )
)</f>
        <v>1725.2568323902799</v>
      </c>
      <c r="AT15" s="32">
        <f t="array" ref="AT15">IF(COLUMN() - ($E15 + 5) &lt; 0, 0,
  IF(COLUMN() - ($E15 + 5) = 0, $F15,
    AS15 * (1 - IFERROR(INDEX('Inputs &amp; Assuptions'!$B$13:$B$72, COLUMN() - ($E15 + 5)), 0))
  )
)</f>
        <v>1708.0042640663771</v>
      </c>
      <c r="AU15" s="32">
        <f t="array" ref="AU15">IF(COLUMN() - ($E15 + 5) &lt; 0, 0,
  IF(COLUMN() - ($E15 + 5) = 0, $F15,
    AT15 * (1 - IFERROR(INDEX('Inputs &amp; Assuptions'!$B$13:$B$72, COLUMN() - ($E15 + 5)), 0))
  )
)</f>
        <v>1690.9242214257133</v>
      </c>
      <c r="AV15" s="32">
        <f t="array" ref="AV15">IF(COLUMN() - ($E15 + 5) &lt; 0, 0,
  IF(COLUMN() - ($E15 + 5) = 0, $F15,
    AU15 * (1 - IFERROR(INDEX('Inputs &amp; Assuptions'!$B$13:$B$72, COLUMN() - ($E15 + 5)), 0))
  )
)</f>
        <v>1674.0149792114562</v>
      </c>
      <c r="AW15" s="32">
        <f t="array" ref="AW15">IF(COLUMN() - ($E15 + 5) &lt; 0, 0,
  IF(COLUMN() - ($E15 + 5) = 0, $F15,
    AV15 * (1 - IFERROR(INDEX('Inputs &amp; Assuptions'!$B$13:$B$72, COLUMN() - ($E15 + 5)), 0))
  )
)</f>
        <v>1657.2748294193416</v>
      </c>
      <c r="AX15" s="32">
        <f t="array" ref="AX15">IF(COLUMN() - ($E15 + 5) &lt; 0, 0,
  IF(COLUMN() - ($E15 + 5) = 0, $F15,
    AW15 * (1 - IFERROR(INDEX('Inputs &amp; Assuptions'!$B$13:$B$72, COLUMN() - ($E15 + 5)), 0))
  )
)</f>
        <v>1640.7020811251482</v>
      </c>
      <c r="AY15" s="32">
        <f t="array" ref="AY15">IF(COLUMN() - ($E15 + 5) &lt; 0, 0,
  IF(COLUMN() - ($E15 + 5) = 0, $F15,
    AX15 * (1 - IFERROR(INDEX('Inputs &amp; Assuptions'!$B$13:$B$72, COLUMN() - ($E15 + 5)), 0))
  )
)</f>
        <v>1624.2950603138968</v>
      </c>
      <c r="AZ15" s="32">
        <f t="array" ref="AZ15">IF(COLUMN() - ($E15 + 5) &lt; 0, 0,
  IF(COLUMN() - ($E15 + 5) = 0, $F15,
    AY15 * (1 - IFERROR(INDEX('Inputs &amp; Assuptions'!$B$13:$B$72, COLUMN() - ($E15 + 5)), 0))
  )
)</f>
        <v>1608.0521097107578</v>
      </c>
      <c r="BA15" s="32">
        <f t="array" ref="BA15">IF(COLUMN() - ($E15 + 5) &lt; 0, 0,
  IF(COLUMN() - ($E15 + 5) = 0, $F15,
    AZ15 * (1 - IFERROR(INDEX('Inputs &amp; Assuptions'!$B$13:$B$72, COLUMN() - ($E15 + 5)), 0))
  )
)</f>
        <v>1591.9715886136503</v>
      </c>
      <c r="BB15" s="32">
        <f t="array" ref="BB15">IF(COLUMN() - ($E15 + 5) &lt; 0, 0,
  IF(COLUMN() - ($E15 + 5) = 0, $F15,
    BA15 * (1 - IFERROR(INDEX('Inputs &amp; Assuptions'!$B$13:$B$72, COLUMN() - ($E15 + 5)), 0))
  )
)</f>
        <v>1576.0518727275137</v>
      </c>
      <c r="BC15" s="32">
        <f t="array" ref="BC15">IF(COLUMN() - ($E15 + 5) &lt; 0, 0,
  IF(COLUMN() - ($E15 + 5) = 0, $F15,
    BB15 * (1 - IFERROR(INDEX('Inputs &amp; Assuptions'!$B$13:$B$72, COLUMN() - ($E15 + 5)), 0))
  )
)</f>
        <v>1560.2913540002385</v>
      </c>
      <c r="BD15" s="32">
        <f t="array" ref="BD15">IF(COLUMN() - ($E15 + 5) &lt; 0, 0,
  IF(COLUMN() - ($E15 + 5) = 0, $F15,
    BC15 * (1 - IFERROR(INDEX('Inputs &amp; Assuptions'!$B$13:$B$72, COLUMN() - ($E15 + 5)), 0))
  )
)</f>
        <v>1544.6884404602361</v>
      </c>
      <c r="BE15" s="32">
        <f t="array" ref="BE15">IF(COLUMN() - ($E15 + 5) &lt; 0, 0,
  IF(COLUMN() - ($E15 + 5) = 0, $F15,
    BD15 * (1 - IFERROR(INDEX('Inputs &amp; Assuptions'!$B$13:$B$72, COLUMN() - ($E15 + 5)), 0))
  )
)</f>
        <v>1529.2415560556337</v>
      </c>
      <c r="BF15" s="32">
        <f t="array" ref="BF15">IF(COLUMN() - ($E15 + 5) &lt; 0, 0,
  IF(COLUMN() - ($E15 + 5) = 0, $F15,
    BE15 * (1 - IFERROR(INDEX('Inputs &amp; Assuptions'!$B$13:$B$72, COLUMN() - ($E15 + 5)), 0))
  )
)</f>
        <v>1513.9491404950775</v>
      </c>
      <c r="BG15" s="32">
        <f t="array" ref="BG15">IF(COLUMN() - ($E15 + 5) &lt; 0, 0,
  IF(COLUMN() - ($E15 + 5) = 0, $F15,
    BF15 * (1 - IFERROR(INDEX('Inputs &amp; Assuptions'!$B$13:$B$72, COLUMN() - ($E15 + 5)), 0))
  )
)</f>
        <v>1498.8096490901266</v>
      </c>
      <c r="BH15" s="32">
        <f t="array" ref="BH15">IF(COLUMN() - ($E15 + 5) &lt; 0, 0,
  IF(COLUMN() - ($E15 + 5) = 0, $F15,
    BG15 * (1 - IFERROR(INDEX('Inputs &amp; Assuptions'!$B$13:$B$72, COLUMN() - ($E15 + 5)), 0))
  )
)</f>
        <v>1483.8215525992255</v>
      </c>
      <c r="BI15" s="32">
        <f t="array" ref="BI15">IF(COLUMN() - ($E15 + 5) &lt; 0, 0,
  IF(COLUMN() - ($E15 + 5) = 0, $F15,
    BH15 * (1 - IFERROR(INDEX('Inputs &amp; Assuptions'!$B$13:$B$72, COLUMN() - ($E15 + 5)), 0))
  )
)</f>
        <v>1468.9833370732333</v>
      </c>
      <c r="BJ15" s="32">
        <f t="array" ref="BJ15">IF(COLUMN() - ($E15 + 5) &lt; 0, 0,
  IF(COLUMN() - ($E15 + 5) = 0, $F15,
    BI15 * (1 - IFERROR(INDEX('Inputs &amp; Assuptions'!$B$13:$B$72, COLUMN() - ($E15 + 5)), 0))
  )
)</f>
        <v>1454.2935037025009</v>
      </c>
      <c r="BK15" s="32">
        <f t="array" ref="BK15">IF(COLUMN() - ($E15 + 5) &lt; 0, 0,
  IF(COLUMN() - ($E15 + 5) = 0, $F15,
    BJ15 * (1 - IFERROR(INDEX('Inputs &amp; Assuptions'!$B$13:$B$72, COLUMN() - ($E15 + 5)), 0))
  )
)</f>
        <v>1439.7505686654758</v>
      </c>
      <c r="BL15" s="32">
        <f t="array" ref="BL15">IF(COLUMN() - ($E15 + 5) &lt; 0, 0,
  IF(COLUMN() - ($E15 + 5) = 0, $F15,
    BK15 * (1 - IFERROR(INDEX('Inputs &amp; Assuptions'!$B$13:$B$72, COLUMN() - ($E15 + 5)), 0))
  )
)</f>
        <v>1425.3530629788211</v>
      </c>
      <c r="BM15" s="66">
        <f t="array" ref="BM15">IF(COLUMN() - ($E15 + 5) &lt; 0, 0,
  IF(COLUMN() - ($E15 + 5) = 0, $F15,
    BL15 * (1 - IFERROR(INDEX('Inputs &amp; Assuptions'!$B$13:$B$72, COLUMN() - ($E15 + 5)), 0))
  )
)</f>
        <v>1411.0995323490329</v>
      </c>
      <c r="BN15" s="33"/>
    </row>
    <row r="16" spans="1:67" x14ac:dyDescent="0.3">
      <c r="A16" s="71">
        <f t="shared" si="2"/>
        <v>11</v>
      </c>
      <c r="B16" s="75">
        <f t="shared" si="4"/>
        <v>6000</v>
      </c>
      <c r="C16" s="81">
        <f>$B16*(1-'Inputs &amp; Assuptions'!$B$12)</f>
        <v>3480.0000000000005</v>
      </c>
      <c r="E16" s="71">
        <f t="shared" si="3"/>
        <v>11</v>
      </c>
      <c r="F16" s="65"/>
      <c r="G16" s="32"/>
      <c r="H16" s="32"/>
      <c r="I16" s="32"/>
      <c r="J16" s="32"/>
      <c r="K16" s="32"/>
      <c r="L16" s="32"/>
      <c r="M16" s="32"/>
      <c r="N16" s="32"/>
      <c r="O16" s="32"/>
      <c r="P16" s="32">
        <f>+$C16</f>
        <v>3480.0000000000005</v>
      </c>
      <c r="Q16" s="32">
        <f t="array" ref="Q16">IF(COLUMN() - ($E16 + 5) &lt; 0, 0,
  IF(COLUMN() - ($E16 + 5) = 0, $F16,
    P16 * (1 - IFERROR(INDEX('Inputs &amp; Assuptions'!$B$13:$B$72, COLUMN() - ($E16 + 5)), 0))
  )
)</f>
        <v>3114.6000000000004</v>
      </c>
      <c r="R16" s="32">
        <f t="array" ref="R16">IF(COLUMN() - ($E16 + 5) &lt; 0, 0,
  IF(COLUMN() - ($E16 + 5) = 0, $F16,
    Q16 * (1 - IFERROR(INDEX('Inputs &amp; Assuptions'!$B$13:$B$72, COLUMN() - ($E16 + 5)), 0))
  )
)</f>
        <v>2865.4320000000002</v>
      </c>
      <c r="S16" s="32">
        <f t="array" ref="S16">IF(COLUMN() - ($E16 + 5) &lt; 0, 0,
  IF(COLUMN() - ($E16 + 5) = 0, $F16,
    R16 * (1 - IFERROR(INDEX('Inputs &amp; Assuptions'!$B$13:$B$72, COLUMN() - ($E16 + 5)), 0))
  )
)</f>
        <v>2707.8332399999999</v>
      </c>
      <c r="T16" s="32">
        <f t="array" ref="T16">IF(COLUMN() - ($E16 + 5) &lt; 0, 0,
  IF(COLUMN() - ($E16 + 5) = 0, $F16,
    S16 * (1 - IFERROR(INDEX('Inputs &amp; Assuptions'!$B$13:$B$72, COLUMN() - ($E16 + 5)), 0))
  )
)</f>
        <v>2572.4415779999999</v>
      </c>
      <c r="U16" s="32">
        <f t="array" ref="U16">IF(COLUMN() - ($E16 + 5) &lt; 0, 0,
  IF(COLUMN() - ($E16 + 5) = 0, $F16,
    T16 * (1 - IFERROR(INDEX('Inputs &amp; Assuptions'!$B$13:$B$72, COLUMN() - ($E16 + 5)), 0))
  )
)</f>
        <v>2456.6817069899998</v>
      </c>
      <c r="V16" s="32">
        <f t="array" ref="V16">IF(COLUMN() - ($E16 + 5) &lt; 0, 0,
  IF(COLUMN() - ($E16 + 5) = 0, $F16,
    U16 * (1 - IFERROR(INDEX('Inputs &amp; Assuptions'!$B$13:$B$72, COLUMN() - ($E16 + 5)), 0))
  )
)</f>
        <v>2358.4144387103997</v>
      </c>
      <c r="W16" s="32">
        <f t="array" ref="W16">IF(COLUMN() - ($E16 + 5) &lt; 0, 0,
  IF(COLUMN() - ($E16 + 5) = 0, $F16,
    V16 * (1 - IFERROR(INDEX('Inputs &amp; Assuptions'!$B$13:$B$72, COLUMN() - ($E16 + 5)), 0))
  )
)</f>
        <v>2275.8699333555355</v>
      </c>
      <c r="X16" s="32">
        <f t="array" ref="X16">IF(COLUMN() - ($E16 + 5) &lt; 0, 0,
  IF(COLUMN() - ($E16 + 5) = 0, $F16,
    W16 * (1 - IFERROR(INDEX('Inputs &amp; Assuptions'!$B$13:$B$72, COLUMN() - ($E16 + 5)), 0))
  )
)</f>
        <v>2207.5938353548695</v>
      </c>
      <c r="Y16" s="32">
        <f t="array" ref="Y16">IF(COLUMN() - ($E16 + 5) &lt; 0, 0,
  IF(COLUMN() - ($E16 + 5) = 0, $F16,
    X16 * (1 - IFERROR(INDEX('Inputs &amp; Assuptions'!$B$13:$B$72, COLUMN() - ($E16 + 5)), 0))
  )
)</f>
        <v>2152.4039894709977</v>
      </c>
      <c r="Z16" s="32">
        <f t="array" ref="Z16">IF(COLUMN() - ($E16 + 5) &lt; 0, 0,
  IF(COLUMN() - ($E16 + 5) = 0, $F16,
    Y16 * (1 - IFERROR(INDEX('Inputs &amp; Assuptions'!$B$13:$B$72, COLUMN() - ($E16 + 5)), 0))
  )
)</f>
        <v>2109.3559096815775</v>
      </c>
      <c r="AA16" s="32">
        <f t="array" ref="AA16">IF(COLUMN() - ($E16 + 5) &lt; 0, 0,
  IF(COLUMN() - ($E16 + 5) = 0, $F16,
    Z16 * (1 - IFERROR(INDEX('Inputs &amp; Assuptions'!$B$13:$B$72, COLUMN() - ($E16 + 5)), 0))
  )
)</f>
        <v>2088.2623505847619</v>
      </c>
      <c r="AB16" s="32">
        <f t="array" ref="AB16">IF(COLUMN() - ($E16 + 5) &lt; 0, 0,
  IF(COLUMN() - ($E16 + 5) = 0, $F16,
    AA16 * (1 - IFERROR(INDEX('Inputs &amp; Assuptions'!$B$13:$B$72, COLUMN() - ($E16 + 5)), 0))
  )
)</f>
        <v>2067.3797270789141</v>
      </c>
      <c r="AC16" s="32">
        <f t="array" ref="AC16">IF(COLUMN() - ($E16 + 5) &lt; 0, 0,
  IF(COLUMN() - ($E16 + 5) = 0, $F16,
    AB16 * (1 - IFERROR(INDEX('Inputs &amp; Assuptions'!$B$13:$B$72, COLUMN() - ($E16 + 5)), 0))
  )
)</f>
        <v>2046.7059298081249</v>
      </c>
      <c r="AD16" s="32">
        <f t="array" ref="AD16">IF(COLUMN() - ($E16 + 5) &lt; 0, 0,
  IF(COLUMN() - ($E16 + 5) = 0, $F16,
    AC16 * (1 - IFERROR(INDEX('Inputs &amp; Assuptions'!$B$13:$B$72, COLUMN() - ($E16 + 5)), 0))
  )
)</f>
        <v>2026.2388705100436</v>
      </c>
      <c r="AE16" s="32">
        <f t="array" ref="AE16">IF(COLUMN() - ($E16 + 5) &lt; 0, 0,
  IF(COLUMN() - ($E16 + 5) = 0, $F16,
    AD16 * (1 - IFERROR(INDEX('Inputs &amp; Assuptions'!$B$13:$B$72, COLUMN() - ($E16 + 5)), 0))
  )
)</f>
        <v>2005.9764818049432</v>
      </c>
      <c r="AF16" s="32">
        <f t="array" ref="AF16">IF(COLUMN() - ($E16 + 5) &lt; 0, 0,
  IF(COLUMN() - ($E16 + 5) = 0, $F16,
    AE16 * (1 - IFERROR(INDEX('Inputs &amp; Assuptions'!$B$13:$B$72, COLUMN() - ($E16 + 5)), 0))
  )
)</f>
        <v>1985.9167169868938</v>
      </c>
      <c r="AG16" s="32">
        <f t="array" ref="AG16">IF(COLUMN() - ($E16 + 5) &lt; 0, 0,
  IF(COLUMN() - ($E16 + 5) = 0, $F16,
    AF16 * (1 - IFERROR(INDEX('Inputs &amp; Assuptions'!$B$13:$B$72, COLUMN() - ($E16 + 5)), 0))
  )
)</f>
        <v>1966.0575498170249</v>
      </c>
      <c r="AH16" s="32">
        <f t="array" ref="AH16">IF(COLUMN() - ($E16 + 5) &lt; 0, 0,
  IF(COLUMN() - ($E16 + 5) = 0, $F16,
    AG16 * (1 - IFERROR(INDEX('Inputs &amp; Assuptions'!$B$13:$B$72, COLUMN() - ($E16 + 5)), 0))
  )
)</f>
        <v>1946.3969743188545</v>
      </c>
      <c r="AI16" s="32">
        <f t="array" ref="AI16">IF(COLUMN() - ($E16 + 5) &lt; 0, 0,
  IF(COLUMN() - ($E16 + 5) = 0, $F16,
    AH16 * (1 - IFERROR(INDEX('Inputs &amp; Assuptions'!$B$13:$B$72, COLUMN() - ($E16 + 5)), 0))
  )
)</f>
        <v>1926.933004575666</v>
      </c>
      <c r="AJ16" s="32">
        <f t="array" ref="AJ16">IF(COLUMN() - ($E16 + 5) &lt; 0, 0,
  IF(COLUMN() - ($E16 + 5) = 0, $F16,
    AI16 * (1 - IFERROR(INDEX('Inputs &amp; Assuptions'!$B$13:$B$72, COLUMN() - ($E16 + 5)), 0))
  )
)</f>
        <v>1907.6636745299093</v>
      </c>
      <c r="AK16" s="32">
        <f t="array" ref="AK16">IF(COLUMN() - ($E16 + 5) &lt; 0, 0,
  IF(COLUMN() - ($E16 + 5) = 0, $F16,
    AJ16 * (1 - IFERROR(INDEX('Inputs &amp; Assuptions'!$B$13:$B$72, COLUMN() - ($E16 + 5)), 0))
  )
)</f>
        <v>1888.5870377846102</v>
      </c>
      <c r="AL16" s="32">
        <f t="array" ref="AL16">IF(COLUMN() - ($E16 + 5) &lt; 0, 0,
  IF(COLUMN() - ($E16 + 5) = 0, $F16,
    AK16 * (1 - IFERROR(INDEX('Inputs &amp; Assuptions'!$B$13:$B$72, COLUMN() - ($E16 + 5)), 0))
  )
)</f>
        <v>1869.7011674067639</v>
      </c>
      <c r="AM16" s="32">
        <f t="array" ref="AM16">IF(COLUMN() - ($E16 + 5) &lt; 0, 0,
  IF(COLUMN() - ($E16 + 5) = 0, $F16,
    AL16 * (1 - IFERROR(INDEX('Inputs &amp; Assuptions'!$B$13:$B$72, COLUMN() - ($E16 + 5)), 0))
  )
)</f>
        <v>1851.0041557326963</v>
      </c>
      <c r="AN16" s="32">
        <f t="array" ref="AN16">IF(COLUMN() - ($E16 + 5) &lt; 0, 0,
  IF(COLUMN() - ($E16 + 5) = 0, $F16,
    AM16 * (1 - IFERROR(INDEX('Inputs &amp; Assuptions'!$B$13:$B$72, COLUMN() - ($E16 + 5)), 0))
  )
)</f>
        <v>1832.4941141753693</v>
      </c>
      <c r="AO16" s="32">
        <f t="array" ref="AO16">IF(COLUMN() - ($E16 + 5) &lt; 0, 0,
  IF(COLUMN() - ($E16 + 5) = 0, $F16,
    AN16 * (1 - IFERROR(INDEX('Inputs &amp; Assuptions'!$B$13:$B$72, COLUMN() - ($E16 + 5)), 0))
  )
)</f>
        <v>1814.1691730336156</v>
      </c>
      <c r="AP16" s="32">
        <f t="array" ref="AP16">IF(COLUMN() - ($E16 + 5) &lt; 0, 0,
  IF(COLUMN() - ($E16 + 5) = 0, $F16,
    AO16 * (1 - IFERROR(INDEX('Inputs &amp; Assuptions'!$B$13:$B$72, COLUMN() - ($E16 + 5)), 0))
  )
)</f>
        <v>1796.0274813032795</v>
      </c>
      <c r="AQ16" s="32">
        <f t="array" ref="AQ16">IF(COLUMN() - ($E16 + 5) &lt; 0, 0,
  IF(COLUMN() - ($E16 + 5) = 0, $F16,
    AP16 * (1 - IFERROR(INDEX('Inputs &amp; Assuptions'!$B$13:$B$72, COLUMN() - ($E16 + 5)), 0))
  )
)</f>
        <v>1778.0672064902467</v>
      </c>
      <c r="AR16" s="32">
        <f t="array" ref="AR16">IF(COLUMN() - ($E16 + 5) &lt; 0, 0,
  IF(COLUMN() - ($E16 + 5) = 0, $F16,
    AQ16 * (1 - IFERROR(INDEX('Inputs &amp; Assuptions'!$B$13:$B$72, COLUMN() - ($E16 + 5)), 0))
  )
)</f>
        <v>1760.2865344253441</v>
      </c>
      <c r="AS16" s="32">
        <f t="array" ref="AS16">IF(COLUMN() - ($E16 + 5) &lt; 0, 0,
  IF(COLUMN() - ($E16 + 5) = 0, $F16,
    AR16 * (1 - IFERROR(INDEX('Inputs &amp; Assuptions'!$B$13:$B$72, COLUMN() - ($E16 + 5)), 0))
  )
)</f>
        <v>1742.6836690810908</v>
      </c>
      <c r="AT16" s="32">
        <f t="array" ref="AT16">IF(COLUMN() - ($E16 + 5) &lt; 0, 0,
  IF(COLUMN() - ($E16 + 5) = 0, $F16,
    AS16 * (1 - IFERROR(INDEX('Inputs &amp; Assuptions'!$B$13:$B$72, COLUMN() - ($E16 + 5)), 0))
  )
)</f>
        <v>1725.2568323902799</v>
      </c>
      <c r="AU16" s="32">
        <f t="array" ref="AU16">IF(COLUMN() - ($E16 + 5) &lt; 0, 0,
  IF(COLUMN() - ($E16 + 5) = 0, $F16,
    AT16 * (1 - IFERROR(INDEX('Inputs &amp; Assuptions'!$B$13:$B$72, COLUMN() - ($E16 + 5)), 0))
  )
)</f>
        <v>1708.0042640663771</v>
      </c>
      <c r="AV16" s="32">
        <f t="array" ref="AV16">IF(COLUMN() - ($E16 + 5) &lt; 0, 0,
  IF(COLUMN() - ($E16 + 5) = 0, $F16,
    AU16 * (1 - IFERROR(INDEX('Inputs &amp; Assuptions'!$B$13:$B$72, COLUMN() - ($E16 + 5)), 0))
  )
)</f>
        <v>1690.9242214257133</v>
      </c>
      <c r="AW16" s="32">
        <f t="array" ref="AW16">IF(COLUMN() - ($E16 + 5) &lt; 0, 0,
  IF(COLUMN() - ($E16 + 5) = 0, $F16,
    AV16 * (1 - IFERROR(INDEX('Inputs &amp; Assuptions'!$B$13:$B$72, COLUMN() - ($E16 + 5)), 0))
  )
)</f>
        <v>1674.0149792114562</v>
      </c>
      <c r="AX16" s="32">
        <f t="array" ref="AX16">IF(COLUMN() - ($E16 + 5) &lt; 0, 0,
  IF(COLUMN() - ($E16 + 5) = 0, $F16,
    AW16 * (1 - IFERROR(INDEX('Inputs &amp; Assuptions'!$B$13:$B$72, COLUMN() - ($E16 + 5)), 0))
  )
)</f>
        <v>1657.2748294193416</v>
      </c>
      <c r="AY16" s="32">
        <f t="array" ref="AY16">IF(COLUMN() - ($E16 + 5) &lt; 0, 0,
  IF(COLUMN() - ($E16 + 5) = 0, $F16,
    AX16 * (1 - IFERROR(INDEX('Inputs &amp; Assuptions'!$B$13:$B$72, COLUMN() - ($E16 + 5)), 0))
  )
)</f>
        <v>1640.7020811251482</v>
      </c>
      <c r="AZ16" s="32">
        <f t="array" ref="AZ16">IF(COLUMN() - ($E16 + 5) &lt; 0, 0,
  IF(COLUMN() - ($E16 + 5) = 0, $F16,
    AY16 * (1 - IFERROR(INDEX('Inputs &amp; Assuptions'!$B$13:$B$72, COLUMN() - ($E16 + 5)), 0))
  )
)</f>
        <v>1624.2950603138968</v>
      </c>
      <c r="BA16" s="32">
        <f t="array" ref="BA16">IF(COLUMN() - ($E16 + 5) &lt; 0, 0,
  IF(COLUMN() - ($E16 + 5) = 0, $F16,
    AZ16 * (1 - IFERROR(INDEX('Inputs &amp; Assuptions'!$B$13:$B$72, COLUMN() - ($E16 + 5)), 0))
  )
)</f>
        <v>1608.0521097107578</v>
      </c>
      <c r="BB16" s="32">
        <f t="array" ref="BB16">IF(COLUMN() - ($E16 + 5) &lt; 0, 0,
  IF(COLUMN() - ($E16 + 5) = 0, $F16,
    BA16 * (1 - IFERROR(INDEX('Inputs &amp; Assuptions'!$B$13:$B$72, COLUMN() - ($E16 + 5)), 0))
  )
)</f>
        <v>1591.9715886136503</v>
      </c>
      <c r="BC16" s="32">
        <f t="array" ref="BC16">IF(COLUMN() - ($E16 + 5) &lt; 0, 0,
  IF(COLUMN() - ($E16 + 5) = 0, $F16,
    BB16 * (1 - IFERROR(INDEX('Inputs &amp; Assuptions'!$B$13:$B$72, COLUMN() - ($E16 + 5)), 0))
  )
)</f>
        <v>1576.0518727275137</v>
      </c>
      <c r="BD16" s="32">
        <f t="array" ref="BD16">IF(COLUMN() - ($E16 + 5) &lt; 0, 0,
  IF(COLUMN() - ($E16 + 5) = 0, $F16,
    BC16 * (1 - IFERROR(INDEX('Inputs &amp; Assuptions'!$B$13:$B$72, COLUMN() - ($E16 + 5)), 0))
  )
)</f>
        <v>1560.2913540002385</v>
      </c>
      <c r="BE16" s="32">
        <f t="array" ref="BE16">IF(COLUMN() - ($E16 + 5) &lt; 0, 0,
  IF(COLUMN() - ($E16 + 5) = 0, $F16,
    BD16 * (1 - IFERROR(INDEX('Inputs &amp; Assuptions'!$B$13:$B$72, COLUMN() - ($E16 + 5)), 0))
  )
)</f>
        <v>1544.6884404602361</v>
      </c>
      <c r="BF16" s="32">
        <f t="array" ref="BF16">IF(COLUMN() - ($E16 + 5) &lt; 0, 0,
  IF(COLUMN() - ($E16 + 5) = 0, $F16,
    BE16 * (1 - IFERROR(INDEX('Inputs &amp; Assuptions'!$B$13:$B$72, COLUMN() - ($E16 + 5)), 0))
  )
)</f>
        <v>1529.2415560556337</v>
      </c>
      <c r="BG16" s="32">
        <f t="array" ref="BG16">IF(COLUMN() - ($E16 + 5) &lt; 0, 0,
  IF(COLUMN() - ($E16 + 5) = 0, $F16,
    BF16 * (1 - IFERROR(INDEX('Inputs &amp; Assuptions'!$B$13:$B$72, COLUMN() - ($E16 + 5)), 0))
  )
)</f>
        <v>1513.9491404950775</v>
      </c>
      <c r="BH16" s="32">
        <f t="array" ref="BH16">IF(COLUMN() - ($E16 + 5) &lt; 0, 0,
  IF(COLUMN() - ($E16 + 5) = 0, $F16,
    BG16 * (1 - IFERROR(INDEX('Inputs &amp; Assuptions'!$B$13:$B$72, COLUMN() - ($E16 + 5)), 0))
  )
)</f>
        <v>1498.8096490901266</v>
      </c>
      <c r="BI16" s="32">
        <f t="array" ref="BI16">IF(COLUMN() - ($E16 + 5) &lt; 0, 0,
  IF(COLUMN() - ($E16 + 5) = 0, $F16,
    BH16 * (1 - IFERROR(INDEX('Inputs &amp; Assuptions'!$B$13:$B$72, COLUMN() - ($E16 + 5)), 0))
  )
)</f>
        <v>1483.8215525992255</v>
      </c>
      <c r="BJ16" s="32">
        <f t="array" ref="BJ16">IF(COLUMN() - ($E16 + 5) &lt; 0, 0,
  IF(COLUMN() - ($E16 + 5) = 0, $F16,
    BI16 * (1 - IFERROR(INDEX('Inputs &amp; Assuptions'!$B$13:$B$72, COLUMN() - ($E16 + 5)), 0))
  )
)</f>
        <v>1468.9833370732333</v>
      </c>
      <c r="BK16" s="32">
        <f t="array" ref="BK16">IF(COLUMN() - ($E16 + 5) &lt; 0, 0,
  IF(COLUMN() - ($E16 + 5) = 0, $F16,
    BJ16 * (1 - IFERROR(INDEX('Inputs &amp; Assuptions'!$B$13:$B$72, COLUMN() - ($E16 + 5)), 0))
  )
)</f>
        <v>1454.2935037025009</v>
      </c>
      <c r="BL16" s="32">
        <f t="array" ref="BL16">IF(COLUMN() - ($E16 + 5) &lt; 0, 0,
  IF(COLUMN() - ($E16 + 5) = 0, $F16,
    BK16 * (1 - IFERROR(INDEX('Inputs &amp; Assuptions'!$B$13:$B$72, COLUMN() - ($E16 + 5)), 0))
  )
)</f>
        <v>1439.7505686654758</v>
      </c>
      <c r="BM16" s="66">
        <f t="array" ref="BM16">IF(COLUMN() - ($E16 + 5) &lt; 0, 0,
  IF(COLUMN() - ($E16 + 5) = 0, $F16,
    BL16 * (1 - IFERROR(INDEX('Inputs &amp; Assuptions'!$B$13:$B$72, COLUMN() - ($E16 + 5)), 0))
  )
)</f>
        <v>1425.3530629788211</v>
      </c>
      <c r="BN16" s="33"/>
    </row>
    <row r="17" spans="1:66" x14ac:dyDescent="0.3">
      <c r="A17" s="71">
        <f t="shared" si="2"/>
        <v>12</v>
      </c>
      <c r="B17" s="75">
        <f t="shared" si="4"/>
        <v>6000</v>
      </c>
      <c r="C17" s="81">
        <f>$B17*(1-'Inputs &amp; Assuptions'!$B$12)</f>
        <v>3480.0000000000005</v>
      </c>
      <c r="E17" s="71">
        <f t="shared" si="3"/>
        <v>12</v>
      </c>
      <c r="F17" s="65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>
        <f>+$C17</f>
        <v>3480.0000000000005</v>
      </c>
      <c r="R17" s="32">
        <f t="array" ref="R17">IF(COLUMN() - ($E17 + 5) &lt; 0, 0,
  IF(COLUMN() - ($E17 + 5) = 0, $F17,
    Q17 * (1 - IFERROR(INDEX('Inputs &amp; Assuptions'!$B$13:$B$72, COLUMN() - ($E17 + 5)), 0))
  )
)</f>
        <v>3114.6000000000004</v>
      </c>
      <c r="S17" s="32">
        <f t="array" ref="S17">IF(COLUMN() - ($E17 + 5) &lt; 0, 0,
  IF(COLUMN() - ($E17 + 5) = 0, $F17,
    R17 * (1 - IFERROR(INDEX('Inputs &amp; Assuptions'!$B$13:$B$72, COLUMN() - ($E17 + 5)), 0))
  )
)</f>
        <v>2865.4320000000002</v>
      </c>
      <c r="T17" s="32">
        <f t="array" ref="T17">IF(COLUMN() - ($E17 + 5) &lt; 0, 0,
  IF(COLUMN() - ($E17 + 5) = 0, $F17,
    S17 * (1 - IFERROR(INDEX('Inputs &amp; Assuptions'!$B$13:$B$72, COLUMN() - ($E17 + 5)), 0))
  )
)</f>
        <v>2707.8332399999999</v>
      </c>
      <c r="U17" s="32">
        <f t="array" ref="U17">IF(COLUMN() - ($E17 + 5) &lt; 0, 0,
  IF(COLUMN() - ($E17 + 5) = 0, $F17,
    T17 * (1 - IFERROR(INDEX('Inputs &amp; Assuptions'!$B$13:$B$72, COLUMN() - ($E17 + 5)), 0))
  )
)</f>
        <v>2572.4415779999999</v>
      </c>
      <c r="V17" s="32">
        <f t="array" ref="V17">IF(COLUMN() - ($E17 + 5) &lt; 0, 0,
  IF(COLUMN() - ($E17 + 5) = 0, $F17,
    U17 * (1 - IFERROR(INDEX('Inputs &amp; Assuptions'!$B$13:$B$72, COLUMN() - ($E17 + 5)), 0))
  )
)</f>
        <v>2456.6817069899998</v>
      </c>
      <c r="W17" s="32">
        <f t="array" ref="W17">IF(COLUMN() - ($E17 + 5) &lt; 0, 0,
  IF(COLUMN() - ($E17 + 5) = 0, $F17,
    V17 * (1 - IFERROR(INDEX('Inputs &amp; Assuptions'!$B$13:$B$72, COLUMN() - ($E17 + 5)), 0))
  )
)</f>
        <v>2358.4144387103997</v>
      </c>
      <c r="X17" s="32">
        <f t="array" ref="X17">IF(COLUMN() - ($E17 + 5) &lt; 0, 0,
  IF(COLUMN() - ($E17 + 5) = 0, $F17,
    W17 * (1 - IFERROR(INDEX('Inputs &amp; Assuptions'!$B$13:$B$72, COLUMN() - ($E17 + 5)), 0))
  )
)</f>
        <v>2275.8699333555355</v>
      </c>
      <c r="Y17" s="32">
        <f t="array" ref="Y17">IF(COLUMN() - ($E17 + 5) &lt; 0, 0,
  IF(COLUMN() - ($E17 + 5) = 0, $F17,
    X17 * (1 - IFERROR(INDEX('Inputs &amp; Assuptions'!$B$13:$B$72, COLUMN() - ($E17 + 5)), 0))
  )
)</f>
        <v>2207.5938353548695</v>
      </c>
      <c r="Z17" s="32">
        <f t="array" ref="Z17">IF(COLUMN() - ($E17 + 5) &lt; 0, 0,
  IF(COLUMN() - ($E17 + 5) = 0, $F17,
    Y17 * (1 - IFERROR(INDEX('Inputs &amp; Assuptions'!$B$13:$B$72, COLUMN() - ($E17 + 5)), 0))
  )
)</f>
        <v>2152.4039894709977</v>
      </c>
      <c r="AA17" s="32">
        <f t="array" ref="AA17">IF(COLUMN() - ($E17 + 5) &lt; 0, 0,
  IF(COLUMN() - ($E17 + 5) = 0, $F17,
    Z17 * (1 - IFERROR(INDEX('Inputs &amp; Assuptions'!$B$13:$B$72, COLUMN() - ($E17 + 5)), 0))
  )
)</f>
        <v>2109.3559096815775</v>
      </c>
      <c r="AB17" s="32">
        <f t="array" ref="AB17">IF(COLUMN() - ($E17 + 5) &lt; 0, 0,
  IF(COLUMN() - ($E17 + 5) = 0, $F17,
    AA17 * (1 - IFERROR(INDEX('Inputs &amp; Assuptions'!$B$13:$B$72, COLUMN() - ($E17 + 5)), 0))
  )
)</f>
        <v>2088.2623505847619</v>
      </c>
      <c r="AC17" s="32">
        <f t="array" ref="AC17">IF(COLUMN() - ($E17 + 5) &lt; 0, 0,
  IF(COLUMN() - ($E17 + 5) = 0, $F17,
    AB17 * (1 - IFERROR(INDEX('Inputs &amp; Assuptions'!$B$13:$B$72, COLUMN() - ($E17 + 5)), 0))
  )
)</f>
        <v>2067.3797270789141</v>
      </c>
      <c r="AD17" s="32">
        <f t="array" ref="AD17">IF(COLUMN() - ($E17 + 5) &lt; 0, 0,
  IF(COLUMN() - ($E17 + 5) = 0, $F17,
    AC17 * (1 - IFERROR(INDEX('Inputs &amp; Assuptions'!$B$13:$B$72, COLUMN() - ($E17 + 5)), 0))
  )
)</f>
        <v>2046.7059298081249</v>
      </c>
      <c r="AE17" s="32">
        <f t="array" ref="AE17">IF(COLUMN() - ($E17 + 5) &lt; 0, 0,
  IF(COLUMN() - ($E17 + 5) = 0, $F17,
    AD17 * (1 - IFERROR(INDEX('Inputs &amp; Assuptions'!$B$13:$B$72, COLUMN() - ($E17 + 5)), 0))
  )
)</f>
        <v>2026.2388705100436</v>
      </c>
      <c r="AF17" s="32">
        <f t="array" ref="AF17">IF(COLUMN() - ($E17 + 5) &lt; 0, 0,
  IF(COLUMN() - ($E17 + 5) = 0, $F17,
    AE17 * (1 - IFERROR(INDEX('Inputs &amp; Assuptions'!$B$13:$B$72, COLUMN() - ($E17 + 5)), 0))
  )
)</f>
        <v>2005.9764818049432</v>
      </c>
      <c r="AG17" s="32">
        <f t="array" ref="AG17">IF(COLUMN() - ($E17 + 5) &lt; 0, 0,
  IF(COLUMN() - ($E17 + 5) = 0, $F17,
    AF17 * (1 - IFERROR(INDEX('Inputs &amp; Assuptions'!$B$13:$B$72, COLUMN() - ($E17 + 5)), 0))
  )
)</f>
        <v>1985.9167169868938</v>
      </c>
      <c r="AH17" s="32">
        <f t="array" ref="AH17">IF(COLUMN() - ($E17 + 5) &lt; 0, 0,
  IF(COLUMN() - ($E17 + 5) = 0, $F17,
    AG17 * (1 - IFERROR(INDEX('Inputs &amp; Assuptions'!$B$13:$B$72, COLUMN() - ($E17 + 5)), 0))
  )
)</f>
        <v>1966.0575498170249</v>
      </c>
      <c r="AI17" s="32">
        <f t="array" ref="AI17">IF(COLUMN() - ($E17 + 5) &lt; 0, 0,
  IF(COLUMN() - ($E17 + 5) = 0, $F17,
    AH17 * (1 - IFERROR(INDEX('Inputs &amp; Assuptions'!$B$13:$B$72, COLUMN() - ($E17 + 5)), 0))
  )
)</f>
        <v>1946.3969743188545</v>
      </c>
      <c r="AJ17" s="32">
        <f t="array" ref="AJ17">IF(COLUMN() - ($E17 + 5) &lt; 0, 0,
  IF(COLUMN() - ($E17 + 5) = 0, $F17,
    AI17 * (1 - IFERROR(INDEX('Inputs &amp; Assuptions'!$B$13:$B$72, COLUMN() - ($E17 + 5)), 0))
  )
)</f>
        <v>1926.933004575666</v>
      </c>
      <c r="AK17" s="32">
        <f t="array" ref="AK17">IF(COLUMN() - ($E17 + 5) &lt; 0, 0,
  IF(COLUMN() - ($E17 + 5) = 0, $F17,
    AJ17 * (1 - IFERROR(INDEX('Inputs &amp; Assuptions'!$B$13:$B$72, COLUMN() - ($E17 + 5)), 0))
  )
)</f>
        <v>1907.6636745299093</v>
      </c>
      <c r="AL17" s="32">
        <f t="array" ref="AL17">IF(COLUMN() - ($E17 + 5) &lt; 0, 0,
  IF(COLUMN() - ($E17 + 5) = 0, $F17,
    AK17 * (1 - IFERROR(INDEX('Inputs &amp; Assuptions'!$B$13:$B$72, COLUMN() - ($E17 + 5)), 0))
  )
)</f>
        <v>1888.5870377846102</v>
      </c>
      <c r="AM17" s="32">
        <f t="array" ref="AM17">IF(COLUMN() - ($E17 + 5) &lt; 0, 0,
  IF(COLUMN() - ($E17 + 5) = 0, $F17,
    AL17 * (1 - IFERROR(INDEX('Inputs &amp; Assuptions'!$B$13:$B$72, COLUMN() - ($E17 + 5)), 0))
  )
)</f>
        <v>1869.7011674067639</v>
      </c>
      <c r="AN17" s="32">
        <f t="array" ref="AN17">IF(COLUMN() - ($E17 + 5) &lt; 0, 0,
  IF(COLUMN() - ($E17 + 5) = 0, $F17,
    AM17 * (1 - IFERROR(INDEX('Inputs &amp; Assuptions'!$B$13:$B$72, COLUMN() - ($E17 + 5)), 0))
  )
)</f>
        <v>1851.0041557326963</v>
      </c>
      <c r="AO17" s="32">
        <f t="array" ref="AO17">IF(COLUMN() - ($E17 + 5) &lt; 0, 0,
  IF(COLUMN() - ($E17 + 5) = 0, $F17,
    AN17 * (1 - IFERROR(INDEX('Inputs &amp; Assuptions'!$B$13:$B$72, COLUMN() - ($E17 + 5)), 0))
  )
)</f>
        <v>1832.4941141753693</v>
      </c>
      <c r="AP17" s="32">
        <f t="array" ref="AP17">IF(COLUMN() - ($E17 + 5) &lt; 0, 0,
  IF(COLUMN() - ($E17 + 5) = 0, $F17,
    AO17 * (1 - IFERROR(INDEX('Inputs &amp; Assuptions'!$B$13:$B$72, COLUMN() - ($E17 + 5)), 0))
  )
)</f>
        <v>1814.1691730336156</v>
      </c>
      <c r="AQ17" s="32">
        <f t="array" ref="AQ17">IF(COLUMN() - ($E17 + 5) &lt; 0, 0,
  IF(COLUMN() - ($E17 + 5) = 0, $F17,
    AP17 * (1 - IFERROR(INDEX('Inputs &amp; Assuptions'!$B$13:$B$72, COLUMN() - ($E17 + 5)), 0))
  )
)</f>
        <v>1796.0274813032795</v>
      </c>
      <c r="AR17" s="32">
        <f t="array" ref="AR17">IF(COLUMN() - ($E17 + 5) &lt; 0, 0,
  IF(COLUMN() - ($E17 + 5) = 0, $F17,
    AQ17 * (1 - IFERROR(INDEX('Inputs &amp; Assuptions'!$B$13:$B$72, COLUMN() - ($E17 + 5)), 0))
  )
)</f>
        <v>1778.0672064902467</v>
      </c>
      <c r="AS17" s="32">
        <f t="array" ref="AS17">IF(COLUMN() - ($E17 + 5) &lt; 0, 0,
  IF(COLUMN() - ($E17 + 5) = 0, $F17,
    AR17 * (1 - IFERROR(INDEX('Inputs &amp; Assuptions'!$B$13:$B$72, COLUMN() - ($E17 + 5)), 0))
  )
)</f>
        <v>1760.2865344253441</v>
      </c>
      <c r="AT17" s="32">
        <f t="array" ref="AT17">IF(COLUMN() - ($E17 + 5) &lt; 0, 0,
  IF(COLUMN() - ($E17 + 5) = 0, $F17,
    AS17 * (1 - IFERROR(INDEX('Inputs &amp; Assuptions'!$B$13:$B$72, COLUMN() - ($E17 + 5)), 0))
  )
)</f>
        <v>1742.6836690810908</v>
      </c>
      <c r="AU17" s="32">
        <f t="array" ref="AU17">IF(COLUMN() - ($E17 + 5) &lt; 0, 0,
  IF(COLUMN() - ($E17 + 5) = 0, $F17,
    AT17 * (1 - IFERROR(INDEX('Inputs &amp; Assuptions'!$B$13:$B$72, COLUMN() - ($E17 + 5)), 0))
  )
)</f>
        <v>1725.2568323902799</v>
      </c>
      <c r="AV17" s="32">
        <f t="array" ref="AV17">IF(COLUMN() - ($E17 + 5) &lt; 0, 0,
  IF(COLUMN() - ($E17 + 5) = 0, $F17,
    AU17 * (1 - IFERROR(INDEX('Inputs &amp; Assuptions'!$B$13:$B$72, COLUMN() - ($E17 + 5)), 0))
  )
)</f>
        <v>1708.0042640663771</v>
      </c>
      <c r="AW17" s="32">
        <f t="array" ref="AW17">IF(COLUMN() - ($E17 + 5) &lt; 0, 0,
  IF(COLUMN() - ($E17 + 5) = 0, $F17,
    AV17 * (1 - IFERROR(INDEX('Inputs &amp; Assuptions'!$B$13:$B$72, COLUMN() - ($E17 + 5)), 0))
  )
)</f>
        <v>1690.9242214257133</v>
      </c>
      <c r="AX17" s="32">
        <f t="array" ref="AX17">IF(COLUMN() - ($E17 + 5) &lt; 0, 0,
  IF(COLUMN() - ($E17 + 5) = 0, $F17,
    AW17 * (1 - IFERROR(INDEX('Inputs &amp; Assuptions'!$B$13:$B$72, COLUMN() - ($E17 + 5)), 0))
  )
)</f>
        <v>1674.0149792114562</v>
      </c>
      <c r="AY17" s="32">
        <f t="array" ref="AY17">IF(COLUMN() - ($E17 + 5) &lt; 0, 0,
  IF(COLUMN() - ($E17 + 5) = 0, $F17,
    AX17 * (1 - IFERROR(INDEX('Inputs &amp; Assuptions'!$B$13:$B$72, COLUMN() - ($E17 + 5)), 0))
  )
)</f>
        <v>1657.2748294193416</v>
      </c>
      <c r="AZ17" s="32">
        <f t="array" ref="AZ17">IF(COLUMN() - ($E17 + 5) &lt; 0, 0,
  IF(COLUMN() - ($E17 + 5) = 0, $F17,
    AY17 * (1 - IFERROR(INDEX('Inputs &amp; Assuptions'!$B$13:$B$72, COLUMN() - ($E17 + 5)), 0))
  )
)</f>
        <v>1640.7020811251482</v>
      </c>
      <c r="BA17" s="32">
        <f t="array" ref="BA17">IF(COLUMN() - ($E17 + 5) &lt; 0, 0,
  IF(COLUMN() - ($E17 + 5) = 0, $F17,
    AZ17 * (1 - IFERROR(INDEX('Inputs &amp; Assuptions'!$B$13:$B$72, COLUMN() - ($E17 + 5)), 0))
  )
)</f>
        <v>1624.2950603138968</v>
      </c>
      <c r="BB17" s="32">
        <f t="array" ref="BB17">IF(COLUMN() - ($E17 + 5) &lt; 0, 0,
  IF(COLUMN() - ($E17 + 5) = 0, $F17,
    BA17 * (1 - IFERROR(INDEX('Inputs &amp; Assuptions'!$B$13:$B$72, COLUMN() - ($E17 + 5)), 0))
  )
)</f>
        <v>1608.0521097107578</v>
      </c>
      <c r="BC17" s="32">
        <f t="array" ref="BC17">IF(COLUMN() - ($E17 + 5) &lt; 0, 0,
  IF(COLUMN() - ($E17 + 5) = 0, $F17,
    BB17 * (1 - IFERROR(INDEX('Inputs &amp; Assuptions'!$B$13:$B$72, COLUMN() - ($E17 + 5)), 0))
  )
)</f>
        <v>1591.9715886136503</v>
      </c>
      <c r="BD17" s="32">
        <f t="array" ref="BD17">IF(COLUMN() - ($E17 + 5) &lt; 0, 0,
  IF(COLUMN() - ($E17 + 5) = 0, $F17,
    BC17 * (1 - IFERROR(INDEX('Inputs &amp; Assuptions'!$B$13:$B$72, COLUMN() - ($E17 + 5)), 0))
  )
)</f>
        <v>1576.0518727275137</v>
      </c>
      <c r="BE17" s="32">
        <f t="array" ref="BE17">IF(COLUMN() - ($E17 + 5) &lt; 0, 0,
  IF(COLUMN() - ($E17 + 5) = 0, $F17,
    BD17 * (1 - IFERROR(INDEX('Inputs &amp; Assuptions'!$B$13:$B$72, COLUMN() - ($E17 + 5)), 0))
  )
)</f>
        <v>1560.2913540002385</v>
      </c>
      <c r="BF17" s="32">
        <f t="array" ref="BF17">IF(COLUMN() - ($E17 + 5) &lt; 0, 0,
  IF(COLUMN() - ($E17 + 5) = 0, $F17,
    BE17 * (1 - IFERROR(INDEX('Inputs &amp; Assuptions'!$B$13:$B$72, COLUMN() - ($E17 + 5)), 0))
  )
)</f>
        <v>1544.6884404602361</v>
      </c>
      <c r="BG17" s="32">
        <f t="array" ref="BG17">IF(COLUMN() - ($E17 + 5) &lt; 0, 0,
  IF(COLUMN() - ($E17 + 5) = 0, $F17,
    BF17 * (1 - IFERROR(INDEX('Inputs &amp; Assuptions'!$B$13:$B$72, COLUMN() - ($E17 + 5)), 0))
  )
)</f>
        <v>1529.2415560556337</v>
      </c>
      <c r="BH17" s="32">
        <f t="array" ref="BH17">IF(COLUMN() - ($E17 + 5) &lt; 0, 0,
  IF(COLUMN() - ($E17 + 5) = 0, $F17,
    BG17 * (1 - IFERROR(INDEX('Inputs &amp; Assuptions'!$B$13:$B$72, COLUMN() - ($E17 + 5)), 0))
  )
)</f>
        <v>1513.9491404950775</v>
      </c>
      <c r="BI17" s="32">
        <f t="array" ref="BI17">IF(COLUMN() - ($E17 + 5) &lt; 0, 0,
  IF(COLUMN() - ($E17 + 5) = 0, $F17,
    BH17 * (1 - IFERROR(INDEX('Inputs &amp; Assuptions'!$B$13:$B$72, COLUMN() - ($E17 + 5)), 0))
  )
)</f>
        <v>1498.8096490901266</v>
      </c>
      <c r="BJ17" s="32">
        <f t="array" ref="BJ17">IF(COLUMN() - ($E17 + 5) &lt; 0, 0,
  IF(COLUMN() - ($E17 + 5) = 0, $F17,
    BI17 * (1 - IFERROR(INDEX('Inputs &amp; Assuptions'!$B$13:$B$72, COLUMN() - ($E17 + 5)), 0))
  )
)</f>
        <v>1483.8215525992255</v>
      </c>
      <c r="BK17" s="32">
        <f t="array" ref="BK17">IF(COLUMN() - ($E17 + 5) &lt; 0, 0,
  IF(COLUMN() - ($E17 + 5) = 0, $F17,
    BJ17 * (1 - IFERROR(INDEX('Inputs &amp; Assuptions'!$B$13:$B$72, COLUMN() - ($E17 + 5)), 0))
  )
)</f>
        <v>1468.9833370732333</v>
      </c>
      <c r="BL17" s="32">
        <f t="array" ref="BL17">IF(COLUMN() - ($E17 + 5) &lt; 0, 0,
  IF(COLUMN() - ($E17 + 5) = 0, $F17,
    BK17 * (1 - IFERROR(INDEX('Inputs &amp; Assuptions'!$B$13:$B$72, COLUMN() - ($E17 + 5)), 0))
  )
)</f>
        <v>1454.2935037025009</v>
      </c>
      <c r="BM17" s="66">
        <f t="array" ref="BM17">IF(COLUMN() - ($E17 + 5) &lt; 0, 0,
  IF(COLUMN() - ($E17 + 5) = 0, $F17,
    BL17 * (1 - IFERROR(INDEX('Inputs &amp; Assuptions'!$B$13:$B$72, COLUMN() - ($E17 + 5)), 0))
  )
)</f>
        <v>1439.7505686654758</v>
      </c>
      <c r="BN17" s="33"/>
    </row>
    <row r="18" spans="1:66" x14ac:dyDescent="0.3">
      <c r="A18" s="71">
        <f t="shared" si="2"/>
        <v>13</v>
      </c>
      <c r="B18" s="75">
        <f t="shared" si="4"/>
        <v>6300</v>
      </c>
      <c r="C18" s="81">
        <f>$B18*(1-'Inputs &amp; Assuptions'!$B$12)</f>
        <v>3654.0000000000005</v>
      </c>
      <c r="E18" s="71">
        <f t="shared" si="3"/>
        <v>13</v>
      </c>
      <c r="F18" s="65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>
        <f>+$C18</f>
        <v>3654.0000000000005</v>
      </c>
      <c r="S18" s="32">
        <f t="array" ref="S18">IF(COLUMN() - ($E18 + 5) &lt; 0, 0,
  IF(COLUMN() - ($E18 + 5) = 0, $F18,
    R18 * (1 - IFERROR(INDEX('Inputs &amp; Assuptions'!$B$13:$B$72, COLUMN() - ($E18 + 5)), 0))
  )
)</f>
        <v>3270.3300000000004</v>
      </c>
      <c r="T18" s="32">
        <f t="array" ref="T18">IF(COLUMN() - ($E18 + 5) &lt; 0, 0,
  IF(COLUMN() - ($E18 + 5) = 0, $F18,
    S18 * (1 - IFERROR(INDEX('Inputs &amp; Assuptions'!$B$13:$B$72, COLUMN() - ($E18 + 5)), 0))
  )
)</f>
        <v>3008.7036000000003</v>
      </c>
      <c r="U18" s="32">
        <f t="array" ref="U18">IF(COLUMN() - ($E18 + 5) &lt; 0, 0,
  IF(COLUMN() - ($E18 + 5) = 0, $F18,
    T18 * (1 - IFERROR(INDEX('Inputs &amp; Assuptions'!$B$13:$B$72, COLUMN() - ($E18 + 5)), 0))
  )
)</f>
        <v>2843.2249019999999</v>
      </c>
      <c r="V18" s="32">
        <f t="array" ref="V18">IF(COLUMN() - ($E18 + 5) &lt; 0, 0,
  IF(COLUMN() - ($E18 + 5) = 0, $F18,
    U18 * (1 - IFERROR(INDEX('Inputs &amp; Assuptions'!$B$13:$B$72, COLUMN() - ($E18 + 5)), 0))
  )
)</f>
        <v>2701.0636568999998</v>
      </c>
      <c r="W18" s="32">
        <f t="array" ref="W18">IF(COLUMN() - ($E18 + 5) &lt; 0, 0,
  IF(COLUMN() - ($E18 + 5) = 0, $F18,
    V18 * (1 - IFERROR(INDEX('Inputs &amp; Assuptions'!$B$13:$B$72, COLUMN() - ($E18 + 5)), 0))
  )
)</f>
        <v>2579.5157923395</v>
      </c>
      <c r="X18" s="32">
        <f t="array" ref="X18">IF(COLUMN() - ($E18 + 5) &lt; 0, 0,
  IF(COLUMN() - ($E18 + 5) = 0, $F18,
    W18 * (1 - IFERROR(INDEX('Inputs &amp; Assuptions'!$B$13:$B$72, COLUMN() - ($E18 + 5)), 0))
  )
)</f>
        <v>2476.33516064592</v>
      </c>
      <c r="Y18" s="32">
        <f t="array" ref="Y18">IF(COLUMN() - ($E18 + 5) &lt; 0, 0,
  IF(COLUMN() - ($E18 + 5) = 0, $F18,
    X18 * (1 - IFERROR(INDEX('Inputs &amp; Assuptions'!$B$13:$B$72, COLUMN() - ($E18 + 5)), 0))
  )
)</f>
        <v>2389.6634300233127</v>
      </c>
      <c r="Z18" s="32">
        <f t="array" ref="Z18">IF(COLUMN() - ($E18 + 5) &lt; 0, 0,
  IF(COLUMN() - ($E18 + 5) = 0, $F18,
    Y18 * (1 - IFERROR(INDEX('Inputs &amp; Assuptions'!$B$13:$B$72, COLUMN() - ($E18 + 5)), 0))
  )
)</f>
        <v>2317.9735271226132</v>
      </c>
      <c r="AA18" s="32">
        <f t="array" ref="AA18">IF(COLUMN() - ($E18 + 5) &lt; 0, 0,
  IF(COLUMN() - ($E18 + 5) = 0, $F18,
    Z18 * (1 - IFERROR(INDEX('Inputs &amp; Assuptions'!$B$13:$B$72, COLUMN() - ($E18 + 5)), 0))
  )
)</f>
        <v>2260.0241889445479</v>
      </c>
      <c r="AB18" s="32">
        <f t="array" ref="AB18">IF(COLUMN() - ($E18 + 5) &lt; 0, 0,
  IF(COLUMN() - ($E18 + 5) = 0, $F18,
    AA18 * (1 - IFERROR(INDEX('Inputs &amp; Assuptions'!$B$13:$B$72, COLUMN() - ($E18 + 5)), 0))
  )
)</f>
        <v>2214.823705165657</v>
      </c>
      <c r="AC18" s="32">
        <f t="array" ref="AC18">IF(COLUMN() - ($E18 + 5) &lt; 0, 0,
  IF(COLUMN() - ($E18 + 5) = 0, $F18,
    AB18 * (1 - IFERROR(INDEX('Inputs &amp; Assuptions'!$B$13:$B$72, COLUMN() - ($E18 + 5)), 0))
  )
)</f>
        <v>2192.6754681140005</v>
      </c>
      <c r="AD18" s="32">
        <f t="array" ref="AD18">IF(COLUMN() - ($E18 + 5) &lt; 0, 0,
  IF(COLUMN() - ($E18 + 5) = 0, $F18,
    AC18 * (1 - IFERROR(INDEX('Inputs &amp; Assuptions'!$B$13:$B$72, COLUMN() - ($E18 + 5)), 0))
  )
)</f>
        <v>2170.7487134328603</v>
      </c>
      <c r="AE18" s="32">
        <f t="array" ref="AE18">IF(COLUMN() - ($E18 + 5) &lt; 0, 0,
  IF(COLUMN() - ($E18 + 5) = 0, $F18,
    AD18 * (1 - IFERROR(INDEX('Inputs &amp; Assuptions'!$B$13:$B$72, COLUMN() - ($E18 + 5)), 0))
  )
)</f>
        <v>2149.0412262985319</v>
      </c>
      <c r="AF18" s="32">
        <f t="array" ref="AF18">IF(COLUMN() - ($E18 + 5) &lt; 0, 0,
  IF(COLUMN() - ($E18 + 5) = 0, $F18,
    AE18 * (1 - IFERROR(INDEX('Inputs &amp; Assuptions'!$B$13:$B$72, COLUMN() - ($E18 + 5)), 0))
  )
)</f>
        <v>2127.5508140355464</v>
      </c>
      <c r="AG18" s="32">
        <f t="array" ref="AG18">IF(COLUMN() - ($E18 + 5) &lt; 0, 0,
  IF(COLUMN() - ($E18 + 5) = 0, $F18,
    AF18 * (1 - IFERROR(INDEX('Inputs &amp; Assuptions'!$B$13:$B$72, COLUMN() - ($E18 + 5)), 0))
  )
)</f>
        <v>2106.2753058951907</v>
      </c>
      <c r="AH18" s="32">
        <f t="array" ref="AH18">IF(COLUMN() - ($E18 + 5) &lt; 0, 0,
  IF(COLUMN() - ($E18 + 5) = 0, $F18,
    AG18 * (1 - IFERROR(INDEX('Inputs &amp; Assuptions'!$B$13:$B$72, COLUMN() - ($E18 + 5)), 0))
  )
)</f>
        <v>2085.212552836239</v>
      </c>
      <c r="AI18" s="32">
        <f t="array" ref="AI18">IF(COLUMN() - ($E18 + 5) &lt; 0, 0,
  IF(COLUMN() - ($E18 + 5) = 0, $F18,
    AH18 * (1 - IFERROR(INDEX('Inputs &amp; Assuptions'!$B$13:$B$72, COLUMN() - ($E18 + 5)), 0))
  )
)</f>
        <v>2064.3604273078768</v>
      </c>
      <c r="AJ18" s="32">
        <f t="array" ref="AJ18">IF(COLUMN() - ($E18 + 5) &lt; 0, 0,
  IF(COLUMN() - ($E18 + 5) = 0, $F18,
    AI18 * (1 - IFERROR(INDEX('Inputs &amp; Assuptions'!$B$13:$B$72, COLUMN() - ($E18 + 5)), 0))
  )
)</f>
        <v>2043.7168230347979</v>
      </c>
      <c r="AK18" s="32">
        <f t="array" ref="AK18">IF(COLUMN() - ($E18 + 5) &lt; 0, 0,
  IF(COLUMN() - ($E18 + 5) = 0, $F18,
    AJ18 * (1 - IFERROR(INDEX('Inputs &amp; Assuptions'!$B$13:$B$72, COLUMN() - ($E18 + 5)), 0))
  )
)</f>
        <v>2023.2796548044498</v>
      </c>
      <c r="AL18" s="32">
        <f t="array" ref="AL18">IF(COLUMN() - ($E18 + 5) &lt; 0, 0,
  IF(COLUMN() - ($E18 + 5) = 0, $F18,
    AK18 * (1 - IFERROR(INDEX('Inputs &amp; Assuptions'!$B$13:$B$72, COLUMN() - ($E18 + 5)), 0))
  )
)</f>
        <v>2003.0468582564054</v>
      </c>
      <c r="AM18" s="32">
        <f t="array" ref="AM18">IF(COLUMN() - ($E18 + 5) &lt; 0, 0,
  IF(COLUMN() - ($E18 + 5) = 0, $F18,
    AL18 * (1 - IFERROR(INDEX('Inputs &amp; Assuptions'!$B$13:$B$72, COLUMN() - ($E18 + 5)), 0))
  )
)</f>
        <v>1983.0163896738413</v>
      </c>
      <c r="AN18" s="32">
        <f t="array" ref="AN18">IF(COLUMN() - ($E18 + 5) &lt; 0, 0,
  IF(COLUMN() - ($E18 + 5) = 0, $F18,
    AM18 * (1 - IFERROR(INDEX('Inputs &amp; Assuptions'!$B$13:$B$72, COLUMN() - ($E18 + 5)), 0))
  )
)</f>
        <v>1963.1862257771029</v>
      </c>
      <c r="AO18" s="32">
        <f t="array" ref="AO18">IF(COLUMN() - ($E18 + 5) &lt; 0, 0,
  IF(COLUMN() - ($E18 + 5) = 0, $F18,
    AN18 * (1 - IFERROR(INDEX('Inputs &amp; Assuptions'!$B$13:$B$72, COLUMN() - ($E18 + 5)), 0))
  )
)</f>
        <v>1943.5543635193319</v>
      </c>
      <c r="AP18" s="32">
        <f t="array" ref="AP18">IF(COLUMN() - ($E18 + 5) &lt; 0, 0,
  IF(COLUMN() - ($E18 + 5) = 0, $F18,
    AO18 * (1 - IFERROR(INDEX('Inputs &amp; Assuptions'!$B$13:$B$72, COLUMN() - ($E18 + 5)), 0))
  )
)</f>
        <v>1924.1188198841385</v>
      </c>
      <c r="AQ18" s="32">
        <f t="array" ref="AQ18">IF(COLUMN() - ($E18 + 5) &lt; 0, 0,
  IF(COLUMN() - ($E18 + 5) = 0, $F18,
    AP18 * (1 - IFERROR(INDEX('Inputs &amp; Assuptions'!$B$13:$B$72, COLUMN() - ($E18 + 5)), 0))
  )
)</f>
        <v>1904.877631685297</v>
      </c>
      <c r="AR18" s="32">
        <f t="array" ref="AR18">IF(COLUMN() - ($E18 + 5) &lt; 0, 0,
  IF(COLUMN() - ($E18 + 5) = 0, $F18,
    AQ18 * (1 - IFERROR(INDEX('Inputs &amp; Assuptions'!$B$13:$B$72, COLUMN() - ($E18 + 5)), 0))
  )
)</f>
        <v>1885.828855368444</v>
      </c>
      <c r="AS18" s="32">
        <f t="array" ref="AS18">IF(COLUMN() - ($E18 + 5) &lt; 0, 0,
  IF(COLUMN() - ($E18 + 5) = 0, $F18,
    AR18 * (1 - IFERROR(INDEX('Inputs &amp; Assuptions'!$B$13:$B$72, COLUMN() - ($E18 + 5)), 0))
  )
)</f>
        <v>1866.9705668147596</v>
      </c>
      <c r="AT18" s="32">
        <f t="array" ref="AT18">IF(COLUMN() - ($E18 + 5) &lt; 0, 0,
  IF(COLUMN() - ($E18 + 5) = 0, $F18,
    AS18 * (1 - IFERROR(INDEX('Inputs &amp; Assuptions'!$B$13:$B$72, COLUMN() - ($E18 + 5)), 0))
  )
)</f>
        <v>1848.3008611466121</v>
      </c>
      <c r="AU18" s="32">
        <f t="array" ref="AU18">IF(COLUMN() - ($E18 + 5) &lt; 0, 0,
  IF(COLUMN() - ($E18 + 5) = 0, $F18,
    AT18 * (1 - IFERROR(INDEX('Inputs &amp; Assuptions'!$B$13:$B$72, COLUMN() - ($E18 + 5)), 0))
  )
)</f>
        <v>1829.8178525351459</v>
      </c>
      <c r="AV18" s="32">
        <f t="array" ref="AV18">IF(COLUMN() - ($E18 + 5) &lt; 0, 0,
  IF(COLUMN() - ($E18 + 5) = 0, $F18,
    AU18 * (1 - IFERROR(INDEX('Inputs &amp; Assuptions'!$B$13:$B$72, COLUMN() - ($E18 + 5)), 0))
  )
)</f>
        <v>1811.5196740097945</v>
      </c>
      <c r="AW18" s="32">
        <f t="array" ref="AW18">IF(COLUMN() - ($E18 + 5) &lt; 0, 0,
  IF(COLUMN() - ($E18 + 5) = 0, $F18,
    AV18 * (1 - IFERROR(INDEX('Inputs &amp; Assuptions'!$B$13:$B$72, COLUMN() - ($E18 + 5)), 0))
  )
)</f>
        <v>1793.4044772696966</v>
      </c>
      <c r="AX18" s="32">
        <f t="array" ref="AX18">IF(COLUMN() - ($E18 + 5) &lt; 0, 0,
  IF(COLUMN() - ($E18 + 5) = 0, $F18,
    AW18 * (1 - IFERROR(INDEX('Inputs &amp; Assuptions'!$B$13:$B$72, COLUMN() - ($E18 + 5)), 0))
  )
)</f>
        <v>1775.4704324969996</v>
      </c>
      <c r="AY18" s="32">
        <f t="array" ref="AY18">IF(COLUMN() - ($E18 + 5) &lt; 0, 0,
  IF(COLUMN() - ($E18 + 5) = 0, $F18,
    AX18 * (1 - IFERROR(INDEX('Inputs &amp; Assuptions'!$B$13:$B$72, COLUMN() - ($E18 + 5)), 0))
  )
)</f>
        <v>1757.7157281720297</v>
      </c>
      <c r="AZ18" s="32">
        <f t="array" ref="AZ18">IF(COLUMN() - ($E18 + 5) &lt; 0, 0,
  IF(COLUMN() - ($E18 + 5) = 0, $F18,
    AY18 * (1 - IFERROR(INDEX('Inputs &amp; Assuptions'!$B$13:$B$72, COLUMN() - ($E18 + 5)), 0))
  )
)</f>
        <v>1740.1385708903094</v>
      </c>
      <c r="BA18" s="32">
        <f t="array" ref="BA18">IF(COLUMN() - ($E18 + 5) &lt; 0, 0,
  IF(COLUMN() - ($E18 + 5) = 0, $F18,
    AZ18 * (1 - IFERROR(INDEX('Inputs &amp; Assuptions'!$B$13:$B$72, COLUMN() - ($E18 + 5)), 0))
  )
)</f>
        <v>1722.7371851814064</v>
      </c>
      <c r="BB18" s="32">
        <f t="array" ref="BB18">IF(COLUMN() - ($E18 + 5) &lt; 0, 0,
  IF(COLUMN() - ($E18 + 5) = 0, $F18,
    BA18 * (1 - IFERROR(INDEX('Inputs &amp; Assuptions'!$B$13:$B$72, COLUMN() - ($E18 + 5)), 0))
  )
)</f>
        <v>1705.5098133295924</v>
      </c>
      <c r="BC18" s="32">
        <f t="array" ref="BC18">IF(COLUMN() - ($E18 + 5) &lt; 0, 0,
  IF(COLUMN() - ($E18 + 5) = 0, $F18,
    BB18 * (1 - IFERROR(INDEX('Inputs &amp; Assuptions'!$B$13:$B$72, COLUMN() - ($E18 + 5)), 0))
  )
)</f>
        <v>1688.4547151962963</v>
      </c>
      <c r="BD18" s="32">
        <f t="array" ref="BD18">IF(COLUMN() - ($E18 + 5) &lt; 0, 0,
  IF(COLUMN() - ($E18 + 5) = 0, $F18,
    BC18 * (1 - IFERROR(INDEX('Inputs &amp; Assuptions'!$B$13:$B$72, COLUMN() - ($E18 + 5)), 0))
  )
)</f>
        <v>1671.5701680443333</v>
      </c>
      <c r="BE18" s="32">
        <f t="array" ref="BE18">IF(COLUMN() - ($E18 + 5) &lt; 0, 0,
  IF(COLUMN() - ($E18 + 5) = 0, $F18,
    BD18 * (1 - IFERROR(INDEX('Inputs &amp; Assuptions'!$B$13:$B$72, COLUMN() - ($E18 + 5)), 0))
  )
)</f>
        <v>1654.85446636389</v>
      </c>
      <c r="BF18" s="32">
        <f t="array" ref="BF18">IF(COLUMN() - ($E18 + 5) &lt; 0, 0,
  IF(COLUMN() - ($E18 + 5) = 0, $F18,
    BE18 * (1 - IFERROR(INDEX('Inputs &amp; Assuptions'!$B$13:$B$72, COLUMN() - ($E18 + 5)), 0))
  )
)</f>
        <v>1638.305921700251</v>
      </c>
      <c r="BG18" s="32">
        <f t="array" ref="BG18">IF(COLUMN() - ($E18 + 5) &lt; 0, 0,
  IF(COLUMN() - ($E18 + 5) = 0, $F18,
    BF18 * (1 - IFERROR(INDEX('Inputs &amp; Assuptions'!$B$13:$B$72, COLUMN() - ($E18 + 5)), 0))
  )
)</f>
        <v>1621.9228624832485</v>
      </c>
      <c r="BH18" s="32">
        <f t="array" ref="BH18">IF(COLUMN() - ($E18 + 5) &lt; 0, 0,
  IF(COLUMN() - ($E18 + 5) = 0, $F18,
    BG18 * (1 - IFERROR(INDEX('Inputs &amp; Assuptions'!$B$13:$B$72, COLUMN() - ($E18 + 5)), 0))
  )
)</f>
        <v>1605.703633858416</v>
      </c>
      <c r="BI18" s="32">
        <f t="array" ref="BI18">IF(COLUMN() - ($E18 + 5) &lt; 0, 0,
  IF(COLUMN() - ($E18 + 5) = 0, $F18,
    BH18 * (1 - IFERROR(INDEX('Inputs &amp; Assuptions'!$B$13:$B$72, COLUMN() - ($E18 + 5)), 0))
  )
)</f>
        <v>1589.6465975198319</v>
      </c>
      <c r="BJ18" s="32">
        <f t="array" ref="BJ18">IF(COLUMN() - ($E18 + 5) &lt; 0, 0,
  IF(COLUMN() - ($E18 + 5) = 0, $F18,
    BI18 * (1 - IFERROR(INDEX('Inputs &amp; Assuptions'!$B$13:$B$72, COLUMN() - ($E18 + 5)), 0))
  )
)</f>
        <v>1573.7501315446336</v>
      </c>
      <c r="BK18" s="32">
        <f t="array" ref="BK18">IF(COLUMN() - ($E18 + 5) &lt; 0, 0,
  IF(COLUMN() - ($E18 + 5) = 0, $F18,
    BJ18 * (1 - IFERROR(INDEX('Inputs &amp; Assuptions'!$B$13:$B$72, COLUMN() - ($E18 + 5)), 0))
  )
)</f>
        <v>1558.0126302291874</v>
      </c>
      <c r="BL18" s="32">
        <f t="array" ref="BL18">IF(COLUMN() - ($E18 + 5) &lt; 0, 0,
  IF(COLUMN() - ($E18 + 5) = 0, $F18,
    BK18 * (1 - IFERROR(INDEX('Inputs &amp; Assuptions'!$B$13:$B$72, COLUMN() - ($E18 + 5)), 0))
  )
)</f>
        <v>1542.4325039268954</v>
      </c>
      <c r="BM18" s="66">
        <f t="array" ref="BM18">IF(COLUMN() - ($E18 + 5) &lt; 0, 0,
  IF(COLUMN() - ($E18 + 5) = 0, $F18,
    BL18 * (1 - IFERROR(INDEX('Inputs &amp; Assuptions'!$B$13:$B$72, COLUMN() - ($E18 + 5)), 0))
  )
)</f>
        <v>1527.0081788876264</v>
      </c>
      <c r="BN18" s="33"/>
    </row>
    <row r="19" spans="1:66" x14ac:dyDescent="0.3">
      <c r="A19" s="71">
        <f t="shared" si="2"/>
        <v>14</v>
      </c>
      <c r="B19" s="75">
        <f t="shared" si="4"/>
        <v>6300</v>
      </c>
      <c r="C19" s="81">
        <f>$B19*(1-'Inputs &amp; Assuptions'!$B$12)</f>
        <v>3654.0000000000005</v>
      </c>
      <c r="E19" s="71">
        <f t="shared" si="3"/>
        <v>14</v>
      </c>
      <c r="F19" s="65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>
        <f>+$C19</f>
        <v>3654.0000000000005</v>
      </c>
      <c r="T19" s="32">
        <f t="array" ref="T19">IF(COLUMN() - ($E19 + 5) &lt; 0, 0,
  IF(COLUMN() - ($E19 + 5) = 0, $F19,
    S19 * (1 - IFERROR(INDEX('Inputs &amp; Assuptions'!$B$13:$B$72, COLUMN() - ($E19 + 5)), 0))
  )
)</f>
        <v>3270.3300000000004</v>
      </c>
      <c r="U19" s="32">
        <f t="array" ref="U19">IF(COLUMN() - ($E19 + 5) &lt; 0, 0,
  IF(COLUMN() - ($E19 + 5) = 0, $F19,
    T19 * (1 - IFERROR(INDEX('Inputs &amp; Assuptions'!$B$13:$B$72, COLUMN() - ($E19 + 5)), 0))
  )
)</f>
        <v>3008.7036000000003</v>
      </c>
      <c r="V19" s="32">
        <f t="array" ref="V19">IF(COLUMN() - ($E19 + 5) &lt; 0, 0,
  IF(COLUMN() - ($E19 + 5) = 0, $F19,
    U19 * (1 - IFERROR(INDEX('Inputs &amp; Assuptions'!$B$13:$B$72, COLUMN() - ($E19 + 5)), 0))
  )
)</f>
        <v>2843.2249019999999</v>
      </c>
      <c r="W19" s="32">
        <f t="array" ref="W19">IF(COLUMN() - ($E19 + 5) &lt; 0, 0,
  IF(COLUMN() - ($E19 + 5) = 0, $F19,
    V19 * (1 - IFERROR(INDEX('Inputs &amp; Assuptions'!$B$13:$B$72, COLUMN() - ($E19 + 5)), 0))
  )
)</f>
        <v>2701.0636568999998</v>
      </c>
      <c r="X19" s="32">
        <f t="array" ref="X19">IF(COLUMN() - ($E19 + 5) &lt; 0, 0,
  IF(COLUMN() - ($E19 + 5) = 0, $F19,
    W19 * (1 - IFERROR(INDEX('Inputs &amp; Assuptions'!$B$13:$B$72, COLUMN() - ($E19 + 5)), 0))
  )
)</f>
        <v>2579.5157923395</v>
      </c>
      <c r="Y19" s="32">
        <f t="array" ref="Y19">IF(COLUMN() - ($E19 + 5) &lt; 0, 0,
  IF(COLUMN() - ($E19 + 5) = 0, $F19,
    X19 * (1 - IFERROR(INDEX('Inputs &amp; Assuptions'!$B$13:$B$72, COLUMN() - ($E19 + 5)), 0))
  )
)</f>
        <v>2476.33516064592</v>
      </c>
      <c r="Z19" s="32">
        <f t="array" ref="Z19">IF(COLUMN() - ($E19 + 5) &lt; 0, 0,
  IF(COLUMN() - ($E19 + 5) = 0, $F19,
    Y19 * (1 - IFERROR(INDEX('Inputs &amp; Assuptions'!$B$13:$B$72, COLUMN() - ($E19 + 5)), 0))
  )
)</f>
        <v>2389.6634300233127</v>
      </c>
      <c r="AA19" s="32">
        <f t="array" ref="AA19">IF(COLUMN() - ($E19 + 5) &lt; 0, 0,
  IF(COLUMN() - ($E19 + 5) = 0, $F19,
    Z19 * (1 - IFERROR(INDEX('Inputs &amp; Assuptions'!$B$13:$B$72, COLUMN() - ($E19 + 5)), 0))
  )
)</f>
        <v>2317.9735271226132</v>
      </c>
      <c r="AB19" s="32">
        <f t="array" ref="AB19">IF(COLUMN() - ($E19 + 5) &lt; 0, 0,
  IF(COLUMN() - ($E19 + 5) = 0, $F19,
    AA19 * (1 - IFERROR(INDEX('Inputs &amp; Assuptions'!$B$13:$B$72, COLUMN() - ($E19 + 5)), 0))
  )
)</f>
        <v>2260.0241889445479</v>
      </c>
      <c r="AC19" s="32">
        <f t="array" ref="AC19">IF(COLUMN() - ($E19 + 5) &lt; 0, 0,
  IF(COLUMN() - ($E19 + 5) = 0, $F19,
    AB19 * (1 - IFERROR(INDEX('Inputs &amp; Assuptions'!$B$13:$B$72, COLUMN() - ($E19 + 5)), 0))
  )
)</f>
        <v>2214.823705165657</v>
      </c>
      <c r="AD19" s="32">
        <f t="array" ref="AD19">IF(COLUMN() - ($E19 + 5) &lt; 0, 0,
  IF(COLUMN() - ($E19 + 5) = 0, $F19,
    AC19 * (1 - IFERROR(INDEX('Inputs &amp; Assuptions'!$B$13:$B$72, COLUMN() - ($E19 + 5)), 0))
  )
)</f>
        <v>2192.6754681140005</v>
      </c>
      <c r="AE19" s="32">
        <f t="array" ref="AE19">IF(COLUMN() - ($E19 + 5) &lt; 0, 0,
  IF(COLUMN() - ($E19 + 5) = 0, $F19,
    AD19 * (1 - IFERROR(INDEX('Inputs &amp; Assuptions'!$B$13:$B$72, COLUMN() - ($E19 + 5)), 0))
  )
)</f>
        <v>2170.7487134328603</v>
      </c>
      <c r="AF19" s="32">
        <f t="array" ref="AF19">IF(COLUMN() - ($E19 + 5) &lt; 0, 0,
  IF(COLUMN() - ($E19 + 5) = 0, $F19,
    AE19 * (1 - IFERROR(INDEX('Inputs &amp; Assuptions'!$B$13:$B$72, COLUMN() - ($E19 + 5)), 0))
  )
)</f>
        <v>2149.0412262985319</v>
      </c>
      <c r="AG19" s="32">
        <f t="array" ref="AG19">IF(COLUMN() - ($E19 + 5) &lt; 0, 0,
  IF(COLUMN() - ($E19 + 5) = 0, $F19,
    AF19 * (1 - IFERROR(INDEX('Inputs &amp; Assuptions'!$B$13:$B$72, COLUMN() - ($E19 + 5)), 0))
  )
)</f>
        <v>2127.5508140355464</v>
      </c>
      <c r="AH19" s="32">
        <f t="array" ref="AH19">IF(COLUMN() - ($E19 + 5) &lt; 0, 0,
  IF(COLUMN() - ($E19 + 5) = 0, $F19,
    AG19 * (1 - IFERROR(INDEX('Inputs &amp; Assuptions'!$B$13:$B$72, COLUMN() - ($E19 + 5)), 0))
  )
)</f>
        <v>2106.2753058951907</v>
      </c>
      <c r="AI19" s="32">
        <f t="array" ref="AI19">IF(COLUMN() - ($E19 + 5) &lt; 0, 0,
  IF(COLUMN() - ($E19 + 5) = 0, $F19,
    AH19 * (1 - IFERROR(INDEX('Inputs &amp; Assuptions'!$B$13:$B$72, COLUMN() - ($E19 + 5)), 0))
  )
)</f>
        <v>2085.212552836239</v>
      </c>
      <c r="AJ19" s="32">
        <f t="array" ref="AJ19">IF(COLUMN() - ($E19 + 5) &lt; 0, 0,
  IF(COLUMN() - ($E19 + 5) = 0, $F19,
    AI19 * (1 - IFERROR(INDEX('Inputs &amp; Assuptions'!$B$13:$B$72, COLUMN() - ($E19 + 5)), 0))
  )
)</f>
        <v>2064.3604273078768</v>
      </c>
      <c r="AK19" s="32">
        <f t="array" ref="AK19">IF(COLUMN() - ($E19 + 5) &lt; 0, 0,
  IF(COLUMN() - ($E19 + 5) = 0, $F19,
    AJ19 * (1 - IFERROR(INDEX('Inputs &amp; Assuptions'!$B$13:$B$72, COLUMN() - ($E19 + 5)), 0))
  )
)</f>
        <v>2043.7168230347979</v>
      </c>
      <c r="AL19" s="32">
        <f t="array" ref="AL19">IF(COLUMN() - ($E19 + 5) &lt; 0, 0,
  IF(COLUMN() - ($E19 + 5) = 0, $F19,
    AK19 * (1 - IFERROR(INDEX('Inputs &amp; Assuptions'!$B$13:$B$72, COLUMN() - ($E19 + 5)), 0))
  )
)</f>
        <v>2023.2796548044498</v>
      </c>
      <c r="AM19" s="32">
        <f t="array" ref="AM19">IF(COLUMN() - ($E19 + 5) &lt; 0, 0,
  IF(COLUMN() - ($E19 + 5) = 0, $F19,
    AL19 * (1 - IFERROR(INDEX('Inputs &amp; Assuptions'!$B$13:$B$72, COLUMN() - ($E19 + 5)), 0))
  )
)</f>
        <v>2003.0468582564054</v>
      </c>
      <c r="AN19" s="32">
        <f t="array" ref="AN19">IF(COLUMN() - ($E19 + 5) &lt; 0, 0,
  IF(COLUMN() - ($E19 + 5) = 0, $F19,
    AM19 * (1 - IFERROR(INDEX('Inputs &amp; Assuptions'!$B$13:$B$72, COLUMN() - ($E19 + 5)), 0))
  )
)</f>
        <v>1983.0163896738413</v>
      </c>
      <c r="AO19" s="32">
        <f t="array" ref="AO19">IF(COLUMN() - ($E19 + 5) &lt; 0, 0,
  IF(COLUMN() - ($E19 + 5) = 0, $F19,
    AN19 * (1 - IFERROR(INDEX('Inputs &amp; Assuptions'!$B$13:$B$72, COLUMN() - ($E19 + 5)), 0))
  )
)</f>
        <v>1963.1862257771029</v>
      </c>
      <c r="AP19" s="32">
        <f t="array" ref="AP19">IF(COLUMN() - ($E19 + 5) &lt; 0, 0,
  IF(COLUMN() - ($E19 + 5) = 0, $F19,
    AO19 * (1 - IFERROR(INDEX('Inputs &amp; Assuptions'!$B$13:$B$72, COLUMN() - ($E19 + 5)), 0))
  )
)</f>
        <v>1943.5543635193319</v>
      </c>
      <c r="AQ19" s="32">
        <f t="array" ref="AQ19">IF(COLUMN() - ($E19 + 5) &lt; 0, 0,
  IF(COLUMN() - ($E19 + 5) = 0, $F19,
    AP19 * (1 - IFERROR(INDEX('Inputs &amp; Assuptions'!$B$13:$B$72, COLUMN() - ($E19 + 5)), 0))
  )
)</f>
        <v>1924.1188198841385</v>
      </c>
      <c r="AR19" s="32">
        <f t="array" ref="AR19">IF(COLUMN() - ($E19 + 5) &lt; 0, 0,
  IF(COLUMN() - ($E19 + 5) = 0, $F19,
    AQ19 * (1 - IFERROR(INDEX('Inputs &amp; Assuptions'!$B$13:$B$72, COLUMN() - ($E19 + 5)), 0))
  )
)</f>
        <v>1904.877631685297</v>
      </c>
      <c r="AS19" s="32">
        <f t="array" ref="AS19">IF(COLUMN() - ($E19 + 5) &lt; 0, 0,
  IF(COLUMN() - ($E19 + 5) = 0, $F19,
    AR19 * (1 - IFERROR(INDEX('Inputs &amp; Assuptions'!$B$13:$B$72, COLUMN() - ($E19 + 5)), 0))
  )
)</f>
        <v>1885.828855368444</v>
      </c>
      <c r="AT19" s="32">
        <f t="array" ref="AT19">IF(COLUMN() - ($E19 + 5) &lt; 0, 0,
  IF(COLUMN() - ($E19 + 5) = 0, $F19,
    AS19 * (1 - IFERROR(INDEX('Inputs &amp; Assuptions'!$B$13:$B$72, COLUMN() - ($E19 + 5)), 0))
  )
)</f>
        <v>1866.9705668147596</v>
      </c>
      <c r="AU19" s="32">
        <f t="array" ref="AU19">IF(COLUMN() - ($E19 + 5) &lt; 0, 0,
  IF(COLUMN() - ($E19 + 5) = 0, $F19,
    AT19 * (1 - IFERROR(INDEX('Inputs &amp; Assuptions'!$B$13:$B$72, COLUMN() - ($E19 + 5)), 0))
  )
)</f>
        <v>1848.3008611466121</v>
      </c>
      <c r="AV19" s="32">
        <f t="array" ref="AV19">IF(COLUMN() - ($E19 + 5) &lt; 0, 0,
  IF(COLUMN() - ($E19 + 5) = 0, $F19,
    AU19 * (1 - IFERROR(INDEX('Inputs &amp; Assuptions'!$B$13:$B$72, COLUMN() - ($E19 + 5)), 0))
  )
)</f>
        <v>1829.8178525351459</v>
      </c>
      <c r="AW19" s="32">
        <f t="array" ref="AW19">IF(COLUMN() - ($E19 + 5) &lt; 0, 0,
  IF(COLUMN() - ($E19 + 5) = 0, $F19,
    AV19 * (1 - IFERROR(INDEX('Inputs &amp; Assuptions'!$B$13:$B$72, COLUMN() - ($E19 + 5)), 0))
  )
)</f>
        <v>1811.5196740097945</v>
      </c>
      <c r="AX19" s="32">
        <f t="array" ref="AX19">IF(COLUMN() - ($E19 + 5) &lt; 0, 0,
  IF(COLUMN() - ($E19 + 5) = 0, $F19,
    AW19 * (1 - IFERROR(INDEX('Inputs &amp; Assuptions'!$B$13:$B$72, COLUMN() - ($E19 + 5)), 0))
  )
)</f>
        <v>1793.4044772696966</v>
      </c>
      <c r="AY19" s="32">
        <f t="array" ref="AY19">IF(COLUMN() - ($E19 + 5) &lt; 0, 0,
  IF(COLUMN() - ($E19 + 5) = 0, $F19,
    AX19 * (1 - IFERROR(INDEX('Inputs &amp; Assuptions'!$B$13:$B$72, COLUMN() - ($E19 + 5)), 0))
  )
)</f>
        <v>1775.4704324969996</v>
      </c>
      <c r="AZ19" s="32">
        <f t="array" ref="AZ19">IF(COLUMN() - ($E19 + 5) &lt; 0, 0,
  IF(COLUMN() - ($E19 + 5) = 0, $F19,
    AY19 * (1 - IFERROR(INDEX('Inputs &amp; Assuptions'!$B$13:$B$72, COLUMN() - ($E19 + 5)), 0))
  )
)</f>
        <v>1757.7157281720297</v>
      </c>
      <c r="BA19" s="32">
        <f t="array" ref="BA19">IF(COLUMN() - ($E19 + 5) &lt; 0, 0,
  IF(COLUMN() - ($E19 + 5) = 0, $F19,
    AZ19 * (1 - IFERROR(INDEX('Inputs &amp; Assuptions'!$B$13:$B$72, COLUMN() - ($E19 + 5)), 0))
  )
)</f>
        <v>1740.1385708903094</v>
      </c>
      <c r="BB19" s="32">
        <f t="array" ref="BB19">IF(COLUMN() - ($E19 + 5) &lt; 0, 0,
  IF(COLUMN() - ($E19 + 5) = 0, $F19,
    BA19 * (1 - IFERROR(INDEX('Inputs &amp; Assuptions'!$B$13:$B$72, COLUMN() - ($E19 + 5)), 0))
  )
)</f>
        <v>1722.7371851814064</v>
      </c>
      <c r="BC19" s="32">
        <f t="array" ref="BC19">IF(COLUMN() - ($E19 + 5) &lt; 0, 0,
  IF(COLUMN() - ($E19 + 5) = 0, $F19,
    BB19 * (1 - IFERROR(INDEX('Inputs &amp; Assuptions'!$B$13:$B$72, COLUMN() - ($E19 + 5)), 0))
  )
)</f>
        <v>1705.5098133295924</v>
      </c>
      <c r="BD19" s="32">
        <f t="array" ref="BD19">IF(COLUMN() - ($E19 + 5) &lt; 0, 0,
  IF(COLUMN() - ($E19 + 5) = 0, $F19,
    BC19 * (1 - IFERROR(INDEX('Inputs &amp; Assuptions'!$B$13:$B$72, COLUMN() - ($E19 + 5)), 0))
  )
)</f>
        <v>1688.4547151962963</v>
      </c>
      <c r="BE19" s="32">
        <f t="array" ref="BE19">IF(COLUMN() - ($E19 + 5) &lt; 0, 0,
  IF(COLUMN() - ($E19 + 5) = 0, $F19,
    BD19 * (1 - IFERROR(INDEX('Inputs &amp; Assuptions'!$B$13:$B$72, COLUMN() - ($E19 + 5)), 0))
  )
)</f>
        <v>1671.5701680443333</v>
      </c>
      <c r="BF19" s="32">
        <f t="array" ref="BF19">IF(COLUMN() - ($E19 + 5) &lt; 0, 0,
  IF(COLUMN() - ($E19 + 5) = 0, $F19,
    BE19 * (1 - IFERROR(INDEX('Inputs &amp; Assuptions'!$B$13:$B$72, COLUMN() - ($E19 + 5)), 0))
  )
)</f>
        <v>1654.85446636389</v>
      </c>
      <c r="BG19" s="32">
        <f t="array" ref="BG19">IF(COLUMN() - ($E19 + 5) &lt; 0, 0,
  IF(COLUMN() - ($E19 + 5) = 0, $F19,
    BF19 * (1 - IFERROR(INDEX('Inputs &amp; Assuptions'!$B$13:$B$72, COLUMN() - ($E19 + 5)), 0))
  )
)</f>
        <v>1638.305921700251</v>
      </c>
      <c r="BH19" s="32">
        <f t="array" ref="BH19">IF(COLUMN() - ($E19 + 5) &lt; 0, 0,
  IF(COLUMN() - ($E19 + 5) = 0, $F19,
    BG19 * (1 - IFERROR(INDEX('Inputs &amp; Assuptions'!$B$13:$B$72, COLUMN() - ($E19 + 5)), 0))
  )
)</f>
        <v>1621.9228624832485</v>
      </c>
      <c r="BI19" s="32">
        <f t="array" ref="BI19">IF(COLUMN() - ($E19 + 5) &lt; 0, 0,
  IF(COLUMN() - ($E19 + 5) = 0, $F19,
    BH19 * (1 - IFERROR(INDEX('Inputs &amp; Assuptions'!$B$13:$B$72, COLUMN() - ($E19 + 5)), 0))
  )
)</f>
        <v>1605.703633858416</v>
      </c>
      <c r="BJ19" s="32">
        <f t="array" ref="BJ19">IF(COLUMN() - ($E19 + 5) &lt; 0, 0,
  IF(COLUMN() - ($E19 + 5) = 0, $F19,
    BI19 * (1 - IFERROR(INDEX('Inputs &amp; Assuptions'!$B$13:$B$72, COLUMN() - ($E19 + 5)), 0))
  )
)</f>
        <v>1589.6465975198319</v>
      </c>
      <c r="BK19" s="32">
        <f t="array" ref="BK19">IF(COLUMN() - ($E19 + 5) &lt; 0, 0,
  IF(COLUMN() - ($E19 + 5) = 0, $F19,
    BJ19 * (1 - IFERROR(INDEX('Inputs &amp; Assuptions'!$B$13:$B$72, COLUMN() - ($E19 + 5)), 0))
  )
)</f>
        <v>1573.7501315446336</v>
      </c>
      <c r="BL19" s="32">
        <f t="array" ref="BL19">IF(COLUMN() - ($E19 + 5) &lt; 0, 0,
  IF(COLUMN() - ($E19 + 5) = 0, $F19,
    BK19 * (1 - IFERROR(INDEX('Inputs &amp; Assuptions'!$B$13:$B$72, COLUMN() - ($E19 + 5)), 0))
  )
)</f>
        <v>1558.0126302291874</v>
      </c>
      <c r="BM19" s="66">
        <f t="array" ref="BM19">IF(COLUMN() - ($E19 + 5) &lt; 0, 0,
  IF(COLUMN() - ($E19 + 5) = 0, $F19,
    BL19 * (1 - IFERROR(INDEX('Inputs &amp; Assuptions'!$B$13:$B$72, COLUMN() - ($E19 + 5)), 0))
  )
)</f>
        <v>1542.4325039268954</v>
      </c>
      <c r="BN19" s="33"/>
    </row>
    <row r="20" spans="1:66" x14ac:dyDescent="0.3">
      <c r="A20" s="71">
        <f t="shared" si="2"/>
        <v>15</v>
      </c>
      <c r="B20" s="75">
        <f t="shared" si="4"/>
        <v>6300</v>
      </c>
      <c r="C20" s="81">
        <f>$B20*(1-'Inputs &amp; Assuptions'!$B$12)</f>
        <v>3654.0000000000005</v>
      </c>
      <c r="E20" s="71">
        <f t="shared" si="3"/>
        <v>15</v>
      </c>
      <c r="F20" s="65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>
        <f>+$C20</f>
        <v>3654.0000000000005</v>
      </c>
      <c r="U20" s="32">
        <f t="array" ref="U20">IF(COLUMN() - ($E20 + 5) &lt; 0, 0,
  IF(COLUMN() - ($E20 + 5) = 0, $F20,
    T20 * (1 - IFERROR(INDEX('Inputs &amp; Assuptions'!$B$13:$B$72, COLUMN() - ($E20 + 5)), 0))
  )
)</f>
        <v>3270.3300000000004</v>
      </c>
      <c r="V20" s="32">
        <f t="array" ref="V20">IF(COLUMN() - ($E20 + 5) &lt; 0, 0,
  IF(COLUMN() - ($E20 + 5) = 0, $F20,
    U20 * (1 - IFERROR(INDEX('Inputs &amp; Assuptions'!$B$13:$B$72, COLUMN() - ($E20 + 5)), 0))
  )
)</f>
        <v>3008.7036000000003</v>
      </c>
      <c r="W20" s="32">
        <f t="array" ref="W20">IF(COLUMN() - ($E20 + 5) &lt; 0, 0,
  IF(COLUMN() - ($E20 + 5) = 0, $F20,
    V20 * (1 - IFERROR(INDEX('Inputs &amp; Assuptions'!$B$13:$B$72, COLUMN() - ($E20 + 5)), 0))
  )
)</f>
        <v>2843.2249019999999</v>
      </c>
      <c r="X20" s="32">
        <f t="array" ref="X20">IF(COLUMN() - ($E20 + 5) &lt; 0, 0,
  IF(COLUMN() - ($E20 + 5) = 0, $F20,
    W20 * (1 - IFERROR(INDEX('Inputs &amp; Assuptions'!$B$13:$B$72, COLUMN() - ($E20 + 5)), 0))
  )
)</f>
        <v>2701.0636568999998</v>
      </c>
      <c r="Y20" s="32">
        <f t="array" ref="Y20">IF(COLUMN() - ($E20 + 5) &lt; 0, 0,
  IF(COLUMN() - ($E20 + 5) = 0, $F20,
    X20 * (1 - IFERROR(INDEX('Inputs &amp; Assuptions'!$B$13:$B$72, COLUMN() - ($E20 + 5)), 0))
  )
)</f>
        <v>2579.5157923395</v>
      </c>
      <c r="Z20" s="32">
        <f t="array" ref="Z20">IF(COLUMN() - ($E20 + 5) &lt; 0, 0,
  IF(COLUMN() - ($E20 + 5) = 0, $F20,
    Y20 * (1 - IFERROR(INDEX('Inputs &amp; Assuptions'!$B$13:$B$72, COLUMN() - ($E20 + 5)), 0))
  )
)</f>
        <v>2476.33516064592</v>
      </c>
      <c r="AA20" s="32">
        <f t="array" ref="AA20">IF(COLUMN() - ($E20 + 5) &lt; 0, 0,
  IF(COLUMN() - ($E20 + 5) = 0, $F20,
    Z20 * (1 - IFERROR(INDEX('Inputs &amp; Assuptions'!$B$13:$B$72, COLUMN() - ($E20 + 5)), 0))
  )
)</f>
        <v>2389.6634300233127</v>
      </c>
      <c r="AB20" s="32">
        <f t="array" ref="AB20">IF(COLUMN() - ($E20 + 5) &lt; 0, 0,
  IF(COLUMN() - ($E20 + 5) = 0, $F20,
    AA20 * (1 - IFERROR(INDEX('Inputs &amp; Assuptions'!$B$13:$B$72, COLUMN() - ($E20 + 5)), 0))
  )
)</f>
        <v>2317.9735271226132</v>
      </c>
      <c r="AC20" s="32">
        <f t="array" ref="AC20">IF(COLUMN() - ($E20 + 5) &lt; 0, 0,
  IF(COLUMN() - ($E20 + 5) = 0, $F20,
    AB20 * (1 - IFERROR(INDEX('Inputs &amp; Assuptions'!$B$13:$B$72, COLUMN() - ($E20 + 5)), 0))
  )
)</f>
        <v>2260.0241889445479</v>
      </c>
      <c r="AD20" s="32">
        <f t="array" ref="AD20">IF(COLUMN() - ($E20 + 5) &lt; 0, 0,
  IF(COLUMN() - ($E20 + 5) = 0, $F20,
    AC20 * (1 - IFERROR(INDEX('Inputs &amp; Assuptions'!$B$13:$B$72, COLUMN() - ($E20 + 5)), 0))
  )
)</f>
        <v>2214.823705165657</v>
      </c>
      <c r="AE20" s="32">
        <f t="array" ref="AE20">IF(COLUMN() - ($E20 + 5) &lt; 0, 0,
  IF(COLUMN() - ($E20 + 5) = 0, $F20,
    AD20 * (1 - IFERROR(INDEX('Inputs &amp; Assuptions'!$B$13:$B$72, COLUMN() - ($E20 + 5)), 0))
  )
)</f>
        <v>2192.6754681140005</v>
      </c>
      <c r="AF20" s="32">
        <f t="array" ref="AF20">IF(COLUMN() - ($E20 + 5) &lt; 0, 0,
  IF(COLUMN() - ($E20 + 5) = 0, $F20,
    AE20 * (1 - IFERROR(INDEX('Inputs &amp; Assuptions'!$B$13:$B$72, COLUMN() - ($E20 + 5)), 0))
  )
)</f>
        <v>2170.7487134328603</v>
      </c>
      <c r="AG20" s="32">
        <f t="array" ref="AG20">IF(COLUMN() - ($E20 + 5) &lt; 0, 0,
  IF(COLUMN() - ($E20 + 5) = 0, $F20,
    AF20 * (1 - IFERROR(INDEX('Inputs &amp; Assuptions'!$B$13:$B$72, COLUMN() - ($E20 + 5)), 0))
  )
)</f>
        <v>2149.0412262985319</v>
      </c>
      <c r="AH20" s="32">
        <f t="array" ref="AH20">IF(COLUMN() - ($E20 + 5) &lt; 0, 0,
  IF(COLUMN() - ($E20 + 5) = 0, $F20,
    AG20 * (1 - IFERROR(INDEX('Inputs &amp; Assuptions'!$B$13:$B$72, COLUMN() - ($E20 + 5)), 0))
  )
)</f>
        <v>2127.5508140355464</v>
      </c>
      <c r="AI20" s="32">
        <f t="array" ref="AI20">IF(COLUMN() - ($E20 + 5) &lt; 0, 0,
  IF(COLUMN() - ($E20 + 5) = 0, $F20,
    AH20 * (1 - IFERROR(INDEX('Inputs &amp; Assuptions'!$B$13:$B$72, COLUMN() - ($E20 + 5)), 0))
  )
)</f>
        <v>2106.2753058951907</v>
      </c>
      <c r="AJ20" s="32">
        <f t="array" ref="AJ20">IF(COLUMN() - ($E20 + 5) &lt; 0, 0,
  IF(COLUMN() - ($E20 + 5) = 0, $F20,
    AI20 * (1 - IFERROR(INDEX('Inputs &amp; Assuptions'!$B$13:$B$72, COLUMN() - ($E20 + 5)), 0))
  )
)</f>
        <v>2085.212552836239</v>
      </c>
      <c r="AK20" s="32">
        <f t="array" ref="AK20">IF(COLUMN() - ($E20 + 5) &lt; 0, 0,
  IF(COLUMN() - ($E20 + 5) = 0, $F20,
    AJ20 * (1 - IFERROR(INDEX('Inputs &amp; Assuptions'!$B$13:$B$72, COLUMN() - ($E20 + 5)), 0))
  )
)</f>
        <v>2064.3604273078768</v>
      </c>
      <c r="AL20" s="32">
        <f t="array" ref="AL20">IF(COLUMN() - ($E20 + 5) &lt; 0, 0,
  IF(COLUMN() - ($E20 + 5) = 0, $F20,
    AK20 * (1 - IFERROR(INDEX('Inputs &amp; Assuptions'!$B$13:$B$72, COLUMN() - ($E20 + 5)), 0))
  )
)</f>
        <v>2043.7168230347979</v>
      </c>
      <c r="AM20" s="32">
        <f t="array" ref="AM20">IF(COLUMN() - ($E20 + 5) &lt; 0, 0,
  IF(COLUMN() - ($E20 + 5) = 0, $F20,
    AL20 * (1 - IFERROR(INDEX('Inputs &amp; Assuptions'!$B$13:$B$72, COLUMN() - ($E20 + 5)), 0))
  )
)</f>
        <v>2023.2796548044498</v>
      </c>
      <c r="AN20" s="32">
        <f t="array" ref="AN20">IF(COLUMN() - ($E20 + 5) &lt; 0, 0,
  IF(COLUMN() - ($E20 + 5) = 0, $F20,
    AM20 * (1 - IFERROR(INDEX('Inputs &amp; Assuptions'!$B$13:$B$72, COLUMN() - ($E20 + 5)), 0))
  )
)</f>
        <v>2003.0468582564054</v>
      </c>
      <c r="AO20" s="32">
        <f t="array" ref="AO20">IF(COLUMN() - ($E20 + 5) &lt; 0, 0,
  IF(COLUMN() - ($E20 + 5) = 0, $F20,
    AN20 * (1 - IFERROR(INDEX('Inputs &amp; Assuptions'!$B$13:$B$72, COLUMN() - ($E20 + 5)), 0))
  )
)</f>
        <v>1983.0163896738413</v>
      </c>
      <c r="AP20" s="32">
        <f t="array" ref="AP20">IF(COLUMN() - ($E20 + 5) &lt; 0, 0,
  IF(COLUMN() - ($E20 + 5) = 0, $F20,
    AO20 * (1 - IFERROR(INDEX('Inputs &amp; Assuptions'!$B$13:$B$72, COLUMN() - ($E20 + 5)), 0))
  )
)</f>
        <v>1963.1862257771029</v>
      </c>
      <c r="AQ20" s="32">
        <f t="array" ref="AQ20">IF(COLUMN() - ($E20 + 5) &lt; 0, 0,
  IF(COLUMN() - ($E20 + 5) = 0, $F20,
    AP20 * (1 - IFERROR(INDEX('Inputs &amp; Assuptions'!$B$13:$B$72, COLUMN() - ($E20 + 5)), 0))
  )
)</f>
        <v>1943.5543635193319</v>
      </c>
      <c r="AR20" s="32">
        <f t="array" ref="AR20">IF(COLUMN() - ($E20 + 5) &lt; 0, 0,
  IF(COLUMN() - ($E20 + 5) = 0, $F20,
    AQ20 * (1 - IFERROR(INDEX('Inputs &amp; Assuptions'!$B$13:$B$72, COLUMN() - ($E20 + 5)), 0))
  )
)</f>
        <v>1924.1188198841385</v>
      </c>
      <c r="AS20" s="32">
        <f t="array" ref="AS20">IF(COLUMN() - ($E20 + 5) &lt; 0, 0,
  IF(COLUMN() - ($E20 + 5) = 0, $F20,
    AR20 * (1 - IFERROR(INDEX('Inputs &amp; Assuptions'!$B$13:$B$72, COLUMN() - ($E20 + 5)), 0))
  )
)</f>
        <v>1904.877631685297</v>
      </c>
      <c r="AT20" s="32">
        <f t="array" ref="AT20">IF(COLUMN() - ($E20 + 5) &lt; 0, 0,
  IF(COLUMN() - ($E20 + 5) = 0, $F20,
    AS20 * (1 - IFERROR(INDEX('Inputs &amp; Assuptions'!$B$13:$B$72, COLUMN() - ($E20 + 5)), 0))
  )
)</f>
        <v>1885.828855368444</v>
      </c>
      <c r="AU20" s="32">
        <f t="array" ref="AU20">IF(COLUMN() - ($E20 + 5) &lt; 0, 0,
  IF(COLUMN() - ($E20 + 5) = 0, $F20,
    AT20 * (1 - IFERROR(INDEX('Inputs &amp; Assuptions'!$B$13:$B$72, COLUMN() - ($E20 + 5)), 0))
  )
)</f>
        <v>1866.9705668147596</v>
      </c>
      <c r="AV20" s="32">
        <f t="array" ref="AV20">IF(COLUMN() - ($E20 + 5) &lt; 0, 0,
  IF(COLUMN() - ($E20 + 5) = 0, $F20,
    AU20 * (1 - IFERROR(INDEX('Inputs &amp; Assuptions'!$B$13:$B$72, COLUMN() - ($E20 + 5)), 0))
  )
)</f>
        <v>1848.3008611466121</v>
      </c>
      <c r="AW20" s="32">
        <f t="array" ref="AW20">IF(COLUMN() - ($E20 + 5) &lt; 0, 0,
  IF(COLUMN() - ($E20 + 5) = 0, $F20,
    AV20 * (1 - IFERROR(INDEX('Inputs &amp; Assuptions'!$B$13:$B$72, COLUMN() - ($E20 + 5)), 0))
  )
)</f>
        <v>1829.8178525351459</v>
      </c>
      <c r="AX20" s="32">
        <f t="array" ref="AX20">IF(COLUMN() - ($E20 + 5) &lt; 0, 0,
  IF(COLUMN() - ($E20 + 5) = 0, $F20,
    AW20 * (1 - IFERROR(INDEX('Inputs &amp; Assuptions'!$B$13:$B$72, COLUMN() - ($E20 + 5)), 0))
  )
)</f>
        <v>1811.5196740097945</v>
      </c>
      <c r="AY20" s="32">
        <f t="array" ref="AY20">IF(COLUMN() - ($E20 + 5) &lt; 0, 0,
  IF(COLUMN() - ($E20 + 5) = 0, $F20,
    AX20 * (1 - IFERROR(INDEX('Inputs &amp; Assuptions'!$B$13:$B$72, COLUMN() - ($E20 + 5)), 0))
  )
)</f>
        <v>1793.4044772696966</v>
      </c>
      <c r="AZ20" s="32">
        <f t="array" ref="AZ20">IF(COLUMN() - ($E20 + 5) &lt; 0, 0,
  IF(COLUMN() - ($E20 + 5) = 0, $F20,
    AY20 * (1 - IFERROR(INDEX('Inputs &amp; Assuptions'!$B$13:$B$72, COLUMN() - ($E20 + 5)), 0))
  )
)</f>
        <v>1775.4704324969996</v>
      </c>
      <c r="BA20" s="32">
        <f t="array" ref="BA20">IF(COLUMN() - ($E20 + 5) &lt; 0, 0,
  IF(COLUMN() - ($E20 + 5) = 0, $F20,
    AZ20 * (1 - IFERROR(INDEX('Inputs &amp; Assuptions'!$B$13:$B$72, COLUMN() - ($E20 + 5)), 0))
  )
)</f>
        <v>1757.7157281720297</v>
      </c>
      <c r="BB20" s="32">
        <f t="array" ref="BB20">IF(COLUMN() - ($E20 + 5) &lt; 0, 0,
  IF(COLUMN() - ($E20 + 5) = 0, $F20,
    BA20 * (1 - IFERROR(INDEX('Inputs &amp; Assuptions'!$B$13:$B$72, COLUMN() - ($E20 + 5)), 0))
  )
)</f>
        <v>1740.1385708903094</v>
      </c>
      <c r="BC20" s="32">
        <f t="array" ref="BC20">IF(COLUMN() - ($E20 + 5) &lt; 0, 0,
  IF(COLUMN() - ($E20 + 5) = 0, $F20,
    BB20 * (1 - IFERROR(INDEX('Inputs &amp; Assuptions'!$B$13:$B$72, COLUMN() - ($E20 + 5)), 0))
  )
)</f>
        <v>1722.7371851814064</v>
      </c>
      <c r="BD20" s="32">
        <f t="array" ref="BD20">IF(COLUMN() - ($E20 + 5) &lt; 0, 0,
  IF(COLUMN() - ($E20 + 5) = 0, $F20,
    BC20 * (1 - IFERROR(INDEX('Inputs &amp; Assuptions'!$B$13:$B$72, COLUMN() - ($E20 + 5)), 0))
  )
)</f>
        <v>1705.5098133295924</v>
      </c>
      <c r="BE20" s="32">
        <f t="array" ref="BE20">IF(COLUMN() - ($E20 + 5) &lt; 0, 0,
  IF(COLUMN() - ($E20 + 5) = 0, $F20,
    BD20 * (1 - IFERROR(INDEX('Inputs &amp; Assuptions'!$B$13:$B$72, COLUMN() - ($E20 + 5)), 0))
  )
)</f>
        <v>1688.4547151962963</v>
      </c>
      <c r="BF20" s="32">
        <f t="array" ref="BF20">IF(COLUMN() - ($E20 + 5) &lt; 0, 0,
  IF(COLUMN() - ($E20 + 5) = 0, $F20,
    BE20 * (1 - IFERROR(INDEX('Inputs &amp; Assuptions'!$B$13:$B$72, COLUMN() - ($E20 + 5)), 0))
  )
)</f>
        <v>1671.5701680443333</v>
      </c>
      <c r="BG20" s="32">
        <f t="array" ref="BG20">IF(COLUMN() - ($E20 + 5) &lt; 0, 0,
  IF(COLUMN() - ($E20 + 5) = 0, $F20,
    BF20 * (1 - IFERROR(INDEX('Inputs &amp; Assuptions'!$B$13:$B$72, COLUMN() - ($E20 + 5)), 0))
  )
)</f>
        <v>1654.85446636389</v>
      </c>
      <c r="BH20" s="32">
        <f t="array" ref="BH20">IF(COLUMN() - ($E20 + 5) &lt; 0, 0,
  IF(COLUMN() - ($E20 + 5) = 0, $F20,
    BG20 * (1 - IFERROR(INDEX('Inputs &amp; Assuptions'!$B$13:$B$72, COLUMN() - ($E20 + 5)), 0))
  )
)</f>
        <v>1638.305921700251</v>
      </c>
      <c r="BI20" s="32">
        <f t="array" ref="BI20">IF(COLUMN() - ($E20 + 5) &lt; 0, 0,
  IF(COLUMN() - ($E20 + 5) = 0, $F20,
    BH20 * (1 - IFERROR(INDEX('Inputs &amp; Assuptions'!$B$13:$B$72, COLUMN() - ($E20 + 5)), 0))
  )
)</f>
        <v>1621.9228624832485</v>
      </c>
      <c r="BJ20" s="32">
        <f t="array" ref="BJ20">IF(COLUMN() - ($E20 + 5) &lt; 0, 0,
  IF(COLUMN() - ($E20 + 5) = 0, $F20,
    BI20 * (1 - IFERROR(INDEX('Inputs &amp; Assuptions'!$B$13:$B$72, COLUMN() - ($E20 + 5)), 0))
  )
)</f>
        <v>1605.703633858416</v>
      </c>
      <c r="BK20" s="32">
        <f t="array" ref="BK20">IF(COLUMN() - ($E20 + 5) &lt; 0, 0,
  IF(COLUMN() - ($E20 + 5) = 0, $F20,
    BJ20 * (1 - IFERROR(INDEX('Inputs &amp; Assuptions'!$B$13:$B$72, COLUMN() - ($E20 + 5)), 0))
  )
)</f>
        <v>1589.6465975198319</v>
      </c>
      <c r="BL20" s="32">
        <f t="array" ref="BL20">IF(COLUMN() - ($E20 + 5) &lt; 0, 0,
  IF(COLUMN() - ($E20 + 5) = 0, $F20,
    BK20 * (1 - IFERROR(INDEX('Inputs &amp; Assuptions'!$B$13:$B$72, COLUMN() - ($E20 + 5)), 0))
  )
)</f>
        <v>1573.7501315446336</v>
      </c>
      <c r="BM20" s="66">
        <f t="array" ref="BM20">IF(COLUMN() - ($E20 + 5) &lt; 0, 0,
  IF(COLUMN() - ($E20 + 5) = 0, $F20,
    BL20 * (1 - IFERROR(INDEX('Inputs &amp; Assuptions'!$B$13:$B$72, COLUMN() - ($E20 + 5)), 0))
  )
)</f>
        <v>1558.0126302291874</v>
      </c>
      <c r="BN20" s="33"/>
    </row>
    <row r="21" spans="1:66" x14ac:dyDescent="0.3">
      <c r="A21" s="71">
        <f t="shared" si="2"/>
        <v>16</v>
      </c>
      <c r="B21" s="75">
        <f t="shared" si="4"/>
        <v>6300</v>
      </c>
      <c r="C21" s="81">
        <f>$B21*(1-'Inputs &amp; Assuptions'!$B$12)</f>
        <v>3654.0000000000005</v>
      </c>
      <c r="E21" s="71">
        <f t="shared" si="3"/>
        <v>16</v>
      </c>
      <c r="F21" s="65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>
        <f>+$C21</f>
        <v>3654.0000000000005</v>
      </c>
      <c r="V21" s="32">
        <f t="array" ref="V21">IF(COLUMN() - ($E21 + 5) &lt; 0, 0,
  IF(COLUMN() - ($E21 + 5) = 0, $F21,
    U21 * (1 - IFERROR(INDEX('Inputs &amp; Assuptions'!$B$13:$B$72, COLUMN() - ($E21 + 5)), 0))
  )
)</f>
        <v>3270.3300000000004</v>
      </c>
      <c r="W21" s="32">
        <f t="array" ref="W21">IF(COLUMN() - ($E21 + 5) &lt; 0, 0,
  IF(COLUMN() - ($E21 + 5) = 0, $F21,
    V21 * (1 - IFERROR(INDEX('Inputs &amp; Assuptions'!$B$13:$B$72, COLUMN() - ($E21 + 5)), 0))
  )
)</f>
        <v>3008.7036000000003</v>
      </c>
      <c r="X21" s="32">
        <f t="array" ref="X21">IF(COLUMN() - ($E21 + 5) &lt; 0, 0,
  IF(COLUMN() - ($E21 + 5) = 0, $F21,
    W21 * (1 - IFERROR(INDEX('Inputs &amp; Assuptions'!$B$13:$B$72, COLUMN() - ($E21 + 5)), 0))
  )
)</f>
        <v>2843.2249019999999</v>
      </c>
      <c r="Y21" s="32">
        <f t="array" ref="Y21">IF(COLUMN() - ($E21 + 5) &lt; 0, 0,
  IF(COLUMN() - ($E21 + 5) = 0, $F21,
    X21 * (1 - IFERROR(INDEX('Inputs &amp; Assuptions'!$B$13:$B$72, COLUMN() - ($E21 + 5)), 0))
  )
)</f>
        <v>2701.0636568999998</v>
      </c>
      <c r="Z21" s="32">
        <f t="array" ref="Z21">IF(COLUMN() - ($E21 + 5) &lt; 0, 0,
  IF(COLUMN() - ($E21 + 5) = 0, $F21,
    Y21 * (1 - IFERROR(INDEX('Inputs &amp; Assuptions'!$B$13:$B$72, COLUMN() - ($E21 + 5)), 0))
  )
)</f>
        <v>2579.5157923395</v>
      </c>
      <c r="AA21" s="32">
        <f t="array" ref="AA21">IF(COLUMN() - ($E21 + 5) &lt; 0, 0,
  IF(COLUMN() - ($E21 + 5) = 0, $F21,
    Z21 * (1 - IFERROR(INDEX('Inputs &amp; Assuptions'!$B$13:$B$72, COLUMN() - ($E21 + 5)), 0))
  )
)</f>
        <v>2476.33516064592</v>
      </c>
      <c r="AB21" s="32">
        <f t="array" ref="AB21">IF(COLUMN() - ($E21 + 5) &lt; 0, 0,
  IF(COLUMN() - ($E21 + 5) = 0, $F21,
    AA21 * (1 - IFERROR(INDEX('Inputs &amp; Assuptions'!$B$13:$B$72, COLUMN() - ($E21 + 5)), 0))
  )
)</f>
        <v>2389.6634300233127</v>
      </c>
      <c r="AC21" s="32">
        <f t="array" ref="AC21">IF(COLUMN() - ($E21 + 5) &lt; 0, 0,
  IF(COLUMN() - ($E21 + 5) = 0, $F21,
    AB21 * (1 - IFERROR(INDEX('Inputs &amp; Assuptions'!$B$13:$B$72, COLUMN() - ($E21 + 5)), 0))
  )
)</f>
        <v>2317.9735271226132</v>
      </c>
      <c r="AD21" s="32">
        <f t="array" ref="AD21">IF(COLUMN() - ($E21 + 5) &lt; 0, 0,
  IF(COLUMN() - ($E21 + 5) = 0, $F21,
    AC21 * (1 - IFERROR(INDEX('Inputs &amp; Assuptions'!$B$13:$B$72, COLUMN() - ($E21 + 5)), 0))
  )
)</f>
        <v>2260.0241889445479</v>
      </c>
      <c r="AE21" s="32">
        <f t="array" ref="AE21">IF(COLUMN() - ($E21 + 5) &lt; 0, 0,
  IF(COLUMN() - ($E21 + 5) = 0, $F21,
    AD21 * (1 - IFERROR(INDEX('Inputs &amp; Assuptions'!$B$13:$B$72, COLUMN() - ($E21 + 5)), 0))
  )
)</f>
        <v>2214.823705165657</v>
      </c>
      <c r="AF21" s="32">
        <f t="array" ref="AF21">IF(COLUMN() - ($E21 + 5) &lt; 0, 0,
  IF(COLUMN() - ($E21 + 5) = 0, $F21,
    AE21 * (1 - IFERROR(INDEX('Inputs &amp; Assuptions'!$B$13:$B$72, COLUMN() - ($E21 + 5)), 0))
  )
)</f>
        <v>2192.6754681140005</v>
      </c>
      <c r="AG21" s="32">
        <f t="array" ref="AG21">IF(COLUMN() - ($E21 + 5) &lt; 0, 0,
  IF(COLUMN() - ($E21 + 5) = 0, $F21,
    AF21 * (1 - IFERROR(INDEX('Inputs &amp; Assuptions'!$B$13:$B$72, COLUMN() - ($E21 + 5)), 0))
  )
)</f>
        <v>2170.7487134328603</v>
      </c>
      <c r="AH21" s="32">
        <f t="array" ref="AH21">IF(COLUMN() - ($E21 + 5) &lt; 0, 0,
  IF(COLUMN() - ($E21 + 5) = 0, $F21,
    AG21 * (1 - IFERROR(INDEX('Inputs &amp; Assuptions'!$B$13:$B$72, COLUMN() - ($E21 + 5)), 0))
  )
)</f>
        <v>2149.0412262985319</v>
      </c>
      <c r="AI21" s="32">
        <f t="array" ref="AI21">IF(COLUMN() - ($E21 + 5) &lt; 0, 0,
  IF(COLUMN() - ($E21 + 5) = 0, $F21,
    AH21 * (1 - IFERROR(INDEX('Inputs &amp; Assuptions'!$B$13:$B$72, COLUMN() - ($E21 + 5)), 0))
  )
)</f>
        <v>2127.5508140355464</v>
      </c>
      <c r="AJ21" s="32">
        <f t="array" ref="AJ21">IF(COLUMN() - ($E21 + 5) &lt; 0, 0,
  IF(COLUMN() - ($E21 + 5) = 0, $F21,
    AI21 * (1 - IFERROR(INDEX('Inputs &amp; Assuptions'!$B$13:$B$72, COLUMN() - ($E21 + 5)), 0))
  )
)</f>
        <v>2106.2753058951907</v>
      </c>
      <c r="AK21" s="32">
        <f t="array" ref="AK21">IF(COLUMN() - ($E21 + 5) &lt; 0, 0,
  IF(COLUMN() - ($E21 + 5) = 0, $F21,
    AJ21 * (1 - IFERROR(INDEX('Inputs &amp; Assuptions'!$B$13:$B$72, COLUMN() - ($E21 + 5)), 0))
  )
)</f>
        <v>2085.212552836239</v>
      </c>
      <c r="AL21" s="32">
        <f t="array" ref="AL21">IF(COLUMN() - ($E21 + 5) &lt; 0, 0,
  IF(COLUMN() - ($E21 + 5) = 0, $F21,
    AK21 * (1 - IFERROR(INDEX('Inputs &amp; Assuptions'!$B$13:$B$72, COLUMN() - ($E21 + 5)), 0))
  )
)</f>
        <v>2064.3604273078768</v>
      </c>
      <c r="AM21" s="32">
        <f t="array" ref="AM21">IF(COLUMN() - ($E21 + 5) &lt; 0, 0,
  IF(COLUMN() - ($E21 + 5) = 0, $F21,
    AL21 * (1 - IFERROR(INDEX('Inputs &amp; Assuptions'!$B$13:$B$72, COLUMN() - ($E21 + 5)), 0))
  )
)</f>
        <v>2043.7168230347979</v>
      </c>
      <c r="AN21" s="32">
        <f t="array" ref="AN21">IF(COLUMN() - ($E21 + 5) &lt; 0, 0,
  IF(COLUMN() - ($E21 + 5) = 0, $F21,
    AM21 * (1 - IFERROR(INDEX('Inputs &amp; Assuptions'!$B$13:$B$72, COLUMN() - ($E21 + 5)), 0))
  )
)</f>
        <v>2023.2796548044498</v>
      </c>
      <c r="AO21" s="32">
        <f t="array" ref="AO21">IF(COLUMN() - ($E21 + 5) &lt; 0, 0,
  IF(COLUMN() - ($E21 + 5) = 0, $F21,
    AN21 * (1 - IFERROR(INDEX('Inputs &amp; Assuptions'!$B$13:$B$72, COLUMN() - ($E21 + 5)), 0))
  )
)</f>
        <v>2003.0468582564054</v>
      </c>
      <c r="AP21" s="32">
        <f t="array" ref="AP21">IF(COLUMN() - ($E21 + 5) &lt; 0, 0,
  IF(COLUMN() - ($E21 + 5) = 0, $F21,
    AO21 * (1 - IFERROR(INDEX('Inputs &amp; Assuptions'!$B$13:$B$72, COLUMN() - ($E21 + 5)), 0))
  )
)</f>
        <v>1983.0163896738413</v>
      </c>
      <c r="AQ21" s="32">
        <f t="array" ref="AQ21">IF(COLUMN() - ($E21 + 5) &lt; 0, 0,
  IF(COLUMN() - ($E21 + 5) = 0, $F21,
    AP21 * (1 - IFERROR(INDEX('Inputs &amp; Assuptions'!$B$13:$B$72, COLUMN() - ($E21 + 5)), 0))
  )
)</f>
        <v>1963.1862257771029</v>
      </c>
      <c r="AR21" s="32">
        <f t="array" ref="AR21">IF(COLUMN() - ($E21 + 5) &lt; 0, 0,
  IF(COLUMN() - ($E21 + 5) = 0, $F21,
    AQ21 * (1 - IFERROR(INDEX('Inputs &amp; Assuptions'!$B$13:$B$72, COLUMN() - ($E21 + 5)), 0))
  )
)</f>
        <v>1943.5543635193319</v>
      </c>
      <c r="AS21" s="32">
        <f t="array" ref="AS21">IF(COLUMN() - ($E21 + 5) &lt; 0, 0,
  IF(COLUMN() - ($E21 + 5) = 0, $F21,
    AR21 * (1 - IFERROR(INDEX('Inputs &amp; Assuptions'!$B$13:$B$72, COLUMN() - ($E21 + 5)), 0))
  )
)</f>
        <v>1924.1188198841385</v>
      </c>
      <c r="AT21" s="32">
        <f t="array" ref="AT21">IF(COLUMN() - ($E21 + 5) &lt; 0, 0,
  IF(COLUMN() - ($E21 + 5) = 0, $F21,
    AS21 * (1 - IFERROR(INDEX('Inputs &amp; Assuptions'!$B$13:$B$72, COLUMN() - ($E21 + 5)), 0))
  )
)</f>
        <v>1904.877631685297</v>
      </c>
      <c r="AU21" s="32">
        <f t="array" ref="AU21">IF(COLUMN() - ($E21 + 5) &lt; 0, 0,
  IF(COLUMN() - ($E21 + 5) = 0, $F21,
    AT21 * (1 - IFERROR(INDEX('Inputs &amp; Assuptions'!$B$13:$B$72, COLUMN() - ($E21 + 5)), 0))
  )
)</f>
        <v>1885.828855368444</v>
      </c>
      <c r="AV21" s="32">
        <f t="array" ref="AV21">IF(COLUMN() - ($E21 + 5) &lt; 0, 0,
  IF(COLUMN() - ($E21 + 5) = 0, $F21,
    AU21 * (1 - IFERROR(INDEX('Inputs &amp; Assuptions'!$B$13:$B$72, COLUMN() - ($E21 + 5)), 0))
  )
)</f>
        <v>1866.9705668147596</v>
      </c>
      <c r="AW21" s="32">
        <f t="array" ref="AW21">IF(COLUMN() - ($E21 + 5) &lt; 0, 0,
  IF(COLUMN() - ($E21 + 5) = 0, $F21,
    AV21 * (1 - IFERROR(INDEX('Inputs &amp; Assuptions'!$B$13:$B$72, COLUMN() - ($E21 + 5)), 0))
  )
)</f>
        <v>1848.3008611466121</v>
      </c>
      <c r="AX21" s="32">
        <f t="array" ref="AX21">IF(COLUMN() - ($E21 + 5) &lt; 0, 0,
  IF(COLUMN() - ($E21 + 5) = 0, $F21,
    AW21 * (1 - IFERROR(INDEX('Inputs &amp; Assuptions'!$B$13:$B$72, COLUMN() - ($E21 + 5)), 0))
  )
)</f>
        <v>1829.8178525351459</v>
      </c>
      <c r="AY21" s="32">
        <f t="array" ref="AY21">IF(COLUMN() - ($E21 + 5) &lt; 0, 0,
  IF(COLUMN() - ($E21 + 5) = 0, $F21,
    AX21 * (1 - IFERROR(INDEX('Inputs &amp; Assuptions'!$B$13:$B$72, COLUMN() - ($E21 + 5)), 0))
  )
)</f>
        <v>1811.5196740097945</v>
      </c>
      <c r="AZ21" s="32">
        <f t="array" ref="AZ21">IF(COLUMN() - ($E21 + 5) &lt; 0, 0,
  IF(COLUMN() - ($E21 + 5) = 0, $F21,
    AY21 * (1 - IFERROR(INDEX('Inputs &amp; Assuptions'!$B$13:$B$72, COLUMN() - ($E21 + 5)), 0))
  )
)</f>
        <v>1793.4044772696966</v>
      </c>
      <c r="BA21" s="32">
        <f t="array" ref="BA21">IF(COLUMN() - ($E21 + 5) &lt; 0, 0,
  IF(COLUMN() - ($E21 + 5) = 0, $F21,
    AZ21 * (1 - IFERROR(INDEX('Inputs &amp; Assuptions'!$B$13:$B$72, COLUMN() - ($E21 + 5)), 0))
  )
)</f>
        <v>1775.4704324969996</v>
      </c>
      <c r="BB21" s="32">
        <f t="array" ref="BB21">IF(COLUMN() - ($E21 + 5) &lt; 0, 0,
  IF(COLUMN() - ($E21 + 5) = 0, $F21,
    BA21 * (1 - IFERROR(INDEX('Inputs &amp; Assuptions'!$B$13:$B$72, COLUMN() - ($E21 + 5)), 0))
  )
)</f>
        <v>1757.7157281720297</v>
      </c>
      <c r="BC21" s="32">
        <f t="array" ref="BC21">IF(COLUMN() - ($E21 + 5) &lt; 0, 0,
  IF(COLUMN() - ($E21 + 5) = 0, $F21,
    BB21 * (1 - IFERROR(INDEX('Inputs &amp; Assuptions'!$B$13:$B$72, COLUMN() - ($E21 + 5)), 0))
  )
)</f>
        <v>1740.1385708903094</v>
      </c>
      <c r="BD21" s="32">
        <f t="array" ref="BD21">IF(COLUMN() - ($E21 + 5) &lt; 0, 0,
  IF(COLUMN() - ($E21 + 5) = 0, $F21,
    BC21 * (1 - IFERROR(INDEX('Inputs &amp; Assuptions'!$B$13:$B$72, COLUMN() - ($E21 + 5)), 0))
  )
)</f>
        <v>1722.7371851814064</v>
      </c>
      <c r="BE21" s="32">
        <f t="array" ref="BE21">IF(COLUMN() - ($E21 + 5) &lt; 0, 0,
  IF(COLUMN() - ($E21 + 5) = 0, $F21,
    BD21 * (1 - IFERROR(INDEX('Inputs &amp; Assuptions'!$B$13:$B$72, COLUMN() - ($E21 + 5)), 0))
  )
)</f>
        <v>1705.5098133295924</v>
      </c>
      <c r="BF21" s="32">
        <f t="array" ref="BF21">IF(COLUMN() - ($E21 + 5) &lt; 0, 0,
  IF(COLUMN() - ($E21 + 5) = 0, $F21,
    BE21 * (1 - IFERROR(INDEX('Inputs &amp; Assuptions'!$B$13:$B$72, COLUMN() - ($E21 + 5)), 0))
  )
)</f>
        <v>1688.4547151962963</v>
      </c>
      <c r="BG21" s="32">
        <f t="array" ref="BG21">IF(COLUMN() - ($E21 + 5) &lt; 0, 0,
  IF(COLUMN() - ($E21 + 5) = 0, $F21,
    BF21 * (1 - IFERROR(INDEX('Inputs &amp; Assuptions'!$B$13:$B$72, COLUMN() - ($E21 + 5)), 0))
  )
)</f>
        <v>1671.5701680443333</v>
      </c>
      <c r="BH21" s="32">
        <f t="array" ref="BH21">IF(COLUMN() - ($E21 + 5) &lt; 0, 0,
  IF(COLUMN() - ($E21 + 5) = 0, $F21,
    BG21 * (1 - IFERROR(INDEX('Inputs &amp; Assuptions'!$B$13:$B$72, COLUMN() - ($E21 + 5)), 0))
  )
)</f>
        <v>1654.85446636389</v>
      </c>
      <c r="BI21" s="32">
        <f t="array" ref="BI21">IF(COLUMN() - ($E21 + 5) &lt; 0, 0,
  IF(COLUMN() - ($E21 + 5) = 0, $F21,
    BH21 * (1 - IFERROR(INDEX('Inputs &amp; Assuptions'!$B$13:$B$72, COLUMN() - ($E21 + 5)), 0))
  )
)</f>
        <v>1638.305921700251</v>
      </c>
      <c r="BJ21" s="32">
        <f t="array" ref="BJ21">IF(COLUMN() - ($E21 + 5) &lt; 0, 0,
  IF(COLUMN() - ($E21 + 5) = 0, $F21,
    BI21 * (1 - IFERROR(INDEX('Inputs &amp; Assuptions'!$B$13:$B$72, COLUMN() - ($E21 + 5)), 0))
  )
)</f>
        <v>1621.9228624832485</v>
      </c>
      <c r="BK21" s="32">
        <f t="array" ref="BK21">IF(COLUMN() - ($E21 + 5) &lt; 0, 0,
  IF(COLUMN() - ($E21 + 5) = 0, $F21,
    BJ21 * (1 - IFERROR(INDEX('Inputs &amp; Assuptions'!$B$13:$B$72, COLUMN() - ($E21 + 5)), 0))
  )
)</f>
        <v>1605.703633858416</v>
      </c>
      <c r="BL21" s="32">
        <f t="array" ref="BL21">IF(COLUMN() - ($E21 + 5) &lt; 0, 0,
  IF(COLUMN() - ($E21 + 5) = 0, $F21,
    BK21 * (1 - IFERROR(INDEX('Inputs &amp; Assuptions'!$B$13:$B$72, COLUMN() - ($E21 + 5)), 0))
  )
)</f>
        <v>1589.6465975198319</v>
      </c>
      <c r="BM21" s="66">
        <f t="array" ref="BM21">IF(COLUMN() - ($E21 + 5) &lt; 0, 0,
  IF(COLUMN() - ($E21 + 5) = 0, $F21,
    BL21 * (1 - IFERROR(INDEX('Inputs &amp; Assuptions'!$B$13:$B$72, COLUMN() - ($E21 + 5)), 0))
  )
)</f>
        <v>1573.7501315446336</v>
      </c>
      <c r="BN21" s="33"/>
    </row>
    <row r="22" spans="1:66" x14ac:dyDescent="0.3">
      <c r="A22" s="71">
        <f t="shared" si="2"/>
        <v>17</v>
      </c>
      <c r="B22" s="75">
        <f t="shared" si="4"/>
        <v>6300</v>
      </c>
      <c r="C22" s="81">
        <f>$B22*(1-'Inputs &amp; Assuptions'!$B$12)</f>
        <v>3654.0000000000005</v>
      </c>
      <c r="E22" s="71">
        <f t="shared" si="3"/>
        <v>17</v>
      </c>
      <c r="F22" s="65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>
        <f>+$C22</f>
        <v>3654.0000000000005</v>
      </c>
      <c r="W22" s="32">
        <f t="array" ref="W22">IF(COLUMN() - ($E22 + 5) &lt; 0, 0,
  IF(COLUMN() - ($E22 + 5) = 0, $F22,
    V22 * (1 - IFERROR(INDEX('Inputs &amp; Assuptions'!$B$13:$B$72, COLUMN() - ($E22 + 5)), 0))
  )
)</f>
        <v>3270.3300000000004</v>
      </c>
      <c r="X22" s="32">
        <f t="array" ref="X22">IF(COLUMN() - ($E22 + 5) &lt; 0, 0,
  IF(COLUMN() - ($E22 + 5) = 0, $F22,
    W22 * (1 - IFERROR(INDEX('Inputs &amp; Assuptions'!$B$13:$B$72, COLUMN() - ($E22 + 5)), 0))
  )
)</f>
        <v>3008.7036000000003</v>
      </c>
      <c r="Y22" s="32">
        <f t="array" ref="Y22">IF(COLUMN() - ($E22 + 5) &lt; 0, 0,
  IF(COLUMN() - ($E22 + 5) = 0, $F22,
    X22 * (1 - IFERROR(INDEX('Inputs &amp; Assuptions'!$B$13:$B$72, COLUMN() - ($E22 + 5)), 0))
  )
)</f>
        <v>2843.2249019999999</v>
      </c>
      <c r="Z22" s="32">
        <f t="array" ref="Z22">IF(COLUMN() - ($E22 + 5) &lt; 0, 0,
  IF(COLUMN() - ($E22 + 5) = 0, $F22,
    Y22 * (1 - IFERROR(INDEX('Inputs &amp; Assuptions'!$B$13:$B$72, COLUMN() - ($E22 + 5)), 0))
  )
)</f>
        <v>2701.0636568999998</v>
      </c>
      <c r="AA22" s="32">
        <f t="array" ref="AA22">IF(COLUMN() - ($E22 + 5) &lt; 0, 0,
  IF(COLUMN() - ($E22 + 5) = 0, $F22,
    Z22 * (1 - IFERROR(INDEX('Inputs &amp; Assuptions'!$B$13:$B$72, COLUMN() - ($E22 + 5)), 0))
  )
)</f>
        <v>2579.5157923395</v>
      </c>
      <c r="AB22" s="32">
        <f t="array" ref="AB22">IF(COLUMN() - ($E22 + 5) &lt; 0, 0,
  IF(COLUMN() - ($E22 + 5) = 0, $F22,
    AA22 * (1 - IFERROR(INDEX('Inputs &amp; Assuptions'!$B$13:$B$72, COLUMN() - ($E22 + 5)), 0))
  )
)</f>
        <v>2476.33516064592</v>
      </c>
      <c r="AC22" s="32">
        <f t="array" ref="AC22">IF(COLUMN() - ($E22 + 5) &lt; 0, 0,
  IF(COLUMN() - ($E22 + 5) = 0, $F22,
    AB22 * (1 - IFERROR(INDEX('Inputs &amp; Assuptions'!$B$13:$B$72, COLUMN() - ($E22 + 5)), 0))
  )
)</f>
        <v>2389.6634300233127</v>
      </c>
      <c r="AD22" s="32">
        <f t="array" ref="AD22">IF(COLUMN() - ($E22 + 5) &lt; 0, 0,
  IF(COLUMN() - ($E22 + 5) = 0, $F22,
    AC22 * (1 - IFERROR(INDEX('Inputs &amp; Assuptions'!$B$13:$B$72, COLUMN() - ($E22 + 5)), 0))
  )
)</f>
        <v>2317.9735271226132</v>
      </c>
      <c r="AE22" s="32">
        <f t="array" ref="AE22">IF(COLUMN() - ($E22 + 5) &lt; 0, 0,
  IF(COLUMN() - ($E22 + 5) = 0, $F22,
    AD22 * (1 - IFERROR(INDEX('Inputs &amp; Assuptions'!$B$13:$B$72, COLUMN() - ($E22 + 5)), 0))
  )
)</f>
        <v>2260.0241889445479</v>
      </c>
      <c r="AF22" s="32">
        <f t="array" ref="AF22">IF(COLUMN() - ($E22 + 5) &lt; 0, 0,
  IF(COLUMN() - ($E22 + 5) = 0, $F22,
    AE22 * (1 - IFERROR(INDEX('Inputs &amp; Assuptions'!$B$13:$B$72, COLUMN() - ($E22 + 5)), 0))
  )
)</f>
        <v>2214.823705165657</v>
      </c>
      <c r="AG22" s="32">
        <f t="array" ref="AG22">IF(COLUMN() - ($E22 + 5) &lt; 0, 0,
  IF(COLUMN() - ($E22 + 5) = 0, $F22,
    AF22 * (1 - IFERROR(INDEX('Inputs &amp; Assuptions'!$B$13:$B$72, COLUMN() - ($E22 + 5)), 0))
  )
)</f>
        <v>2192.6754681140005</v>
      </c>
      <c r="AH22" s="32">
        <f t="array" ref="AH22">IF(COLUMN() - ($E22 + 5) &lt; 0, 0,
  IF(COLUMN() - ($E22 + 5) = 0, $F22,
    AG22 * (1 - IFERROR(INDEX('Inputs &amp; Assuptions'!$B$13:$B$72, COLUMN() - ($E22 + 5)), 0))
  )
)</f>
        <v>2170.7487134328603</v>
      </c>
      <c r="AI22" s="32">
        <f t="array" ref="AI22">IF(COLUMN() - ($E22 + 5) &lt; 0, 0,
  IF(COLUMN() - ($E22 + 5) = 0, $F22,
    AH22 * (1 - IFERROR(INDEX('Inputs &amp; Assuptions'!$B$13:$B$72, COLUMN() - ($E22 + 5)), 0))
  )
)</f>
        <v>2149.0412262985319</v>
      </c>
      <c r="AJ22" s="32">
        <f t="array" ref="AJ22">IF(COLUMN() - ($E22 + 5) &lt; 0, 0,
  IF(COLUMN() - ($E22 + 5) = 0, $F22,
    AI22 * (1 - IFERROR(INDEX('Inputs &amp; Assuptions'!$B$13:$B$72, COLUMN() - ($E22 + 5)), 0))
  )
)</f>
        <v>2127.5508140355464</v>
      </c>
      <c r="AK22" s="32">
        <f t="array" ref="AK22">IF(COLUMN() - ($E22 + 5) &lt; 0, 0,
  IF(COLUMN() - ($E22 + 5) = 0, $F22,
    AJ22 * (1 - IFERROR(INDEX('Inputs &amp; Assuptions'!$B$13:$B$72, COLUMN() - ($E22 + 5)), 0))
  )
)</f>
        <v>2106.2753058951907</v>
      </c>
      <c r="AL22" s="32">
        <f t="array" ref="AL22">IF(COLUMN() - ($E22 + 5) &lt; 0, 0,
  IF(COLUMN() - ($E22 + 5) = 0, $F22,
    AK22 * (1 - IFERROR(INDEX('Inputs &amp; Assuptions'!$B$13:$B$72, COLUMN() - ($E22 + 5)), 0))
  )
)</f>
        <v>2085.212552836239</v>
      </c>
      <c r="AM22" s="32">
        <f t="array" ref="AM22">IF(COLUMN() - ($E22 + 5) &lt; 0, 0,
  IF(COLUMN() - ($E22 + 5) = 0, $F22,
    AL22 * (1 - IFERROR(INDEX('Inputs &amp; Assuptions'!$B$13:$B$72, COLUMN() - ($E22 + 5)), 0))
  )
)</f>
        <v>2064.3604273078768</v>
      </c>
      <c r="AN22" s="32">
        <f t="array" ref="AN22">IF(COLUMN() - ($E22 + 5) &lt; 0, 0,
  IF(COLUMN() - ($E22 + 5) = 0, $F22,
    AM22 * (1 - IFERROR(INDEX('Inputs &amp; Assuptions'!$B$13:$B$72, COLUMN() - ($E22 + 5)), 0))
  )
)</f>
        <v>2043.7168230347979</v>
      </c>
      <c r="AO22" s="32">
        <f t="array" ref="AO22">IF(COLUMN() - ($E22 + 5) &lt; 0, 0,
  IF(COLUMN() - ($E22 + 5) = 0, $F22,
    AN22 * (1 - IFERROR(INDEX('Inputs &amp; Assuptions'!$B$13:$B$72, COLUMN() - ($E22 + 5)), 0))
  )
)</f>
        <v>2023.2796548044498</v>
      </c>
      <c r="AP22" s="32">
        <f t="array" ref="AP22">IF(COLUMN() - ($E22 + 5) &lt; 0, 0,
  IF(COLUMN() - ($E22 + 5) = 0, $F22,
    AO22 * (1 - IFERROR(INDEX('Inputs &amp; Assuptions'!$B$13:$B$72, COLUMN() - ($E22 + 5)), 0))
  )
)</f>
        <v>2003.0468582564054</v>
      </c>
      <c r="AQ22" s="32">
        <f t="array" ref="AQ22">IF(COLUMN() - ($E22 + 5) &lt; 0, 0,
  IF(COLUMN() - ($E22 + 5) = 0, $F22,
    AP22 * (1 - IFERROR(INDEX('Inputs &amp; Assuptions'!$B$13:$B$72, COLUMN() - ($E22 + 5)), 0))
  )
)</f>
        <v>1983.0163896738413</v>
      </c>
      <c r="AR22" s="32">
        <f t="array" ref="AR22">IF(COLUMN() - ($E22 + 5) &lt; 0, 0,
  IF(COLUMN() - ($E22 + 5) = 0, $F22,
    AQ22 * (1 - IFERROR(INDEX('Inputs &amp; Assuptions'!$B$13:$B$72, COLUMN() - ($E22 + 5)), 0))
  )
)</f>
        <v>1963.1862257771029</v>
      </c>
      <c r="AS22" s="32">
        <f t="array" ref="AS22">IF(COLUMN() - ($E22 + 5) &lt; 0, 0,
  IF(COLUMN() - ($E22 + 5) = 0, $F22,
    AR22 * (1 - IFERROR(INDEX('Inputs &amp; Assuptions'!$B$13:$B$72, COLUMN() - ($E22 + 5)), 0))
  )
)</f>
        <v>1943.5543635193319</v>
      </c>
      <c r="AT22" s="32">
        <f t="array" ref="AT22">IF(COLUMN() - ($E22 + 5) &lt; 0, 0,
  IF(COLUMN() - ($E22 + 5) = 0, $F22,
    AS22 * (1 - IFERROR(INDEX('Inputs &amp; Assuptions'!$B$13:$B$72, COLUMN() - ($E22 + 5)), 0))
  )
)</f>
        <v>1924.1188198841385</v>
      </c>
      <c r="AU22" s="32">
        <f t="array" ref="AU22">IF(COLUMN() - ($E22 + 5) &lt; 0, 0,
  IF(COLUMN() - ($E22 + 5) = 0, $F22,
    AT22 * (1 - IFERROR(INDEX('Inputs &amp; Assuptions'!$B$13:$B$72, COLUMN() - ($E22 + 5)), 0))
  )
)</f>
        <v>1904.877631685297</v>
      </c>
      <c r="AV22" s="32">
        <f t="array" ref="AV22">IF(COLUMN() - ($E22 + 5) &lt; 0, 0,
  IF(COLUMN() - ($E22 + 5) = 0, $F22,
    AU22 * (1 - IFERROR(INDEX('Inputs &amp; Assuptions'!$B$13:$B$72, COLUMN() - ($E22 + 5)), 0))
  )
)</f>
        <v>1885.828855368444</v>
      </c>
      <c r="AW22" s="32">
        <f t="array" ref="AW22">IF(COLUMN() - ($E22 + 5) &lt; 0, 0,
  IF(COLUMN() - ($E22 + 5) = 0, $F22,
    AV22 * (1 - IFERROR(INDEX('Inputs &amp; Assuptions'!$B$13:$B$72, COLUMN() - ($E22 + 5)), 0))
  )
)</f>
        <v>1866.9705668147596</v>
      </c>
      <c r="AX22" s="32">
        <f t="array" ref="AX22">IF(COLUMN() - ($E22 + 5) &lt; 0, 0,
  IF(COLUMN() - ($E22 + 5) = 0, $F22,
    AW22 * (1 - IFERROR(INDEX('Inputs &amp; Assuptions'!$B$13:$B$72, COLUMN() - ($E22 + 5)), 0))
  )
)</f>
        <v>1848.3008611466121</v>
      </c>
      <c r="AY22" s="32">
        <f t="array" ref="AY22">IF(COLUMN() - ($E22 + 5) &lt; 0, 0,
  IF(COLUMN() - ($E22 + 5) = 0, $F22,
    AX22 * (1 - IFERROR(INDEX('Inputs &amp; Assuptions'!$B$13:$B$72, COLUMN() - ($E22 + 5)), 0))
  )
)</f>
        <v>1829.8178525351459</v>
      </c>
      <c r="AZ22" s="32">
        <f t="array" ref="AZ22">IF(COLUMN() - ($E22 + 5) &lt; 0, 0,
  IF(COLUMN() - ($E22 + 5) = 0, $F22,
    AY22 * (1 - IFERROR(INDEX('Inputs &amp; Assuptions'!$B$13:$B$72, COLUMN() - ($E22 + 5)), 0))
  )
)</f>
        <v>1811.5196740097945</v>
      </c>
      <c r="BA22" s="32">
        <f t="array" ref="BA22">IF(COLUMN() - ($E22 + 5) &lt; 0, 0,
  IF(COLUMN() - ($E22 + 5) = 0, $F22,
    AZ22 * (1 - IFERROR(INDEX('Inputs &amp; Assuptions'!$B$13:$B$72, COLUMN() - ($E22 + 5)), 0))
  )
)</f>
        <v>1793.4044772696966</v>
      </c>
      <c r="BB22" s="32">
        <f t="array" ref="BB22">IF(COLUMN() - ($E22 + 5) &lt; 0, 0,
  IF(COLUMN() - ($E22 + 5) = 0, $F22,
    BA22 * (1 - IFERROR(INDEX('Inputs &amp; Assuptions'!$B$13:$B$72, COLUMN() - ($E22 + 5)), 0))
  )
)</f>
        <v>1775.4704324969996</v>
      </c>
      <c r="BC22" s="32">
        <f t="array" ref="BC22">IF(COLUMN() - ($E22 + 5) &lt; 0, 0,
  IF(COLUMN() - ($E22 + 5) = 0, $F22,
    BB22 * (1 - IFERROR(INDEX('Inputs &amp; Assuptions'!$B$13:$B$72, COLUMN() - ($E22 + 5)), 0))
  )
)</f>
        <v>1757.7157281720297</v>
      </c>
      <c r="BD22" s="32">
        <f t="array" ref="BD22">IF(COLUMN() - ($E22 + 5) &lt; 0, 0,
  IF(COLUMN() - ($E22 + 5) = 0, $F22,
    BC22 * (1 - IFERROR(INDEX('Inputs &amp; Assuptions'!$B$13:$B$72, COLUMN() - ($E22 + 5)), 0))
  )
)</f>
        <v>1740.1385708903094</v>
      </c>
      <c r="BE22" s="32">
        <f t="array" ref="BE22">IF(COLUMN() - ($E22 + 5) &lt; 0, 0,
  IF(COLUMN() - ($E22 + 5) = 0, $F22,
    BD22 * (1 - IFERROR(INDEX('Inputs &amp; Assuptions'!$B$13:$B$72, COLUMN() - ($E22 + 5)), 0))
  )
)</f>
        <v>1722.7371851814064</v>
      </c>
      <c r="BF22" s="32">
        <f t="array" ref="BF22">IF(COLUMN() - ($E22 + 5) &lt; 0, 0,
  IF(COLUMN() - ($E22 + 5) = 0, $F22,
    BE22 * (1 - IFERROR(INDEX('Inputs &amp; Assuptions'!$B$13:$B$72, COLUMN() - ($E22 + 5)), 0))
  )
)</f>
        <v>1705.5098133295924</v>
      </c>
      <c r="BG22" s="32">
        <f t="array" ref="BG22">IF(COLUMN() - ($E22 + 5) &lt; 0, 0,
  IF(COLUMN() - ($E22 + 5) = 0, $F22,
    BF22 * (1 - IFERROR(INDEX('Inputs &amp; Assuptions'!$B$13:$B$72, COLUMN() - ($E22 + 5)), 0))
  )
)</f>
        <v>1688.4547151962963</v>
      </c>
      <c r="BH22" s="32">
        <f t="array" ref="BH22">IF(COLUMN() - ($E22 + 5) &lt; 0, 0,
  IF(COLUMN() - ($E22 + 5) = 0, $F22,
    BG22 * (1 - IFERROR(INDEX('Inputs &amp; Assuptions'!$B$13:$B$72, COLUMN() - ($E22 + 5)), 0))
  )
)</f>
        <v>1671.5701680443333</v>
      </c>
      <c r="BI22" s="32">
        <f t="array" ref="BI22">IF(COLUMN() - ($E22 + 5) &lt; 0, 0,
  IF(COLUMN() - ($E22 + 5) = 0, $F22,
    BH22 * (1 - IFERROR(INDEX('Inputs &amp; Assuptions'!$B$13:$B$72, COLUMN() - ($E22 + 5)), 0))
  )
)</f>
        <v>1654.85446636389</v>
      </c>
      <c r="BJ22" s="32">
        <f t="array" ref="BJ22">IF(COLUMN() - ($E22 + 5) &lt; 0, 0,
  IF(COLUMN() - ($E22 + 5) = 0, $F22,
    BI22 * (1 - IFERROR(INDEX('Inputs &amp; Assuptions'!$B$13:$B$72, COLUMN() - ($E22 + 5)), 0))
  )
)</f>
        <v>1638.305921700251</v>
      </c>
      <c r="BK22" s="32">
        <f t="array" ref="BK22">IF(COLUMN() - ($E22 + 5) &lt; 0, 0,
  IF(COLUMN() - ($E22 + 5) = 0, $F22,
    BJ22 * (1 - IFERROR(INDEX('Inputs &amp; Assuptions'!$B$13:$B$72, COLUMN() - ($E22 + 5)), 0))
  )
)</f>
        <v>1621.9228624832485</v>
      </c>
      <c r="BL22" s="32">
        <f t="array" ref="BL22">IF(COLUMN() - ($E22 + 5) &lt; 0, 0,
  IF(COLUMN() - ($E22 + 5) = 0, $F22,
    BK22 * (1 - IFERROR(INDEX('Inputs &amp; Assuptions'!$B$13:$B$72, COLUMN() - ($E22 + 5)), 0))
  )
)</f>
        <v>1605.703633858416</v>
      </c>
      <c r="BM22" s="66">
        <f t="array" ref="BM22">IF(COLUMN() - ($E22 + 5) &lt; 0, 0,
  IF(COLUMN() - ($E22 + 5) = 0, $F22,
    BL22 * (1 - IFERROR(INDEX('Inputs &amp; Assuptions'!$B$13:$B$72, COLUMN() - ($E22 + 5)), 0))
  )
)</f>
        <v>1589.6465975198319</v>
      </c>
      <c r="BN22" s="33"/>
    </row>
    <row r="23" spans="1:66" x14ac:dyDescent="0.3">
      <c r="A23" s="71">
        <f t="shared" si="2"/>
        <v>18</v>
      </c>
      <c r="B23" s="75">
        <f t="shared" si="4"/>
        <v>6300</v>
      </c>
      <c r="C23" s="81">
        <f>$B23*(1-'Inputs &amp; Assuptions'!$B$12)</f>
        <v>3654.0000000000005</v>
      </c>
      <c r="E23" s="71">
        <f t="shared" si="3"/>
        <v>18</v>
      </c>
      <c r="F23" s="65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>
        <f>+$C23</f>
        <v>3654.0000000000005</v>
      </c>
      <c r="X23" s="32">
        <f t="array" ref="X23">IF(COLUMN() - ($E23 + 5) &lt; 0, 0,
  IF(COLUMN() - ($E23 + 5) = 0, $F23,
    W23 * (1 - IFERROR(INDEX('Inputs &amp; Assuptions'!$B$13:$B$72, COLUMN() - ($E23 + 5)), 0))
  )
)</f>
        <v>3270.3300000000004</v>
      </c>
      <c r="Y23" s="32">
        <f t="array" ref="Y23">IF(COLUMN() - ($E23 + 5) &lt; 0, 0,
  IF(COLUMN() - ($E23 + 5) = 0, $F23,
    X23 * (1 - IFERROR(INDEX('Inputs &amp; Assuptions'!$B$13:$B$72, COLUMN() - ($E23 + 5)), 0))
  )
)</f>
        <v>3008.7036000000003</v>
      </c>
      <c r="Z23" s="32">
        <f t="array" ref="Z23">IF(COLUMN() - ($E23 + 5) &lt; 0, 0,
  IF(COLUMN() - ($E23 + 5) = 0, $F23,
    Y23 * (1 - IFERROR(INDEX('Inputs &amp; Assuptions'!$B$13:$B$72, COLUMN() - ($E23 + 5)), 0))
  )
)</f>
        <v>2843.2249019999999</v>
      </c>
      <c r="AA23" s="32">
        <f t="array" ref="AA23">IF(COLUMN() - ($E23 + 5) &lt; 0, 0,
  IF(COLUMN() - ($E23 + 5) = 0, $F23,
    Z23 * (1 - IFERROR(INDEX('Inputs &amp; Assuptions'!$B$13:$B$72, COLUMN() - ($E23 + 5)), 0))
  )
)</f>
        <v>2701.0636568999998</v>
      </c>
      <c r="AB23" s="32">
        <f t="array" ref="AB23">IF(COLUMN() - ($E23 + 5) &lt; 0, 0,
  IF(COLUMN() - ($E23 + 5) = 0, $F23,
    AA23 * (1 - IFERROR(INDEX('Inputs &amp; Assuptions'!$B$13:$B$72, COLUMN() - ($E23 + 5)), 0))
  )
)</f>
        <v>2579.5157923395</v>
      </c>
      <c r="AC23" s="32">
        <f t="array" ref="AC23">IF(COLUMN() - ($E23 + 5) &lt; 0, 0,
  IF(COLUMN() - ($E23 + 5) = 0, $F23,
    AB23 * (1 - IFERROR(INDEX('Inputs &amp; Assuptions'!$B$13:$B$72, COLUMN() - ($E23 + 5)), 0))
  )
)</f>
        <v>2476.33516064592</v>
      </c>
      <c r="AD23" s="32">
        <f t="array" ref="AD23">IF(COLUMN() - ($E23 + 5) &lt; 0, 0,
  IF(COLUMN() - ($E23 + 5) = 0, $F23,
    AC23 * (1 - IFERROR(INDEX('Inputs &amp; Assuptions'!$B$13:$B$72, COLUMN() - ($E23 + 5)), 0))
  )
)</f>
        <v>2389.6634300233127</v>
      </c>
      <c r="AE23" s="32">
        <f t="array" ref="AE23">IF(COLUMN() - ($E23 + 5) &lt; 0, 0,
  IF(COLUMN() - ($E23 + 5) = 0, $F23,
    AD23 * (1 - IFERROR(INDEX('Inputs &amp; Assuptions'!$B$13:$B$72, COLUMN() - ($E23 + 5)), 0))
  )
)</f>
        <v>2317.9735271226132</v>
      </c>
      <c r="AF23" s="32">
        <f t="array" ref="AF23">IF(COLUMN() - ($E23 + 5) &lt; 0, 0,
  IF(COLUMN() - ($E23 + 5) = 0, $F23,
    AE23 * (1 - IFERROR(INDEX('Inputs &amp; Assuptions'!$B$13:$B$72, COLUMN() - ($E23 + 5)), 0))
  )
)</f>
        <v>2260.0241889445479</v>
      </c>
      <c r="AG23" s="32">
        <f t="array" ref="AG23">IF(COLUMN() - ($E23 + 5) &lt; 0, 0,
  IF(COLUMN() - ($E23 + 5) = 0, $F23,
    AF23 * (1 - IFERROR(INDEX('Inputs &amp; Assuptions'!$B$13:$B$72, COLUMN() - ($E23 + 5)), 0))
  )
)</f>
        <v>2214.823705165657</v>
      </c>
      <c r="AH23" s="32">
        <f t="array" ref="AH23">IF(COLUMN() - ($E23 + 5) &lt; 0, 0,
  IF(COLUMN() - ($E23 + 5) = 0, $F23,
    AG23 * (1 - IFERROR(INDEX('Inputs &amp; Assuptions'!$B$13:$B$72, COLUMN() - ($E23 + 5)), 0))
  )
)</f>
        <v>2192.6754681140005</v>
      </c>
      <c r="AI23" s="32">
        <f t="array" ref="AI23">IF(COLUMN() - ($E23 + 5) &lt; 0, 0,
  IF(COLUMN() - ($E23 + 5) = 0, $F23,
    AH23 * (1 - IFERROR(INDEX('Inputs &amp; Assuptions'!$B$13:$B$72, COLUMN() - ($E23 + 5)), 0))
  )
)</f>
        <v>2170.7487134328603</v>
      </c>
      <c r="AJ23" s="32">
        <f t="array" ref="AJ23">IF(COLUMN() - ($E23 + 5) &lt; 0, 0,
  IF(COLUMN() - ($E23 + 5) = 0, $F23,
    AI23 * (1 - IFERROR(INDEX('Inputs &amp; Assuptions'!$B$13:$B$72, COLUMN() - ($E23 + 5)), 0))
  )
)</f>
        <v>2149.0412262985319</v>
      </c>
      <c r="AK23" s="32">
        <f t="array" ref="AK23">IF(COLUMN() - ($E23 + 5) &lt; 0, 0,
  IF(COLUMN() - ($E23 + 5) = 0, $F23,
    AJ23 * (1 - IFERROR(INDEX('Inputs &amp; Assuptions'!$B$13:$B$72, COLUMN() - ($E23 + 5)), 0))
  )
)</f>
        <v>2127.5508140355464</v>
      </c>
      <c r="AL23" s="32">
        <f t="array" ref="AL23">IF(COLUMN() - ($E23 + 5) &lt; 0, 0,
  IF(COLUMN() - ($E23 + 5) = 0, $F23,
    AK23 * (1 - IFERROR(INDEX('Inputs &amp; Assuptions'!$B$13:$B$72, COLUMN() - ($E23 + 5)), 0))
  )
)</f>
        <v>2106.2753058951907</v>
      </c>
      <c r="AM23" s="32">
        <f t="array" ref="AM23">IF(COLUMN() - ($E23 + 5) &lt; 0, 0,
  IF(COLUMN() - ($E23 + 5) = 0, $F23,
    AL23 * (1 - IFERROR(INDEX('Inputs &amp; Assuptions'!$B$13:$B$72, COLUMN() - ($E23 + 5)), 0))
  )
)</f>
        <v>2085.212552836239</v>
      </c>
      <c r="AN23" s="32">
        <f t="array" ref="AN23">IF(COLUMN() - ($E23 + 5) &lt; 0, 0,
  IF(COLUMN() - ($E23 + 5) = 0, $F23,
    AM23 * (1 - IFERROR(INDEX('Inputs &amp; Assuptions'!$B$13:$B$72, COLUMN() - ($E23 + 5)), 0))
  )
)</f>
        <v>2064.3604273078768</v>
      </c>
      <c r="AO23" s="32">
        <f t="array" ref="AO23">IF(COLUMN() - ($E23 + 5) &lt; 0, 0,
  IF(COLUMN() - ($E23 + 5) = 0, $F23,
    AN23 * (1 - IFERROR(INDEX('Inputs &amp; Assuptions'!$B$13:$B$72, COLUMN() - ($E23 + 5)), 0))
  )
)</f>
        <v>2043.7168230347979</v>
      </c>
      <c r="AP23" s="32">
        <f t="array" ref="AP23">IF(COLUMN() - ($E23 + 5) &lt; 0, 0,
  IF(COLUMN() - ($E23 + 5) = 0, $F23,
    AO23 * (1 - IFERROR(INDEX('Inputs &amp; Assuptions'!$B$13:$B$72, COLUMN() - ($E23 + 5)), 0))
  )
)</f>
        <v>2023.2796548044498</v>
      </c>
      <c r="AQ23" s="32">
        <f t="array" ref="AQ23">IF(COLUMN() - ($E23 + 5) &lt; 0, 0,
  IF(COLUMN() - ($E23 + 5) = 0, $F23,
    AP23 * (1 - IFERROR(INDEX('Inputs &amp; Assuptions'!$B$13:$B$72, COLUMN() - ($E23 + 5)), 0))
  )
)</f>
        <v>2003.0468582564054</v>
      </c>
      <c r="AR23" s="32">
        <f t="array" ref="AR23">IF(COLUMN() - ($E23 + 5) &lt; 0, 0,
  IF(COLUMN() - ($E23 + 5) = 0, $F23,
    AQ23 * (1 - IFERROR(INDEX('Inputs &amp; Assuptions'!$B$13:$B$72, COLUMN() - ($E23 + 5)), 0))
  )
)</f>
        <v>1983.0163896738413</v>
      </c>
      <c r="AS23" s="32">
        <f t="array" ref="AS23">IF(COLUMN() - ($E23 + 5) &lt; 0, 0,
  IF(COLUMN() - ($E23 + 5) = 0, $F23,
    AR23 * (1 - IFERROR(INDEX('Inputs &amp; Assuptions'!$B$13:$B$72, COLUMN() - ($E23 + 5)), 0))
  )
)</f>
        <v>1963.1862257771029</v>
      </c>
      <c r="AT23" s="32">
        <f t="array" ref="AT23">IF(COLUMN() - ($E23 + 5) &lt; 0, 0,
  IF(COLUMN() - ($E23 + 5) = 0, $F23,
    AS23 * (1 - IFERROR(INDEX('Inputs &amp; Assuptions'!$B$13:$B$72, COLUMN() - ($E23 + 5)), 0))
  )
)</f>
        <v>1943.5543635193319</v>
      </c>
      <c r="AU23" s="32">
        <f t="array" ref="AU23">IF(COLUMN() - ($E23 + 5) &lt; 0, 0,
  IF(COLUMN() - ($E23 + 5) = 0, $F23,
    AT23 * (1 - IFERROR(INDEX('Inputs &amp; Assuptions'!$B$13:$B$72, COLUMN() - ($E23 + 5)), 0))
  )
)</f>
        <v>1924.1188198841385</v>
      </c>
      <c r="AV23" s="32">
        <f t="array" ref="AV23">IF(COLUMN() - ($E23 + 5) &lt; 0, 0,
  IF(COLUMN() - ($E23 + 5) = 0, $F23,
    AU23 * (1 - IFERROR(INDEX('Inputs &amp; Assuptions'!$B$13:$B$72, COLUMN() - ($E23 + 5)), 0))
  )
)</f>
        <v>1904.877631685297</v>
      </c>
      <c r="AW23" s="32">
        <f t="array" ref="AW23">IF(COLUMN() - ($E23 + 5) &lt; 0, 0,
  IF(COLUMN() - ($E23 + 5) = 0, $F23,
    AV23 * (1 - IFERROR(INDEX('Inputs &amp; Assuptions'!$B$13:$B$72, COLUMN() - ($E23 + 5)), 0))
  )
)</f>
        <v>1885.828855368444</v>
      </c>
      <c r="AX23" s="32">
        <f t="array" ref="AX23">IF(COLUMN() - ($E23 + 5) &lt; 0, 0,
  IF(COLUMN() - ($E23 + 5) = 0, $F23,
    AW23 * (1 - IFERROR(INDEX('Inputs &amp; Assuptions'!$B$13:$B$72, COLUMN() - ($E23 + 5)), 0))
  )
)</f>
        <v>1866.9705668147596</v>
      </c>
      <c r="AY23" s="32">
        <f t="array" ref="AY23">IF(COLUMN() - ($E23 + 5) &lt; 0, 0,
  IF(COLUMN() - ($E23 + 5) = 0, $F23,
    AX23 * (1 - IFERROR(INDEX('Inputs &amp; Assuptions'!$B$13:$B$72, COLUMN() - ($E23 + 5)), 0))
  )
)</f>
        <v>1848.3008611466121</v>
      </c>
      <c r="AZ23" s="32">
        <f t="array" ref="AZ23">IF(COLUMN() - ($E23 + 5) &lt; 0, 0,
  IF(COLUMN() - ($E23 + 5) = 0, $F23,
    AY23 * (1 - IFERROR(INDEX('Inputs &amp; Assuptions'!$B$13:$B$72, COLUMN() - ($E23 + 5)), 0))
  )
)</f>
        <v>1829.8178525351459</v>
      </c>
      <c r="BA23" s="32">
        <f t="array" ref="BA23">IF(COLUMN() - ($E23 + 5) &lt; 0, 0,
  IF(COLUMN() - ($E23 + 5) = 0, $F23,
    AZ23 * (1 - IFERROR(INDEX('Inputs &amp; Assuptions'!$B$13:$B$72, COLUMN() - ($E23 + 5)), 0))
  )
)</f>
        <v>1811.5196740097945</v>
      </c>
      <c r="BB23" s="32">
        <f t="array" ref="BB23">IF(COLUMN() - ($E23 + 5) &lt; 0, 0,
  IF(COLUMN() - ($E23 + 5) = 0, $F23,
    BA23 * (1 - IFERROR(INDEX('Inputs &amp; Assuptions'!$B$13:$B$72, COLUMN() - ($E23 + 5)), 0))
  )
)</f>
        <v>1793.4044772696966</v>
      </c>
      <c r="BC23" s="32">
        <f t="array" ref="BC23">IF(COLUMN() - ($E23 + 5) &lt; 0, 0,
  IF(COLUMN() - ($E23 + 5) = 0, $F23,
    BB23 * (1 - IFERROR(INDEX('Inputs &amp; Assuptions'!$B$13:$B$72, COLUMN() - ($E23 + 5)), 0))
  )
)</f>
        <v>1775.4704324969996</v>
      </c>
      <c r="BD23" s="32">
        <f t="array" ref="BD23">IF(COLUMN() - ($E23 + 5) &lt; 0, 0,
  IF(COLUMN() - ($E23 + 5) = 0, $F23,
    BC23 * (1 - IFERROR(INDEX('Inputs &amp; Assuptions'!$B$13:$B$72, COLUMN() - ($E23 + 5)), 0))
  )
)</f>
        <v>1757.7157281720297</v>
      </c>
      <c r="BE23" s="32">
        <f t="array" ref="BE23">IF(COLUMN() - ($E23 + 5) &lt; 0, 0,
  IF(COLUMN() - ($E23 + 5) = 0, $F23,
    BD23 * (1 - IFERROR(INDEX('Inputs &amp; Assuptions'!$B$13:$B$72, COLUMN() - ($E23 + 5)), 0))
  )
)</f>
        <v>1740.1385708903094</v>
      </c>
      <c r="BF23" s="32">
        <f t="array" ref="BF23">IF(COLUMN() - ($E23 + 5) &lt; 0, 0,
  IF(COLUMN() - ($E23 + 5) = 0, $F23,
    BE23 * (1 - IFERROR(INDEX('Inputs &amp; Assuptions'!$B$13:$B$72, COLUMN() - ($E23 + 5)), 0))
  )
)</f>
        <v>1722.7371851814064</v>
      </c>
      <c r="BG23" s="32">
        <f t="array" ref="BG23">IF(COLUMN() - ($E23 + 5) &lt; 0, 0,
  IF(COLUMN() - ($E23 + 5) = 0, $F23,
    BF23 * (1 - IFERROR(INDEX('Inputs &amp; Assuptions'!$B$13:$B$72, COLUMN() - ($E23 + 5)), 0))
  )
)</f>
        <v>1705.5098133295924</v>
      </c>
      <c r="BH23" s="32">
        <f t="array" ref="BH23">IF(COLUMN() - ($E23 + 5) &lt; 0, 0,
  IF(COLUMN() - ($E23 + 5) = 0, $F23,
    BG23 * (1 - IFERROR(INDEX('Inputs &amp; Assuptions'!$B$13:$B$72, COLUMN() - ($E23 + 5)), 0))
  )
)</f>
        <v>1688.4547151962963</v>
      </c>
      <c r="BI23" s="32">
        <f t="array" ref="BI23">IF(COLUMN() - ($E23 + 5) &lt; 0, 0,
  IF(COLUMN() - ($E23 + 5) = 0, $F23,
    BH23 * (1 - IFERROR(INDEX('Inputs &amp; Assuptions'!$B$13:$B$72, COLUMN() - ($E23 + 5)), 0))
  )
)</f>
        <v>1671.5701680443333</v>
      </c>
      <c r="BJ23" s="32">
        <f t="array" ref="BJ23">IF(COLUMN() - ($E23 + 5) &lt; 0, 0,
  IF(COLUMN() - ($E23 + 5) = 0, $F23,
    BI23 * (1 - IFERROR(INDEX('Inputs &amp; Assuptions'!$B$13:$B$72, COLUMN() - ($E23 + 5)), 0))
  )
)</f>
        <v>1654.85446636389</v>
      </c>
      <c r="BK23" s="32">
        <f t="array" ref="BK23">IF(COLUMN() - ($E23 + 5) &lt; 0, 0,
  IF(COLUMN() - ($E23 + 5) = 0, $F23,
    BJ23 * (1 - IFERROR(INDEX('Inputs &amp; Assuptions'!$B$13:$B$72, COLUMN() - ($E23 + 5)), 0))
  )
)</f>
        <v>1638.305921700251</v>
      </c>
      <c r="BL23" s="32">
        <f t="array" ref="BL23">IF(COLUMN() - ($E23 + 5) &lt; 0, 0,
  IF(COLUMN() - ($E23 + 5) = 0, $F23,
    BK23 * (1 - IFERROR(INDEX('Inputs &amp; Assuptions'!$B$13:$B$72, COLUMN() - ($E23 + 5)), 0))
  )
)</f>
        <v>1621.9228624832485</v>
      </c>
      <c r="BM23" s="66">
        <f t="array" ref="BM23">IF(COLUMN() - ($E23 + 5) &lt; 0, 0,
  IF(COLUMN() - ($E23 + 5) = 0, $F23,
    BL23 * (1 - IFERROR(INDEX('Inputs &amp; Assuptions'!$B$13:$B$72, COLUMN() - ($E23 + 5)), 0))
  )
)</f>
        <v>1605.703633858416</v>
      </c>
      <c r="BN23" s="33"/>
    </row>
    <row r="24" spans="1:66" x14ac:dyDescent="0.3">
      <c r="A24" s="71">
        <f t="shared" si="2"/>
        <v>19</v>
      </c>
      <c r="B24" s="75">
        <f t="shared" si="4"/>
        <v>6300</v>
      </c>
      <c r="C24" s="81">
        <f>$B24*(1-'Inputs &amp; Assuptions'!$B$12)</f>
        <v>3654.0000000000005</v>
      </c>
      <c r="E24" s="71">
        <f t="shared" si="3"/>
        <v>19</v>
      </c>
      <c r="F24" s="65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>
        <f>+$C24</f>
        <v>3654.0000000000005</v>
      </c>
      <c r="Y24" s="32">
        <f t="array" ref="Y24">IF(COLUMN() - ($E24 + 5) &lt; 0, 0,
  IF(COLUMN() - ($E24 + 5) = 0, $F24,
    X24 * (1 - IFERROR(INDEX('Inputs &amp; Assuptions'!$B$13:$B$72, COLUMN() - ($E24 + 5)), 0))
  )
)</f>
        <v>3270.3300000000004</v>
      </c>
      <c r="Z24" s="32">
        <f t="array" ref="Z24">IF(COLUMN() - ($E24 + 5) &lt; 0, 0,
  IF(COLUMN() - ($E24 + 5) = 0, $F24,
    Y24 * (1 - IFERROR(INDEX('Inputs &amp; Assuptions'!$B$13:$B$72, COLUMN() - ($E24 + 5)), 0))
  )
)</f>
        <v>3008.7036000000003</v>
      </c>
      <c r="AA24" s="32">
        <f t="array" ref="AA24">IF(COLUMN() - ($E24 + 5) &lt; 0, 0,
  IF(COLUMN() - ($E24 + 5) = 0, $F24,
    Z24 * (1 - IFERROR(INDEX('Inputs &amp; Assuptions'!$B$13:$B$72, COLUMN() - ($E24 + 5)), 0))
  )
)</f>
        <v>2843.2249019999999</v>
      </c>
      <c r="AB24" s="32">
        <f t="array" ref="AB24">IF(COLUMN() - ($E24 + 5) &lt; 0, 0,
  IF(COLUMN() - ($E24 + 5) = 0, $F24,
    AA24 * (1 - IFERROR(INDEX('Inputs &amp; Assuptions'!$B$13:$B$72, COLUMN() - ($E24 + 5)), 0))
  )
)</f>
        <v>2701.0636568999998</v>
      </c>
      <c r="AC24" s="32">
        <f t="array" ref="AC24">IF(COLUMN() - ($E24 + 5) &lt; 0, 0,
  IF(COLUMN() - ($E24 + 5) = 0, $F24,
    AB24 * (1 - IFERROR(INDEX('Inputs &amp; Assuptions'!$B$13:$B$72, COLUMN() - ($E24 + 5)), 0))
  )
)</f>
        <v>2579.5157923395</v>
      </c>
      <c r="AD24" s="32">
        <f t="array" ref="AD24">IF(COLUMN() - ($E24 + 5) &lt; 0, 0,
  IF(COLUMN() - ($E24 + 5) = 0, $F24,
    AC24 * (1 - IFERROR(INDEX('Inputs &amp; Assuptions'!$B$13:$B$72, COLUMN() - ($E24 + 5)), 0))
  )
)</f>
        <v>2476.33516064592</v>
      </c>
      <c r="AE24" s="32">
        <f t="array" ref="AE24">IF(COLUMN() - ($E24 + 5) &lt; 0, 0,
  IF(COLUMN() - ($E24 + 5) = 0, $F24,
    AD24 * (1 - IFERROR(INDEX('Inputs &amp; Assuptions'!$B$13:$B$72, COLUMN() - ($E24 + 5)), 0))
  )
)</f>
        <v>2389.6634300233127</v>
      </c>
      <c r="AF24" s="32">
        <f t="array" ref="AF24">IF(COLUMN() - ($E24 + 5) &lt; 0, 0,
  IF(COLUMN() - ($E24 + 5) = 0, $F24,
    AE24 * (1 - IFERROR(INDEX('Inputs &amp; Assuptions'!$B$13:$B$72, COLUMN() - ($E24 + 5)), 0))
  )
)</f>
        <v>2317.9735271226132</v>
      </c>
      <c r="AG24" s="32">
        <f t="array" ref="AG24">IF(COLUMN() - ($E24 + 5) &lt; 0, 0,
  IF(COLUMN() - ($E24 + 5) = 0, $F24,
    AF24 * (1 - IFERROR(INDEX('Inputs &amp; Assuptions'!$B$13:$B$72, COLUMN() - ($E24 + 5)), 0))
  )
)</f>
        <v>2260.0241889445479</v>
      </c>
      <c r="AH24" s="32">
        <f t="array" ref="AH24">IF(COLUMN() - ($E24 + 5) &lt; 0, 0,
  IF(COLUMN() - ($E24 + 5) = 0, $F24,
    AG24 * (1 - IFERROR(INDEX('Inputs &amp; Assuptions'!$B$13:$B$72, COLUMN() - ($E24 + 5)), 0))
  )
)</f>
        <v>2214.823705165657</v>
      </c>
      <c r="AI24" s="32">
        <f t="array" ref="AI24">IF(COLUMN() - ($E24 + 5) &lt; 0, 0,
  IF(COLUMN() - ($E24 + 5) = 0, $F24,
    AH24 * (1 - IFERROR(INDEX('Inputs &amp; Assuptions'!$B$13:$B$72, COLUMN() - ($E24 + 5)), 0))
  )
)</f>
        <v>2192.6754681140005</v>
      </c>
      <c r="AJ24" s="32">
        <f t="array" ref="AJ24">IF(COLUMN() - ($E24 + 5) &lt; 0, 0,
  IF(COLUMN() - ($E24 + 5) = 0, $F24,
    AI24 * (1 - IFERROR(INDEX('Inputs &amp; Assuptions'!$B$13:$B$72, COLUMN() - ($E24 + 5)), 0))
  )
)</f>
        <v>2170.7487134328603</v>
      </c>
      <c r="AK24" s="32">
        <f t="array" ref="AK24">IF(COLUMN() - ($E24 + 5) &lt; 0, 0,
  IF(COLUMN() - ($E24 + 5) = 0, $F24,
    AJ24 * (1 - IFERROR(INDEX('Inputs &amp; Assuptions'!$B$13:$B$72, COLUMN() - ($E24 + 5)), 0))
  )
)</f>
        <v>2149.0412262985319</v>
      </c>
      <c r="AL24" s="32">
        <f t="array" ref="AL24">IF(COLUMN() - ($E24 + 5) &lt; 0, 0,
  IF(COLUMN() - ($E24 + 5) = 0, $F24,
    AK24 * (1 - IFERROR(INDEX('Inputs &amp; Assuptions'!$B$13:$B$72, COLUMN() - ($E24 + 5)), 0))
  )
)</f>
        <v>2127.5508140355464</v>
      </c>
      <c r="AM24" s="32">
        <f t="array" ref="AM24">IF(COLUMN() - ($E24 + 5) &lt; 0, 0,
  IF(COLUMN() - ($E24 + 5) = 0, $F24,
    AL24 * (1 - IFERROR(INDEX('Inputs &amp; Assuptions'!$B$13:$B$72, COLUMN() - ($E24 + 5)), 0))
  )
)</f>
        <v>2106.2753058951907</v>
      </c>
      <c r="AN24" s="32">
        <f t="array" ref="AN24">IF(COLUMN() - ($E24 + 5) &lt; 0, 0,
  IF(COLUMN() - ($E24 + 5) = 0, $F24,
    AM24 * (1 - IFERROR(INDEX('Inputs &amp; Assuptions'!$B$13:$B$72, COLUMN() - ($E24 + 5)), 0))
  )
)</f>
        <v>2085.212552836239</v>
      </c>
      <c r="AO24" s="32">
        <f t="array" ref="AO24">IF(COLUMN() - ($E24 + 5) &lt; 0, 0,
  IF(COLUMN() - ($E24 + 5) = 0, $F24,
    AN24 * (1 - IFERROR(INDEX('Inputs &amp; Assuptions'!$B$13:$B$72, COLUMN() - ($E24 + 5)), 0))
  )
)</f>
        <v>2064.3604273078768</v>
      </c>
      <c r="AP24" s="32">
        <f t="array" ref="AP24">IF(COLUMN() - ($E24 + 5) &lt; 0, 0,
  IF(COLUMN() - ($E24 + 5) = 0, $F24,
    AO24 * (1 - IFERROR(INDEX('Inputs &amp; Assuptions'!$B$13:$B$72, COLUMN() - ($E24 + 5)), 0))
  )
)</f>
        <v>2043.7168230347979</v>
      </c>
      <c r="AQ24" s="32">
        <f t="array" ref="AQ24">IF(COLUMN() - ($E24 + 5) &lt; 0, 0,
  IF(COLUMN() - ($E24 + 5) = 0, $F24,
    AP24 * (1 - IFERROR(INDEX('Inputs &amp; Assuptions'!$B$13:$B$72, COLUMN() - ($E24 + 5)), 0))
  )
)</f>
        <v>2023.2796548044498</v>
      </c>
      <c r="AR24" s="32">
        <f t="array" ref="AR24">IF(COLUMN() - ($E24 + 5) &lt; 0, 0,
  IF(COLUMN() - ($E24 + 5) = 0, $F24,
    AQ24 * (1 - IFERROR(INDEX('Inputs &amp; Assuptions'!$B$13:$B$72, COLUMN() - ($E24 + 5)), 0))
  )
)</f>
        <v>2003.0468582564054</v>
      </c>
      <c r="AS24" s="32">
        <f t="array" ref="AS24">IF(COLUMN() - ($E24 + 5) &lt; 0, 0,
  IF(COLUMN() - ($E24 + 5) = 0, $F24,
    AR24 * (1 - IFERROR(INDEX('Inputs &amp; Assuptions'!$B$13:$B$72, COLUMN() - ($E24 + 5)), 0))
  )
)</f>
        <v>1983.0163896738413</v>
      </c>
      <c r="AT24" s="32">
        <f t="array" ref="AT24">IF(COLUMN() - ($E24 + 5) &lt; 0, 0,
  IF(COLUMN() - ($E24 + 5) = 0, $F24,
    AS24 * (1 - IFERROR(INDEX('Inputs &amp; Assuptions'!$B$13:$B$72, COLUMN() - ($E24 + 5)), 0))
  )
)</f>
        <v>1963.1862257771029</v>
      </c>
      <c r="AU24" s="32">
        <f t="array" ref="AU24">IF(COLUMN() - ($E24 + 5) &lt; 0, 0,
  IF(COLUMN() - ($E24 + 5) = 0, $F24,
    AT24 * (1 - IFERROR(INDEX('Inputs &amp; Assuptions'!$B$13:$B$72, COLUMN() - ($E24 + 5)), 0))
  )
)</f>
        <v>1943.5543635193319</v>
      </c>
      <c r="AV24" s="32">
        <f t="array" ref="AV24">IF(COLUMN() - ($E24 + 5) &lt; 0, 0,
  IF(COLUMN() - ($E24 + 5) = 0, $F24,
    AU24 * (1 - IFERROR(INDEX('Inputs &amp; Assuptions'!$B$13:$B$72, COLUMN() - ($E24 + 5)), 0))
  )
)</f>
        <v>1924.1188198841385</v>
      </c>
      <c r="AW24" s="32">
        <f t="array" ref="AW24">IF(COLUMN() - ($E24 + 5) &lt; 0, 0,
  IF(COLUMN() - ($E24 + 5) = 0, $F24,
    AV24 * (1 - IFERROR(INDEX('Inputs &amp; Assuptions'!$B$13:$B$72, COLUMN() - ($E24 + 5)), 0))
  )
)</f>
        <v>1904.877631685297</v>
      </c>
      <c r="AX24" s="32">
        <f t="array" ref="AX24">IF(COLUMN() - ($E24 + 5) &lt; 0, 0,
  IF(COLUMN() - ($E24 + 5) = 0, $F24,
    AW24 * (1 - IFERROR(INDEX('Inputs &amp; Assuptions'!$B$13:$B$72, COLUMN() - ($E24 + 5)), 0))
  )
)</f>
        <v>1885.828855368444</v>
      </c>
      <c r="AY24" s="32">
        <f t="array" ref="AY24">IF(COLUMN() - ($E24 + 5) &lt; 0, 0,
  IF(COLUMN() - ($E24 + 5) = 0, $F24,
    AX24 * (1 - IFERROR(INDEX('Inputs &amp; Assuptions'!$B$13:$B$72, COLUMN() - ($E24 + 5)), 0))
  )
)</f>
        <v>1866.9705668147596</v>
      </c>
      <c r="AZ24" s="32">
        <f t="array" ref="AZ24">IF(COLUMN() - ($E24 + 5) &lt; 0, 0,
  IF(COLUMN() - ($E24 + 5) = 0, $F24,
    AY24 * (1 - IFERROR(INDEX('Inputs &amp; Assuptions'!$B$13:$B$72, COLUMN() - ($E24 + 5)), 0))
  )
)</f>
        <v>1848.3008611466121</v>
      </c>
      <c r="BA24" s="32">
        <f t="array" ref="BA24">IF(COLUMN() - ($E24 + 5) &lt; 0, 0,
  IF(COLUMN() - ($E24 + 5) = 0, $F24,
    AZ24 * (1 - IFERROR(INDEX('Inputs &amp; Assuptions'!$B$13:$B$72, COLUMN() - ($E24 + 5)), 0))
  )
)</f>
        <v>1829.8178525351459</v>
      </c>
      <c r="BB24" s="32">
        <f t="array" ref="BB24">IF(COLUMN() - ($E24 + 5) &lt; 0, 0,
  IF(COLUMN() - ($E24 + 5) = 0, $F24,
    BA24 * (1 - IFERROR(INDEX('Inputs &amp; Assuptions'!$B$13:$B$72, COLUMN() - ($E24 + 5)), 0))
  )
)</f>
        <v>1811.5196740097945</v>
      </c>
      <c r="BC24" s="32">
        <f t="array" ref="BC24">IF(COLUMN() - ($E24 + 5) &lt; 0, 0,
  IF(COLUMN() - ($E24 + 5) = 0, $F24,
    BB24 * (1 - IFERROR(INDEX('Inputs &amp; Assuptions'!$B$13:$B$72, COLUMN() - ($E24 + 5)), 0))
  )
)</f>
        <v>1793.4044772696966</v>
      </c>
      <c r="BD24" s="32">
        <f t="array" ref="BD24">IF(COLUMN() - ($E24 + 5) &lt; 0, 0,
  IF(COLUMN() - ($E24 + 5) = 0, $F24,
    BC24 * (1 - IFERROR(INDEX('Inputs &amp; Assuptions'!$B$13:$B$72, COLUMN() - ($E24 + 5)), 0))
  )
)</f>
        <v>1775.4704324969996</v>
      </c>
      <c r="BE24" s="32">
        <f t="array" ref="BE24">IF(COLUMN() - ($E24 + 5) &lt; 0, 0,
  IF(COLUMN() - ($E24 + 5) = 0, $F24,
    BD24 * (1 - IFERROR(INDEX('Inputs &amp; Assuptions'!$B$13:$B$72, COLUMN() - ($E24 + 5)), 0))
  )
)</f>
        <v>1757.7157281720297</v>
      </c>
      <c r="BF24" s="32">
        <f t="array" ref="BF24">IF(COLUMN() - ($E24 + 5) &lt; 0, 0,
  IF(COLUMN() - ($E24 + 5) = 0, $F24,
    BE24 * (1 - IFERROR(INDEX('Inputs &amp; Assuptions'!$B$13:$B$72, COLUMN() - ($E24 + 5)), 0))
  )
)</f>
        <v>1740.1385708903094</v>
      </c>
      <c r="BG24" s="32">
        <f t="array" ref="BG24">IF(COLUMN() - ($E24 + 5) &lt; 0, 0,
  IF(COLUMN() - ($E24 + 5) = 0, $F24,
    BF24 * (1 - IFERROR(INDEX('Inputs &amp; Assuptions'!$B$13:$B$72, COLUMN() - ($E24 + 5)), 0))
  )
)</f>
        <v>1722.7371851814064</v>
      </c>
      <c r="BH24" s="32">
        <f t="array" ref="BH24">IF(COLUMN() - ($E24 + 5) &lt; 0, 0,
  IF(COLUMN() - ($E24 + 5) = 0, $F24,
    BG24 * (1 - IFERROR(INDEX('Inputs &amp; Assuptions'!$B$13:$B$72, COLUMN() - ($E24 + 5)), 0))
  )
)</f>
        <v>1705.5098133295924</v>
      </c>
      <c r="BI24" s="32">
        <f t="array" ref="BI24">IF(COLUMN() - ($E24 + 5) &lt; 0, 0,
  IF(COLUMN() - ($E24 + 5) = 0, $F24,
    BH24 * (1 - IFERROR(INDEX('Inputs &amp; Assuptions'!$B$13:$B$72, COLUMN() - ($E24 + 5)), 0))
  )
)</f>
        <v>1688.4547151962963</v>
      </c>
      <c r="BJ24" s="32">
        <f t="array" ref="BJ24">IF(COLUMN() - ($E24 + 5) &lt; 0, 0,
  IF(COLUMN() - ($E24 + 5) = 0, $F24,
    BI24 * (1 - IFERROR(INDEX('Inputs &amp; Assuptions'!$B$13:$B$72, COLUMN() - ($E24 + 5)), 0))
  )
)</f>
        <v>1671.5701680443333</v>
      </c>
      <c r="BK24" s="32">
        <f t="array" ref="BK24">IF(COLUMN() - ($E24 + 5) &lt; 0, 0,
  IF(COLUMN() - ($E24 + 5) = 0, $F24,
    BJ24 * (1 - IFERROR(INDEX('Inputs &amp; Assuptions'!$B$13:$B$72, COLUMN() - ($E24 + 5)), 0))
  )
)</f>
        <v>1654.85446636389</v>
      </c>
      <c r="BL24" s="32">
        <f t="array" ref="BL24">IF(COLUMN() - ($E24 + 5) &lt; 0, 0,
  IF(COLUMN() - ($E24 + 5) = 0, $F24,
    BK24 * (1 - IFERROR(INDEX('Inputs &amp; Assuptions'!$B$13:$B$72, COLUMN() - ($E24 + 5)), 0))
  )
)</f>
        <v>1638.305921700251</v>
      </c>
      <c r="BM24" s="66">
        <f t="array" ref="BM24">IF(COLUMN() - ($E24 + 5) &lt; 0, 0,
  IF(COLUMN() - ($E24 + 5) = 0, $F24,
    BL24 * (1 - IFERROR(INDEX('Inputs &amp; Assuptions'!$B$13:$B$72, COLUMN() - ($E24 + 5)), 0))
  )
)</f>
        <v>1621.9228624832485</v>
      </c>
      <c r="BN24" s="33"/>
    </row>
    <row r="25" spans="1:66" x14ac:dyDescent="0.3">
      <c r="A25" s="71">
        <f t="shared" si="2"/>
        <v>20</v>
      </c>
      <c r="B25" s="75">
        <f t="shared" si="4"/>
        <v>6300</v>
      </c>
      <c r="C25" s="81">
        <f>$B25*(1-'Inputs &amp; Assuptions'!$B$12)</f>
        <v>3654.0000000000005</v>
      </c>
      <c r="E25" s="71">
        <f t="shared" si="3"/>
        <v>20</v>
      </c>
      <c r="F25" s="65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>
        <f>+$C25</f>
        <v>3654.0000000000005</v>
      </c>
      <c r="Z25" s="32">
        <f t="array" ref="Z25">IF(COLUMN() - ($E25 + 5) &lt; 0, 0,
  IF(COLUMN() - ($E25 + 5) = 0, $F25,
    Y25 * (1 - IFERROR(INDEX('Inputs &amp; Assuptions'!$B$13:$B$72, COLUMN() - ($E25 + 5)), 0))
  )
)</f>
        <v>3270.3300000000004</v>
      </c>
      <c r="AA25" s="32">
        <f t="array" ref="AA25">IF(COLUMN() - ($E25 + 5) &lt; 0, 0,
  IF(COLUMN() - ($E25 + 5) = 0, $F25,
    Z25 * (1 - IFERROR(INDEX('Inputs &amp; Assuptions'!$B$13:$B$72, COLUMN() - ($E25 + 5)), 0))
  )
)</f>
        <v>3008.7036000000003</v>
      </c>
      <c r="AB25" s="32">
        <f t="array" ref="AB25">IF(COLUMN() - ($E25 + 5) &lt; 0, 0,
  IF(COLUMN() - ($E25 + 5) = 0, $F25,
    AA25 * (1 - IFERROR(INDEX('Inputs &amp; Assuptions'!$B$13:$B$72, COLUMN() - ($E25 + 5)), 0))
  )
)</f>
        <v>2843.2249019999999</v>
      </c>
      <c r="AC25" s="32">
        <f t="array" ref="AC25">IF(COLUMN() - ($E25 + 5) &lt; 0, 0,
  IF(COLUMN() - ($E25 + 5) = 0, $F25,
    AB25 * (1 - IFERROR(INDEX('Inputs &amp; Assuptions'!$B$13:$B$72, COLUMN() - ($E25 + 5)), 0))
  )
)</f>
        <v>2701.0636568999998</v>
      </c>
      <c r="AD25" s="32">
        <f t="array" ref="AD25">IF(COLUMN() - ($E25 + 5) &lt; 0, 0,
  IF(COLUMN() - ($E25 + 5) = 0, $F25,
    AC25 * (1 - IFERROR(INDEX('Inputs &amp; Assuptions'!$B$13:$B$72, COLUMN() - ($E25 + 5)), 0))
  )
)</f>
        <v>2579.5157923395</v>
      </c>
      <c r="AE25" s="32">
        <f t="array" ref="AE25">IF(COLUMN() - ($E25 + 5) &lt; 0, 0,
  IF(COLUMN() - ($E25 + 5) = 0, $F25,
    AD25 * (1 - IFERROR(INDEX('Inputs &amp; Assuptions'!$B$13:$B$72, COLUMN() - ($E25 + 5)), 0))
  )
)</f>
        <v>2476.33516064592</v>
      </c>
      <c r="AF25" s="32">
        <f t="array" ref="AF25">IF(COLUMN() - ($E25 + 5) &lt; 0, 0,
  IF(COLUMN() - ($E25 + 5) = 0, $F25,
    AE25 * (1 - IFERROR(INDEX('Inputs &amp; Assuptions'!$B$13:$B$72, COLUMN() - ($E25 + 5)), 0))
  )
)</f>
        <v>2389.6634300233127</v>
      </c>
      <c r="AG25" s="32">
        <f t="array" ref="AG25">IF(COLUMN() - ($E25 + 5) &lt; 0, 0,
  IF(COLUMN() - ($E25 + 5) = 0, $F25,
    AF25 * (1 - IFERROR(INDEX('Inputs &amp; Assuptions'!$B$13:$B$72, COLUMN() - ($E25 + 5)), 0))
  )
)</f>
        <v>2317.9735271226132</v>
      </c>
      <c r="AH25" s="32">
        <f t="array" ref="AH25">IF(COLUMN() - ($E25 + 5) &lt; 0, 0,
  IF(COLUMN() - ($E25 + 5) = 0, $F25,
    AG25 * (1 - IFERROR(INDEX('Inputs &amp; Assuptions'!$B$13:$B$72, COLUMN() - ($E25 + 5)), 0))
  )
)</f>
        <v>2260.0241889445479</v>
      </c>
      <c r="AI25" s="32">
        <f t="array" ref="AI25">IF(COLUMN() - ($E25 + 5) &lt; 0, 0,
  IF(COLUMN() - ($E25 + 5) = 0, $F25,
    AH25 * (1 - IFERROR(INDEX('Inputs &amp; Assuptions'!$B$13:$B$72, COLUMN() - ($E25 + 5)), 0))
  )
)</f>
        <v>2214.823705165657</v>
      </c>
      <c r="AJ25" s="32">
        <f t="array" ref="AJ25">IF(COLUMN() - ($E25 + 5) &lt; 0, 0,
  IF(COLUMN() - ($E25 + 5) = 0, $F25,
    AI25 * (1 - IFERROR(INDEX('Inputs &amp; Assuptions'!$B$13:$B$72, COLUMN() - ($E25 + 5)), 0))
  )
)</f>
        <v>2192.6754681140005</v>
      </c>
      <c r="AK25" s="32">
        <f t="array" ref="AK25">IF(COLUMN() - ($E25 + 5) &lt; 0, 0,
  IF(COLUMN() - ($E25 + 5) = 0, $F25,
    AJ25 * (1 - IFERROR(INDEX('Inputs &amp; Assuptions'!$B$13:$B$72, COLUMN() - ($E25 + 5)), 0))
  )
)</f>
        <v>2170.7487134328603</v>
      </c>
      <c r="AL25" s="32">
        <f t="array" ref="AL25">IF(COLUMN() - ($E25 + 5) &lt; 0, 0,
  IF(COLUMN() - ($E25 + 5) = 0, $F25,
    AK25 * (1 - IFERROR(INDEX('Inputs &amp; Assuptions'!$B$13:$B$72, COLUMN() - ($E25 + 5)), 0))
  )
)</f>
        <v>2149.0412262985319</v>
      </c>
      <c r="AM25" s="32">
        <f t="array" ref="AM25">IF(COLUMN() - ($E25 + 5) &lt; 0, 0,
  IF(COLUMN() - ($E25 + 5) = 0, $F25,
    AL25 * (1 - IFERROR(INDEX('Inputs &amp; Assuptions'!$B$13:$B$72, COLUMN() - ($E25 + 5)), 0))
  )
)</f>
        <v>2127.5508140355464</v>
      </c>
      <c r="AN25" s="32">
        <f t="array" ref="AN25">IF(COLUMN() - ($E25 + 5) &lt; 0, 0,
  IF(COLUMN() - ($E25 + 5) = 0, $F25,
    AM25 * (1 - IFERROR(INDEX('Inputs &amp; Assuptions'!$B$13:$B$72, COLUMN() - ($E25 + 5)), 0))
  )
)</f>
        <v>2106.2753058951907</v>
      </c>
      <c r="AO25" s="32">
        <f t="array" ref="AO25">IF(COLUMN() - ($E25 + 5) &lt; 0, 0,
  IF(COLUMN() - ($E25 + 5) = 0, $F25,
    AN25 * (1 - IFERROR(INDEX('Inputs &amp; Assuptions'!$B$13:$B$72, COLUMN() - ($E25 + 5)), 0))
  )
)</f>
        <v>2085.212552836239</v>
      </c>
      <c r="AP25" s="32">
        <f t="array" ref="AP25">IF(COLUMN() - ($E25 + 5) &lt; 0, 0,
  IF(COLUMN() - ($E25 + 5) = 0, $F25,
    AO25 * (1 - IFERROR(INDEX('Inputs &amp; Assuptions'!$B$13:$B$72, COLUMN() - ($E25 + 5)), 0))
  )
)</f>
        <v>2064.3604273078768</v>
      </c>
      <c r="AQ25" s="32">
        <f t="array" ref="AQ25">IF(COLUMN() - ($E25 + 5) &lt; 0, 0,
  IF(COLUMN() - ($E25 + 5) = 0, $F25,
    AP25 * (1 - IFERROR(INDEX('Inputs &amp; Assuptions'!$B$13:$B$72, COLUMN() - ($E25 + 5)), 0))
  )
)</f>
        <v>2043.7168230347979</v>
      </c>
      <c r="AR25" s="32">
        <f t="array" ref="AR25">IF(COLUMN() - ($E25 + 5) &lt; 0, 0,
  IF(COLUMN() - ($E25 + 5) = 0, $F25,
    AQ25 * (1 - IFERROR(INDEX('Inputs &amp; Assuptions'!$B$13:$B$72, COLUMN() - ($E25 + 5)), 0))
  )
)</f>
        <v>2023.2796548044498</v>
      </c>
      <c r="AS25" s="32">
        <f t="array" ref="AS25">IF(COLUMN() - ($E25 + 5) &lt; 0, 0,
  IF(COLUMN() - ($E25 + 5) = 0, $F25,
    AR25 * (1 - IFERROR(INDEX('Inputs &amp; Assuptions'!$B$13:$B$72, COLUMN() - ($E25 + 5)), 0))
  )
)</f>
        <v>2003.0468582564054</v>
      </c>
      <c r="AT25" s="32">
        <f t="array" ref="AT25">IF(COLUMN() - ($E25 + 5) &lt; 0, 0,
  IF(COLUMN() - ($E25 + 5) = 0, $F25,
    AS25 * (1 - IFERROR(INDEX('Inputs &amp; Assuptions'!$B$13:$B$72, COLUMN() - ($E25 + 5)), 0))
  )
)</f>
        <v>1983.0163896738413</v>
      </c>
      <c r="AU25" s="32">
        <f t="array" ref="AU25">IF(COLUMN() - ($E25 + 5) &lt; 0, 0,
  IF(COLUMN() - ($E25 + 5) = 0, $F25,
    AT25 * (1 - IFERROR(INDEX('Inputs &amp; Assuptions'!$B$13:$B$72, COLUMN() - ($E25 + 5)), 0))
  )
)</f>
        <v>1963.1862257771029</v>
      </c>
      <c r="AV25" s="32">
        <f t="array" ref="AV25">IF(COLUMN() - ($E25 + 5) &lt; 0, 0,
  IF(COLUMN() - ($E25 + 5) = 0, $F25,
    AU25 * (1 - IFERROR(INDEX('Inputs &amp; Assuptions'!$B$13:$B$72, COLUMN() - ($E25 + 5)), 0))
  )
)</f>
        <v>1943.5543635193319</v>
      </c>
      <c r="AW25" s="32">
        <f t="array" ref="AW25">IF(COLUMN() - ($E25 + 5) &lt; 0, 0,
  IF(COLUMN() - ($E25 + 5) = 0, $F25,
    AV25 * (1 - IFERROR(INDEX('Inputs &amp; Assuptions'!$B$13:$B$72, COLUMN() - ($E25 + 5)), 0))
  )
)</f>
        <v>1924.1188198841385</v>
      </c>
      <c r="AX25" s="32">
        <f t="array" ref="AX25">IF(COLUMN() - ($E25 + 5) &lt; 0, 0,
  IF(COLUMN() - ($E25 + 5) = 0, $F25,
    AW25 * (1 - IFERROR(INDEX('Inputs &amp; Assuptions'!$B$13:$B$72, COLUMN() - ($E25 + 5)), 0))
  )
)</f>
        <v>1904.877631685297</v>
      </c>
      <c r="AY25" s="32">
        <f t="array" ref="AY25">IF(COLUMN() - ($E25 + 5) &lt; 0, 0,
  IF(COLUMN() - ($E25 + 5) = 0, $F25,
    AX25 * (1 - IFERROR(INDEX('Inputs &amp; Assuptions'!$B$13:$B$72, COLUMN() - ($E25 + 5)), 0))
  )
)</f>
        <v>1885.828855368444</v>
      </c>
      <c r="AZ25" s="32">
        <f t="array" ref="AZ25">IF(COLUMN() - ($E25 + 5) &lt; 0, 0,
  IF(COLUMN() - ($E25 + 5) = 0, $F25,
    AY25 * (1 - IFERROR(INDEX('Inputs &amp; Assuptions'!$B$13:$B$72, COLUMN() - ($E25 + 5)), 0))
  )
)</f>
        <v>1866.9705668147596</v>
      </c>
      <c r="BA25" s="32">
        <f t="array" ref="BA25">IF(COLUMN() - ($E25 + 5) &lt; 0, 0,
  IF(COLUMN() - ($E25 + 5) = 0, $F25,
    AZ25 * (1 - IFERROR(INDEX('Inputs &amp; Assuptions'!$B$13:$B$72, COLUMN() - ($E25 + 5)), 0))
  )
)</f>
        <v>1848.3008611466121</v>
      </c>
      <c r="BB25" s="32">
        <f t="array" ref="BB25">IF(COLUMN() - ($E25 + 5) &lt; 0, 0,
  IF(COLUMN() - ($E25 + 5) = 0, $F25,
    BA25 * (1 - IFERROR(INDEX('Inputs &amp; Assuptions'!$B$13:$B$72, COLUMN() - ($E25 + 5)), 0))
  )
)</f>
        <v>1829.8178525351459</v>
      </c>
      <c r="BC25" s="32">
        <f t="array" ref="BC25">IF(COLUMN() - ($E25 + 5) &lt; 0, 0,
  IF(COLUMN() - ($E25 + 5) = 0, $F25,
    BB25 * (1 - IFERROR(INDEX('Inputs &amp; Assuptions'!$B$13:$B$72, COLUMN() - ($E25 + 5)), 0))
  )
)</f>
        <v>1811.5196740097945</v>
      </c>
      <c r="BD25" s="32">
        <f t="array" ref="BD25">IF(COLUMN() - ($E25 + 5) &lt; 0, 0,
  IF(COLUMN() - ($E25 + 5) = 0, $F25,
    BC25 * (1 - IFERROR(INDEX('Inputs &amp; Assuptions'!$B$13:$B$72, COLUMN() - ($E25 + 5)), 0))
  )
)</f>
        <v>1793.4044772696966</v>
      </c>
      <c r="BE25" s="32">
        <f t="array" ref="BE25">IF(COLUMN() - ($E25 + 5) &lt; 0, 0,
  IF(COLUMN() - ($E25 + 5) = 0, $F25,
    BD25 * (1 - IFERROR(INDEX('Inputs &amp; Assuptions'!$B$13:$B$72, COLUMN() - ($E25 + 5)), 0))
  )
)</f>
        <v>1775.4704324969996</v>
      </c>
      <c r="BF25" s="32">
        <f t="array" ref="BF25">IF(COLUMN() - ($E25 + 5) &lt; 0, 0,
  IF(COLUMN() - ($E25 + 5) = 0, $F25,
    BE25 * (1 - IFERROR(INDEX('Inputs &amp; Assuptions'!$B$13:$B$72, COLUMN() - ($E25 + 5)), 0))
  )
)</f>
        <v>1757.7157281720297</v>
      </c>
      <c r="BG25" s="32">
        <f t="array" ref="BG25">IF(COLUMN() - ($E25 + 5) &lt; 0, 0,
  IF(COLUMN() - ($E25 + 5) = 0, $F25,
    BF25 * (1 - IFERROR(INDEX('Inputs &amp; Assuptions'!$B$13:$B$72, COLUMN() - ($E25 + 5)), 0))
  )
)</f>
        <v>1740.1385708903094</v>
      </c>
      <c r="BH25" s="32">
        <f t="array" ref="BH25">IF(COLUMN() - ($E25 + 5) &lt; 0, 0,
  IF(COLUMN() - ($E25 + 5) = 0, $F25,
    BG25 * (1 - IFERROR(INDEX('Inputs &amp; Assuptions'!$B$13:$B$72, COLUMN() - ($E25 + 5)), 0))
  )
)</f>
        <v>1722.7371851814064</v>
      </c>
      <c r="BI25" s="32">
        <f t="array" ref="BI25">IF(COLUMN() - ($E25 + 5) &lt; 0, 0,
  IF(COLUMN() - ($E25 + 5) = 0, $F25,
    BH25 * (1 - IFERROR(INDEX('Inputs &amp; Assuptions'!$B$13:$B$72, COLUMN() - ($E25 + 5)), 0))
  )
)</f>
        <v>1705.5098133295924</v>
      </c>
      <c r="BJ25" s="32">
        <f t="array" ref="BJ25">IF(COLUMN() - ($E25 + 5) &lt; 0, 0,
  IF(COLUMN() - ($E25 + 5) = 0, $F25,
    BI25 * (1 - IFERROR(INDEX('Inputs &amp; Assuptions'!$B$13:$B$72, COLUMN() - ($E25 + 5)), 0))
  )
)</f>
        <v>1688.4547151962963</v>
      </c>
      <c r="BK25" s="32">
        <f t="array" ref="BK25">IF(COLUMN() - ($E25 + 5) &lt; 0, 0,
  IF(COLUMN() - ($E25 + 5) = 0, $F25,
    BJ25 * (1 - IFERROR(INDEX('Inputs &amp; Assuptions'!$B$13:$B$72, COLUMN() - ($E25 + 5)), 0))
  )
)</f>
        <v>1671.5701680443333</v>
      </c>
      <c r="BL25" s="32">
        <f t="array" ref="BL25">IF(COLUMN() - ($E25 + 5) &lt; 0, 0,
  IF(COLUMN() - ($E25 + 5) = 0, $F25,
    BK25 * (1 - IFERROR(INDEX('Inputs &amp; Assuptions'!$B$13:$B$72, COLUMN() - ($E25 + 5)), 0))
  )
)</f>
        <v>1654.85446636389</v>
      </c>
      <c r="BM25" s="66">
        <f t="array" ref="BM25">IF(COLUMN() - ($E25 + 5) &lt; 0, 0,
  IF(COLUMN() - ($E25 + 5) = 0, $F25,
    BL25 * (1 - IFERROR(INDEX('Inputs &amp; Assuptions'!$B$13:$B$72, COLUMN() - ($E25 + 5)), 0))
  )
)</f>
        <v>1638.305921700251</v>
      </c>
      <c r="BN25" s="33"/>
    </row>
    <row r="26" spans="1:66" x14ac:dyDescent="0.3">
      <c r="A26" s="71">
        <f t="shared" si="2"/>
        <v>21</v>
      </c>
      <c r="B26" s="75">
        <f t="shared" si="4"/>
        <v>6300</v>
      </c>
      <c r="C26" s="81">
        <f>$B26*(1-'Inputs &amp; Assuptions'!$B$12)</f>
        <v>3654.0000000000005</v>
      </c>
      <c r="E26" s="71">
        <f t="shared" si="3"/>
        <v>21</v>
      </c>
      <c r="F26" s="6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>
        <f>+$C26</f>
        <v>3654.0000000000005</v>
      </c>
      <c r="AA26" s="32">
        <f t="array" ref="AA26">IF(COLUMN() - ($E26 + 5) &lt; 0, 0,
  IF(COLUMN() - ($E26 + 5) = 0, $F26,
    Z26 * (1 - IFERROR(INDEX('Inputs &amp; Assuptions'!$B$13:$B$72, COLUMN() - ($E26 + 5)), 0))
  )
)</f>
        <v>3270.3300000000004</v>
      </c>
      <c r="AB26" s="32">
        <f t="array" ref="AB26">IF(COLUMN() - ($E26 + 5) &lt; 0, 0,
  IF(COLUMN() - ($E26 + 5) = 0, $F26,
    AA26 * (1 - IFERROR(INDEX('Inputs &amp; Assuptions'!$B$13:$B$72, COLUMN() - ($E26 + 5)), 0))
  )
)</f>
        <v>3008.7036000000003</v>
      </c>
      <c r="AC26" s="32">
        <f t="array" ref="AC26">IF(COLUMN() - ($E26 + 5) &lt; 0, 0,
  IF(COLUMN() - ($E26 + 5) = 0, $F26,
    AB26 * (1 - IFERROR(INDEX('Inputs &amp; Assuptions'!$B$13:$B$72, COLUMN() - ($E26 + 5)), 0))
  )
)</f>
        <v>2843.2249019999999</v>
      </c>
      <c r="AD26" s="32">
        <f t="array" ref="AD26">IF(COLUMN() - ($E26 + 5) &lt; 0, 0,
  IF(COLUMN() - ($E26 + 5) = 0, $F26,
    AC26 * (1 - IFERROR(INDEX('Inputs &amp; Assuptions'!$B$13:$B$72, COLUMN() - ($E26 + 5)), 0))
  )
)</f>
        <v>2701.0636568999998</v>
      </c>
      <c r="AE26" s="32">
        <f t="array" ref="AE26">IF(COLUMN() - ($E26 + 5) &lt; 0, 0,
  IF(COLUMN() - ($E26 + 5) = 0, $F26,
    AD26 * (1 - IFERROR(INDEX('Inputs &amp; Assuptions'!$B$13:$B$72, COLUMN() - ($E26 + 5)), 0))
  )
)</f>
        <v>2579.5157923395</v>
      </c>
      <c r="AF26" s="32">
        <f t="array" ref="AF26">IF(COLUMN() - ($E26 + 5) &lt; 0, 0,
  IF(COLUMN() - ($E26 + 5) = 0, $F26,
    AE26 * (1 - IFERROR(INDEX('Inputs &amp; Assuptions'!$B$13:$B$72, COLUMN() - ($E26 + 5)), 0))
  )
)</f>
        <v>2476.33516064592</v>
      </c>
      <c r="AG26" s="32">
        <f t="array" ref="AG26">IF(COLUMN() - ($E26 + 5) &lt; 0, 0,
  IF(COLUMN() - ($E26 + 5) = 0, $F26,
    AF26 * (1 - IFERROR(INDEX('Inputs &amp; Assuptions'!$B$13:$B$72, COLUMN() - ($E26 + 5)), 0))
  )
)</f>
        <v>2389.6634300233127</v>
      </c>
      <c r="AH26" s="32">
        <f t="array" ref="AH26">IF(COLUMN() - ($E26 + 5) &lt; 0, 0,
  IF(COLUMN() - ($E26 + 5) = 0, $F26,
    AG26 * (1 - IFERROR(INDEX('Inputs &amp; Assuptions'!$B$13:$B$72, COLUMN() - ($E26 + 5)), 0))
  )
)</f>
        <v>2317.9735271226132</v>
      </c>
      <c r="AI26" s="32">
        <f t="array" ref="AI26">IF(COLUMN() - ($E26 + 5) &lt; 0, 0,
  IF(COLUMN() - ($E26 + 5) = 0, $F26,
    AH26 * (1 - IFERROR(INDEX('Inputs &amp; Assuptions'!$B$13:$B$72, COLUMN() - ($E26 + 5)), 0))
  )
)</f>
        <v>2260.0241889445479</v>
      </c>
      <c r="AJ26" s="32">
        <f t="array" ref="AJ26">IF(COLUMN() - ($E26 + 5) &lt; 0, 0,
  IF(COLUMN() - ($E26 + 5) = 0, $F26,
    AI26 * (1 - IFERROR(INDEX('Inputs &amp; Assuptions'!$B$13:$B$72, COLUMN() - ($E26 + 5)), 0))
  )
)</f>
        <v>2214.823705165657</v>
      </c>
      <c r="AK26" s="32">
        <f t="array" ref="AK26">IF(COLUMN() - ($E26 + 5) &lt; 0, 0,
  IF(COLUMN() - ($E26 + 5) = 0, $F26,
    AJ26 * (1 - IFERROR(INDEX('Inputs &amp; Assuptions'!$B$13:$B$72, COLUMN() - ($E26 + 5)), 0))
  )
)</f>
        <v>2192.6754681140005</v>
      </c>
      <c r="AL26" s="32">
        <f t="array" ref="AL26">IF(COLUMN() - ($E26 + 5) &lt; 0, 0,
  IF(COLUMN() - ($E26 + 5) = 0, $F26,
    AK26 * (1 - IFERROR(INDEX('Inputs &amp; Assuptions'!$B$13:$B$72, COLUMN() - ($E26 + 5)), 0))
  )
)</f>
        <v>2170.7487134328603</v>
      </c>
      <c r="AM26" s="32">
        <f t="array" ref="AM26">IF(COLUMN() - ($E26 + 5) &lt; 0, 0,
  IF(COLUMN() - ($E26 + 5) = 0, $F26,
    AL26 * (1 - IFERROR(INDEX('Inputs &amp; Assuptions'!$B$13:$B$72, COLUMN() - ($E26 + 5)), 0))
  )
)</f>
        <v>2149.0412262985319</v>
      </c>
      <c r="AN26" s="32">
        <f t="array" ref="AN26">IF(COLUMN() - ($E26 + 5) &lt; 0, 0,
  IF(COLUMN() - ($E26 + 5) = 0, $F26,
    AM26 * (1 - IFERROR(INDEX('Inputs &amp; Assuptions'!$B$13:$B$72, COLUMN() - ($E26 + 5)), 0))
  )
)</f>
        <v>2127.5508140355464</v>
      </c>
      <c r="AO26" s="32">
        <f t="array" ref="AO26">IF(COLUMN() - ($E26 + 5) &lt; 0, 0,
  IF(COLUMN() - ($E26 + 5) = 0, $F26,
    AN26 * (1 - IFERROR(INDEX('Inputs &amp; Assuptions'!$B$13:$B$72, COLUMN() - ($E26 + 5)), 0))
  )
)</f>
        <v>2106.2753058951907</v>
      </c>
      <c r="AP26" s="32">
        <f t="array" ref="AP26">IF(COLUMN() - ($E26 + 5) &lt; 0, 0,
  IF(COLUMN() - ($E26 + 5) = 0, $F26,
    AO26 * (1 - IFERROR(INDEX('Inputs &amp; Assuptions'!$B$13:$B$72, COLUMN() - ($E26 + 5)), 0))
  )
)</f>
        <v>2085.212552836239</v>
      </c>
      <c r="AQ26" s="32">
        <f t="array" ref="AQ26">IF(COLUMN() - ($E26 + 5) &lt; 0, 0,
  IF(COLUMN() - ($E26 + 5) = 0, $F26,
    AP26 * (1 - IFERROR(INDEX('Inputs &amp; Assuptions'!$B$13:$B$72, COLUMN() - ($E26 + 5)), 0))
  )
)</f>
        <v>2064.3604273078768</v>
      </c>
      <c r="AR26" s="32">
        <f t="array" ref="AR26">IF(COLUMN() - ($E26 + 5) &lt; 0, 0,
  IF(COLUMN() - ($E26 + 5) = 0, $F26,
    AQ26 * (1 - IFERROR(INDEX('Inputs &amp; Assuptions'!$B$13:$B$72, COLUMN() - ($E26 + 5)), 0))
  )
)</f>
        <v>2043.7168230347979</v>
      </c>
      <c r="AS26" s="32">
        <f t="array" ref="AS26">IF(COLUMN() - ($E26 + 5) &lt; 0, 0,
  IF(COLUMN() - ($E26 + 5) = 0, $F26,
    AR26 * (1 - IFERROR(INDEX('Inputs &amp; Assuptions'!$B$13:$B$72, COLUMN() - ($E26 + 5)), 0))
  )
)</f>
        <v>2023.2796548044498</v>
      </c>
      <c r="AT26" s="32">
        <f t="array" ref="AT26">IF(COLUMN() - ($E26 + 5) &lt; 0, 0,
  IF(COLUMN() - ($E26 + 5) = 0, $F26,
    AS26 * (1 - IFERROR(INDEX('Inputs &amp; Assuptions'!$B$13:$B$72, COLUMN() - ($E26 + 5)), 0))
  )
)</f>
        <v>2003.0468582564054</v>
      </c>
      <c r="AU26" s="32">
        <f t="array" ref="AU26">IF(COLUMN() - ($E26 + 5) &lt; 0, 0,
  IF(COLUMN() - ($E26 + 5) = 0, $F26,
    AT26 * (1 - IFERROR(INDEX('Inputs &amp; Assuptions'!$B$13:$B$72, COLUMN() - ($E26 + 5)), 0))
  )
)</f>
        <v>1983.0163896738413</v>
      </c>
      <c r="AV26" s="32">
        <f t="array" ref="AV26">IF(COLUMN() - ($E26 + 5) &lt; 0, 0,
  IF(COLUMN() - ($E26 + 5) = 0, $F26,
    AU26 * (1 - IFERROR(INDEX('Inputs &amp; Assuptions'!$B$13:$B$72, COLUMN() - ($E26 + 5)), 0))
  )
)</f>
        <v>1963.1862257771029</v>
      </c>
      <c r="AW26" s="32">
        <f t="array" ref="AW26">IF(COLUMN() - ($E26 + 5) &lt; 0, 0,
  IF(COLUMN() - ($E26 + 5) = 0, $F26,
    AV26 * (1 - IFERROR(INDEX('Inputs &amp; Assuptions'!$B$13:$B$72, COLUMN() - ($E26 + 5)), 0))
  )
)</f>
        <v>1943.5543635193319</v>
      </c>
      <c r="AX26" s="32">
        <f t="array" ref="AX26">IF(COLUMN() - ($E26 + 5) &lt; 0, 0,
  IF(COLUMN() - ($E26 + 5) = 0, $F26,
    AW26 * (1 - IFERROR(INDEX('Inputs &amp; Assuptions'!$B$13:$B$72, COLUMN() - ($E26 + 5)), 0))
  )
)</f>
        <v>1924.1188198841385</v>
      </c>
      <c r="AY26" s="32">
        <f t="array" ref="AY26">IF(COLUMN() - ($E26 + 5) &lt; 0, 0,
  IF(COLUMN() - ($E26 + 5) = 0, $F26,
    AX26 * (1 - IFERROR(INDEX('Inputs &amp; Assuptions'!$B$13:$B$72, COLUMN() - ($E26 + 5)), 0))
  )
)</f>
        <v>1904.877631685297</v>
      </c>
      <c r="AZ26" s="32">
        <f t="array" ref="AZ26">IF(COLUMN() - ($E26 + 5) &lt; 0, 0,
  IF(COLUMN() - ($E26 + 5) = 0, $F26,
    AY26 * (1 - IFERROR(INDEX('Inputs &amp; Assuptions'!$B$13:$B$72, COLUMN() - ($E26 + 5)), 0))
  )
)</f>
        <v>1885.828855368444</v>
      </c>
      <c r="BA26" s="32">
        <f t="array" ref="BA26">IF(COLUMN() - ($E26 + 5) &lt; 0, 0,
  IF(COLUMN() - ($E26 + 5) = 0, $F26,
    AZ26 * (1 - IFERROR(INDEX('Inputs &amp; Assuptions'!$B$13:$B$72, COLUMN() - ($E26 + 5)), 0))
  )
)</f>
        <v>1866.9705668147596</v>
      </c>
      <c r="BB26" s="32">
        <f t="array" ref="BB26">IF(COLUMN() - ($E26 + 5) &lt; 0, 0,
  IF(COLUMN() - ($E26 + 5) = 0, $F26,
    BA26 * (1 - IFERROR(INDEX('Inputs &amp; Assuptions'!$B$13:$B$72, COLUMN() - ($E26 + 5)), 0))
  )
)</f>
        <v>1848.3008611466121</v>
      </c>
      <c r="BC26" s="32">
        <f t="array" ref="BC26">IF(COLUMN() - ($E26 + 5) &lt; 0, 0,
  IF(COLUMN() - ($E26 + 5) = 0, $F26,
    BB26 * (1 - IFERROR(INDEX('Inputs &amp; Assuptions'!$B$13:$B$72, COLUMN() - ($E26 + 5)), 0))
  )
)</f>
        <v>1829.8178525351459</v>
      </c>
      <c r="BD26" s="32">
        <f t="array" ref="BD26">IF(COLUMN() - ($E26 + 5) &lt; 0, 0,
  IF(COLUMN() - ($E26 + 5) = 0, $F26,
    BC26 * (1 - IFERROR(INDEX('Inputs &amp; Assuptions'!$B$13:$B$72, COLUMN() - ($E26 + 5)), 0))
  )
)</f>
        <v>1811.5196740097945</v>
      </c>
      <c r="BE26" s="32">
        <f t="array" ref="BE26">IF(COLUMN() - ($E26 + 5) &lt; 0, 0,
  IF(COLUMN() - ($E26 + 5) = 0, $F26,
    BD26 * (1 - IFERROR(INDEX('Inputs &amp; Assuptions'!$B$13:$B$72, COLUMN() - ($E26 + 5)), 0))
  )
)</f>
        <v>1793.4044772696966</v>
      </c>
      <c r="BF26" s="32">
        <f t="array" ref="BF26">IF(COLUMN() - ($E26 + 5) &lt; 0, 0,
  IF(COLUMN() - ($E26 + 5) = 0, $F26,
    BE26 * (1 - IFERROR(INDEX('Inputs &amp; Assuptions'!$B$13:$B$72, COLUMN() - ($E26 + 5)), 0))
  )
)</f>
        <v>1775.4704324969996</v>
      </c>
      <c r="BG26" s="32">
        <f t="array" ref="BG26">IF(COLUMN() - ($E26 + 5) &lt; 0, 0,
  IF(COLUMN() - ($E26 + 5) = 0, $F26,
    BF26 * (1 - IFERROR(INDEX('Inputs &amp; Assuptions'!$B$13:$B$72, COLUMN() - ($E26 + 5)), 0))
  )
)</f>
        <v>1757.7157281720297</v>
      </c>
      <c r="BH26" s="32">
        <f t="array" ref="BH26">IF(COLUMN() - ($E26 + 5) &lt; 0, 0,
  IF(COLUMN() - ($E26 + 5) = 0, $F26,
    BG26 * (1 - IFERROR(INDEX('Inputs &amp; Assuptions'!$B$13:$B$72, COLUMN() - ($E26 + 5)), 0))
  )
)</f>
        <v>1740.1385708903094</v>
      </c>
      <c r="BI26" s="32">
        <f t="array" ref="BI26">IF(COLUMN() - ($E26 + 5) &lt; 0, 0,
  IF(COLUMN() - ($E26 + 5) = 0, $F26,
    BH26 * (1 - IFERROR(INDEX('Inputs &amp; Assuptions'!$B$13:$B$72, COLUMN() - ($E26 + 5)), 0))
  )
)</f>
        <v>1722.7371851814064</v>
      </c>
      <c r="BJ26" s="32">
        <f t="array" ref="BJ26">IF(COLUMN() - ($E26 + 5) &lt; 0, 0,
  IF(COLUMN() - ($E26 + 5) = 0, $F26,
    BI26 * (1 - IFERROR(INDEX('Inputs &amp; Assuptions'!$B$13:$B$72, COLUMN() - ($E26 + 5)), 0))
  )
)</f>
        <v>1705.5098133295924</v>
      </c>
      <c r="BK26" s="32">
        <f t="array" ref="BK26">IF(COLUMN() - ($E26 + 5) &lt; 0, 0,
  IF(COLUMN() - ($E26 + 5) = 0, $F26,
    BJ26 * (1 - IFERROR(INDEX('Inputs &amp; Assuptions'!$B$13:$B$72, COLUMN() - ($E26 + 5)), 0))
  )
)</f>
        <v>1688.4547151962963</v>
      </c>
      <c r="BL26" s="32">
        <f t="array" ref="BL26">IF(COLUMN() - ($E26 + 5) &lt; 0, 0,
  IF(COLUMN() - ($E26 + 5) = 0, $F26,
    BK26 * (1 - IFERROR(INDEX('Inputs &amp; Assuptions'!$B$13:$B$72, COLUMN() - ($E26 + 5)), 0))
  )
)</f>
        <v>1671.5701680443333</v>
      </c>
      <c r="BM26" s="66">
        <f t="array" ref="BM26">IF(COLUMN() - ($E26 + 5) &lt; 0, 0,
  IF(COLUMN() - ($E26 + 5) = 0, $F26,
    BL26 * (1 - IFERROR(INDEX('Inputs &amp; Assuptions'!$B$13:$B$72, COLUMN() - ($E26 + 5)), 0))
  )
)</f>
        <v>1654.85446636389</v>
      </c>
      <c r="BN26" s="33"/>
    </row>
    <row r="27" spans="1:66" x14ac:dyDescent="0.3">
      <c r="A27" s="71">
        <f t="shared" si="2"/>
        <v>22</v>
      </c>
      <c r="B27" s="75">
        <f t="shared" si="4"/>
        <v>6300</v>
      </c>
      <c r="C27" s="81">
        <f>$B27*(1-'Inputs &amp; Assuptions'!$B$12)</f>
        <v>3654.0000000000005</v>
      </c>
      <c r="E27" s="71">
        <f t="shared" si="3"/>
        <v>22</v>
      </c>
      <c r="F27" s="65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>
        <f>+$C27</f>
        <v>3654.0000000000005</v>
      </c>
      <c r="AB27" s="32">
        <f t="array" ref="AB27">IF(COLUMN() - ($E27 + 5) &lt; 0, 0,
  IF(COLUMN() - ($E27 + 5) = 0, $F27,
    AA27 * (1 - IFERROR(INDEX('Inputs &amp; Assuptions'!$B$13:$B$72, COLUMN() - ($E27 + 5)), 0))
  )
)</f>
        <v>3270.3300000000004</v>
      </c>
      <c r="AC27" s="32">
        <f t="array" ref="AC27">IF(COLUMN() - ($E27 + 5) &lt; 0, 0,
  IF(COLUMN() - ($E27 + 5) = 0, $F27,
    AB27 * (1 - IFERROR(INDEX('Inputs &amp; Assuptions'!$B$13:$B$72, COLUMN() - ($E27 + 5)), 0))
  )
)</f>
        <v>3008.7036000000003</v>
      </c>
      <c r="AD27" s="32">
        <f t="array" ref="AD27">IF(COLUMN() - ($E27 + 5) &lt; 0, 0,
  IF(COLUMN() - ($E27 + 5) = 0, $F27,
    AC27 * (1 - IFERROR(INDEX('Inputs &amp; Assuptions'!$B$13:$B$72, COLUMN() - ($E27 + 5)), 0))
  )
)</f>
        <v>2843.2249019999999</v>
      </c>
      <c r="AE27" s="32">
        <f t="array" ref="AE27">IF(COLUMN() - ($E27 + 5) &lt; 0, 0,
  IF(COLUMN() - ($E27 + 5) = 0, $F27,
    AD27 * (1 - IFERROR(INDEX('Inputs &amp; Assuptions'!$B$13:$B$72, COLUMN() - ($E27 + 5)), 0))
  )
)</f>
        <v>2701.0636568999998</v>
      </c>
      <c r="AF27" s="32">
        <f t="array" ref="AF27">IF(COLUMN() - ($E27 + 5) &lt; 0, 0,
  IF(COLUMN() - ($E27 + 5) = 0, $F27,
    AE27 * (1 - IFERROR(INDEX('Inputs &amp; Assuptions'!$B$13:$B$72, COLUMN() - ($E27 + 5)), 0))
  )
)</f>
        <v>2579.5157923395</v>
      </c>
      <c r="AG27" s="32">
        <f t="array" ref="AG27">IF(COLUMN() - ($E27 + 5) &lt; 0, 0,
  IF(COLUMN() - ($E27 + 5) = 0, $F27,
    AF27 * (1 - IFERROR(INDEX('Inputs &amp; Assuptions'!$B$13:$B$72, COLUMN() - ($E27 + 5)), 0))
  )
)</f>
        <v>2476.33516064592</v>
      </c>
      <c r="AH27" s="32">
        <f t="array" ref="AH27">IF(COLUMN() - ($E27 + 5) &lt; 0, 0,
  IF(COLUMN() - ($E27 + 5) = 0, $F27,
    AG27 * (1 - IFERROR(INDEX('Inputs &amp; Assuptions'!$B$13:$B$72, COLUMN() - ($E27 + 5)), 0))
  )
)</f>
        <v>2389.6634300233127</v>
      </c>
      <c r="AI27" s="32">
        <f t="array" ref="AI27">IF(COLUMN() - ($E27 + 5) &lt; 0, 0,
  IF(COLUMN() - ($E27 + 5) = 0, $F27,
    AH27 * (1 - IFERROR(INDEX('Inputs &amp; Assuptions'!$B$13:$B$72, COLUMN() - ($E27 + 5)), 0))
  )
)</f>
        <v>2317.9735271226132</v>
      </c>
      <c r="AJ27" s="32">
        <f t="array" ref="AJ27">IF(COLUMN() - ($E27 + 5) &lt; 0, 0,
  IF(COLUMN() - ($E27 + 5) = 0, $F27,
    AI27 * (1 - IFERROR(INDEX('Inputs &amp; Assuptions'!$B$13:$B$72, COLUMN() - ($E27 + 5)), 0))
  )
)</f>
        <v>2260.0241889445479</v>
      </c>
      <c r="AK27" s="32">
        <f t="array" ref="AK27">IF(COLUMN() - ($E27 + 5) &lt; 0, 0,
  IF(COLUMN() - ($E27 + 5) = 0, $F27,
    AJ27 * (1 - IFERROR(INDEX('Inputs &amp; Assuptions'!$B$13:$B$72, COLUMN() - ($E27 + 5)), 0))
  )
)</f>
        <v>2214.823705165657</v>
      </c>
      <c r="AL27" s="32">
        <f t="array" ref="AL27">IF(COLUMN() - ($E27 + 5) &lt; 0, 0,
  IF(COLUMN() - ($E27 + 5) = 0, $F27,
    AK27 * (1 - IFERROR(INDEX('Inputs &amp; Assuptions'!$B$13:$B$72, COLUMN() - ($E27 + 5)), 0))
  )
)</f>
        <v>2192.6754681140005</v>
      </c>
      <c r="AM27" s="32">
        <f t="array" ref="AM27">IF(COLUMN() - ($E27 + 5) &lt; 0, 0,
  IF(COLUMN() - ($E27 + 5) = 0, $F27,
    AL27 * (1 - IFERROR(INDEX('Inputs &amp; Assuptions'!$B$13:$B$72, COLUMN() - ($E27 + 5)), 0))
  )
)</f>
        <v>2170.7487134328603</v>
      </c>
      <c r="AN27" s="32">
        <f t="array" ref="AN27">IF(COLUMN() - ($E27 + 5) &lt; 0, 0,
  IF(COLUMN() - ($E27 + 5) = 0, $F27,
    AM27 * (1 - IFERROR(INDEX('Inputs &amp; Assuptions'!$B$13:$B$72, COLUMN() - ($E27 + 5)), 0))
  )
)</f>
        <v>2149.0412262985319</v>
      </c>
      <c r="AO27" s="32">
        <f t="array" ref="AO27">IF(COLUMN() - ($E27 + 5) &lt; 0, 0,
  IF(COLUMN() - ($E27 + 5) = 0, $F27,
    AN27 * (1 - IFERROR(INDEX('Inputs &amp; Assuptions'!$B$13:$B$72, COLUMN() - ($E27 + 5)), 0))
  )
)</f>
        <v>2127.5508140355464</v>
      </c>
      <c r="AP27" s="32">
        <f t="array" ref="AP27">IF(COLUMN() - ($E27 + 5) &lt; 0, 0,
  IF(COLUMN() - ($E27 + 5) = 0, $F27,
    AO27 * (1 - IFERROR(INDEX('Inputs &amp; Assuptions'!$B$13:$B$72, COLUMN() - ($E27 + 5)), 0))
  )
)</f>
        <v>2106.2753058951907</v>
      </c>
      <c r="AQ27" s="32">
        <f t="array" ref="AQ27">IF(COLUMN() - ($E27 + 5) &lt; 0, 0,
  IF(COLUMN() - ($E27 + 5) = 0, $F27,
    AP27 * (1 - IFERROR(INDEX('Inputs &amp; Assuptions'!$B$13:$B$72, COLUMN() - ($E27 + 5)), 0))
  )
)</f>
        <v>2085.212552836239</v>
      </c>
      <c r="AR27" s="32">
        <f t="array" ref="AR27">IF(COLUMN() - ($E27 + 5) &lt; 0, 0,
  IF(COLUMN() - ($E27 + 5) = 0, $F27,
    AQ27 * (1 - IFERROR(INDEX('Inputs &amp; Assuptions'!$B$13:$B$72, COLUMN() - ($E27 + 5)), 0))
  )
)</f>
        <v>2064.3604273078768</v>
      </c>
      <c r="AS27" s="32">
        <f t="array" ref="AS27">IF(COLUMN() - ($E27 + 5) &lt; 0, 0,
  IF(COLUMN() - ($E27 + 5) = 0, $F27,
    AR27 * (1 - IFERROR(INDEX('Inputs &amp; Assuptions'!$B$13:$B$72, COLUMN() - ($E27 + 5)), 0))
  )
)</f>
        <v>2043.7168230347979</v>
      </c>
      <c r="AT27" s="32">
        <f t="array" ref="AT27">IF(COLUMN() - ($E27 + 5) &lt; 0, 0,
  IF(COLUMN() - ($E27 + 5) = 0, $F27,
    AS27 * (1 - IFERROR(INDEX('Inputs &amp; Assuptions'!$B$13:$B$72, COLUMN() - ($E27 + 5)), 0))
  )
)</f>
        <v>2023.2796548044498</v>
      </c>
      <c r="AU27" s="32">
        <f t="array" ref="AU27">IF(COLUMN() - ($E27 + 5) &lt; 0, 0,
  IF(COLUMN() - ($E27 + 5) = 0, $F27,
    AT27 * (1 - IFERROR(INDEX('Inputs &amp; Assuptions'!$B$13:$B$72, COLUMN() - ($E27 + 5)), 0))
  )
)</f>
        <v>2003.0468582564054</v>
      </c>
      <c r="AV27" s="32">
        <f t="array" ref="AV27">IF(COLUMN() - ($E27 + 5) &lt; 0, 0,
  IF(COLUMN() - ($E27 + 5) = 0, $F27,
    AU27 * (1 - IFERROR(INDEX('Inputs &amp; Assuptions'!$B$13:$B$72, COLUMN() - ($E27 + 5)), 0))
  )
)</f>
        <v>1983.0163896738413</v>
      </c>
      <c r="AW27" s="32">
        <f t="array" ref="AW27">IF(COLUMN() - ($E27 + 5) &lt; 0, 0,
  IF(COLUMN() - ($E27 + 5) = 0, $F27,
    AV27 * (1 - IFERROR(INDEX('Inputs &amp; Assuptions'!$B$13:$B$72, COLUMN() - ($E27 + 5)), 0))
  )
)</f>
        <v>1963.1862257771029</v>
      </c>
      <c r="AX27" s="32">
        <f t="array" ref="AX27">IF(COLUMN() - ($E27 + 5) &lt; 0, 0,
  IF(COLUMN() - ($E27 + 5) = 0, $F27,
    AW27 * (1 - IFERROR(INDEX('Inputs &amp; Assuptions'!$B$13:$B$72, COLUMN() - ($E27 + 5)), 0))
  )
)</f>
        <v>1943.5543635193319</v>
      </c>
      <c r="AY27" s="32">
        <f t="array" ref="AY27">IF(COLUMN() - ($E27 + 5) &lt; 0, 0,
  IF(COLUMN() - ($E27 + 5) = 0, $F27,
    AX27 * (1 - IFERROR(INDEX('Inputs &amp; Assuptions'!$B$13:$B$72, COLUMN() - ($E27 + 5)), 0))
  )
)</f>
        <v>1924.1188198841385</v>
      </c>
      <c r="AZ27" s="32">
        <f t="array" ref="AZ27">IF(COLUMN() - ($E27 + 5) &lt; 0, 0,
  IF(COLUMN() - ($E27 + 5) = 0, $F27,
    AY27 * (1 - IFERROR(INDEX('Inputs &amp; Assuptions'!$B$13:$B$72, COLUMN() - ($E27 + 5)), 0))
  )
)</f>
        <v>1904.877631685297</v>
      </c>
      <c r="BA27" s="32">
        <f t="array" ref="BA27">IF(COLUMN() - ($E27 + 5) &lt; 0, 0,
  IF(COLUMN() - ($E27 + 5) = 0, $F27,
    AZ27 * (1 - IFERROR(INDEX('Inputs &amp; Assuptions'!$B$13:$B$72, COLUMN() - ($E27 + 5)), 0))
  )
)</f>
        <v>1885.828855368444</v>
      </c>
      <c r="BB27" s="32">
        <f t="array" ref="BB27">IF(COLUMN() - ($E27 + 5) &lt; 0, 0,
  IF(COLUMN() - ($E27 + 5) = 0, $F27,
    BA27 * (1 - IFERROR(INDEX('Inputs &amp; Assuptions'!$B$13:$B$72, COLUMN() - ($E27 + 5)), 0))
  )
)</f>
        <v>1866.9705668147596</v>
      </c>
      <c r="BC27" s="32">
        <f t="array" ref="BC27">IF(COLUMN() - ($E27 + 5) &lt; 0, 0,
  IF(COLUMN() - ($E27 + 5) = 0, $F27,
    BB27 * (1 - IFERROR(INDEX('Inputs &amp; Assuptions'!$B$13:$B$72, COLUMN() - ($E27 + 5)), 0))
  )
)</f>
        <v>1848.3008611466121</v>
      </c>
      <c r="BD27" s="32">
        <f t="array" ref="BD27">IF(COLUMN() - ($E27 + 5) &lt; 0, 0,
  IF(COLUMN() - ($E27 + 5) = 0, $F27,
    BC27 * (1 - IFERROR(INDEX('Inputs &amp; Assuptions'!$B$13:$B$72, COLUMN() - ($E27 + 5)), 0))
  )
)</f>
        <v>1829.8178525351459</v>
      </c>
      <c r="BE27" s="32">
        <f t="array" ref="BE27">IF(COLUMN() - ($E27 + 5) &lt; 0, 0,
  IF(COLUMN() - ($E27 + 5) = 0, $F27,
    BD27 * (1 - IFERROR(INDEX('Inputs &amp; Assuptions'!$B$13:$B$72, COLUMN() - ($E27 + 5)), 0))
  )
)</f>
        <v>1811.5196740097945</v>
      </c>
      <c r="BF27" s="32">
        <f t="array" ref="BF27">IF(COLUMN() - ($E27 + 5) &lt; 0, 0,
  IF(COLUMN() - ($E27 + 5) = 0, $F27,
    BE27 * (1 - IFERROR(INDEX('Inputs &amp; Assuptions'!$B$13:$B$72, COLUMN() - ($E27 + 5)), 0))
  )
)</f>
        <v>1793.4044772696966</v>
      </c>
      <c r="BG27" s="32">
        <f t="array" ref="BG27">IF(COLUMN() - ($E27 + 5) &lt; 0, 0,
  IF(COLUMN() - ($E27 + 5) = 0, $F27,
    BF27 * (1 - IFERROR(INDEX('Inputs &amp; Assuptions'!$B$13:$B$72, COLUMN() - ($E27 + 5)), 0))
  )
)</f>
        <v>1775.4704324969996</v>
      </c>
      <c r="BH27" s="32">
        <f t="array" ref="BH27">IF(COLUMN() - ($E27 + 5) &lt; 0, 0,
  IF(COLUMN() - ($E27 + 5) = 0, $F27,
    BG27 * (1 - IFERROR(INDEX('Inputs &amp; Assuptions'!$B$13:$B$72, COLUMN() - ($E27 + 5)), 0))
  )
)</f>
        <v>1757.7157281720297</v>
      </c>
      <c r="BI27" s="32">
        <f t="array" ref="BI27">IF(COLUMN() - ($E27 + 5) &lt; 0, 0,
  IF(COLUMN() - ($E27 + 5) = 0, $F27,
    BH27 * (1 - IFERROR(INDEX('Inputs &amp; Assuptions'!$B$13:$B$72, COLUMN() - ($E27 + 5)), 0))
  )
)</f>
        <v>1740.1385708903094</v>
      </c>
      <c r="BJ27" s="32">
        <f t="array" ref="BJ27">IF(COLUMN() - ($E27 + 5) &lt; 0, 0,
  IF(COLUMN() - ($E27 + 5) = 0, $F27,
    BI27 * (1 - IFERROR(INDEX('Inputs &amp; Assuptions'!$B$13:$B$72, COLUMN() - ($E27 + 5)), 0))
  )
)</f>
        <v>1722.7371851814064</v>
      </c>
      <c r="BK27" s="32">
        <f t="array" ref="BK27">IF(COLUMN() - ($E27 + 5) &lt; 0, 0,
  IF(COLUMN() - ($E27 + 5) = 0, $F27,
    BJ27 * (1 - IFERROR(INDEX('Inputs &amp; Assuptions'!$B$13:$B$72, COLUMN() - ($E27 + 5)), 0))
  )
)</f>
        <v>1705.5098133295924</v>
      </c>
      <c r="BL27" s="32">
        <f t="array" ref="BL27">IF(COLUMN() - ($E27 + 5) &lt; 0, 0,
  IF(COLUMN() - ($E27 + 5) = 0, $F27,
    BK27 * (1 - IFERROR(INDEX('Inputs &amp; Assuptions'!$B$13:$B$72, COLUMN() - ($E27 + 5)), 0))
  )
)</f>
        <v>1688.4547151962963</v>
      </c>
      <c r="BM27" s="66">
        <f t="array" ref="BM27">IF(COLUMN() - ($E27 + 5) &lt; 0, 0,
  IF(COLUMN() - ($E27 + 5) = 0, $F27,
    BL27 * (1 - IFERROR(INDEX('Inputs &amp; Assuptions'!$B$13:$B$72, COLUMN() - ($E27 + 5)), 0))
  )
)</f>
        <v>1671.5701680443333</v>
      </c>
      <c r="BN27" s="33"/>
    </row>
    <row r="28" spans="1:66" x14ac:dyDescent="0.3">
      <c r="A28" s="71">
        <f t="shared" si="2"/>
        <v>23</v>
      </c>
      <c r="B28" s="75">
        <f t="shared" si="4"/>
        <v>6300</v>
      </c>
      <c r="C28" s="81">
        <f>$B28*(1-'Inputs &amp; Assuptions'!$B$12)</f>
        <v>3654.0000000000005</v>
      </c>
      <c r="E28" s="71">
        <f t="shared" si="3"/>
        <v>23</v>
      </c>
      <c r="F28" s="65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>
        <f>+$C28</f>
        <v>3654.0000000000005</v>
      </c>
      <c r="AC28" s="32">
        <f t="array" ref="AC28">IF(COLUMN() - ($E28 + 5) &lt; 0, 0,
  IF(COLUMN() - ($E28 + 5) = 0, $F28,
    AB28 * (1 - IFERROR(INDEX('Inputs &amp; Assuptions'!$B$13:$B$72, COLUMN() - ($E28 + 5)), 0))
  )
)</f>
        <v>3270.3300000000004</v>
      </c>
      <c r="AD28" s="32">
        <f t="array" ref="AD28">IF(COLUMN() - ($E28 + 5) &lt; 0, 0,
  IF(COLUMN() - ($E28 + 5) = 0, $F28,
    AC28 * (1 - IFERROR(INDEX('Inputs &amp; Assuptions'!$B$13:$B$72, COLUMN() - ($E28 + 5)), 0))
  )
)</f>
        <v>3008.7036000000003</v>
      </c>
      <c r="AE28" s="32">
        <f t="array" ref="AE28">IF(COLUMN() - ($E28 + 5) &lt; 0, 0,
  IF(COLUMN() - ($E28 + 5) = 0, $F28,
    AD28 * (1 - IFERROR(INDEX('Inputs &amp; Assuptions'!$B$13:$B$72, COLUMN() - ($E28 + 5)), 0))
  )
)</f>
        <v>2843.2249019999999</v>
      </c>
      <c r="AF28" s="32">
        <f t="array" ref="AF28">IF(COLUMN() - ($E28 + 5) &lt; 0, 0,
  IF(COLUMN() - ($E28 + 5) = 0, $F28,
    AE28 * (1 - IFERROR(INDEX('Inputs &amp; Assuptions'!$B$13:$B$72, COLUMN() - ($E28 + 5)), 0))
  )
)</f>
        <v>2701.0636568999998</v>
      </c>
      <c r="AG28" s="32">
        <f t="array" ref="AG28">IF(COLUMN() - ($E28 + 5) &lt; 0, 0,
  IF(COLUMN() - ($E28 + 5) = 0, $F28,
    AF28 * (1 - IFERROR(INDEX('Inputs &amp; Assuptions'!$B$13:$B$72, COLUMN() - ($E28 + 5)), 0))
  )
)</f>
        <v>2579.5157923395</v>
      </c>
      <c r="AH28" s="32">
        <f t="array" ref="AH28">IF(COLUMN() - ($E28 + 5) &lt; 0, 0,
  IF(COLUMN() - ($E28 + 5) = 0, $F28,
    AG28 * (1 - IFERROR(INDEX('Inputs &amp; Assuptions'!$B$13:$B$72, COLUMN() - ($E28 + 5)), 0))
  )
)</f>
        <v>2476.33516064592</v>
      </c>
      <c r="AI28" s="32">
        <f t="array" ref="AI28">IF(COLUMN() - ($E28 + 5) &lt; 0, 0,
  IF(COLUMN() - ($E28 + 5) = 0, $F28,
    AH28 * (1 - IFERROR(INDEX('Inputs &amp; Assuptions'!$B$13:$B$72, COLUMN() - ($E28 + 5)), 0))
  )
)</f>
        <v>2389.6634300233127</v>
      </c>
      <c r="AJ28" s="32">
        <f t="array" ref="AJ28">IF(COLUMN() - ($E28 + 5) &lt; 0, 0,
  IF(COLUMN() - ($E28 + 5) = 0, $F28,
    AI28 * (1 - IFERROR(INDEX('Inputs &amp; Assuptions'!$B$13:$B$72, COLUMN() - ($E28 + 5)), 0))
  )
)</f>
        <v>2317.9735271226132</v>
      </c>
      <c r="AK28" s="32">
        <f t="array" ref="AK28">IF(COLUMN() - ($E28 + 5) &lt; 0, 0,
  IF(COLUMN() - ($E28 + 5) = 0, $F28,
    AJ28 * (1 - IFERROR(INDEX('Inputs &amp; Assuptions'!$B$13:$B$72, COLUMN() - ($E28 + 5)), 0))
  )
)</f>
        <v>2260.0241889445479</v>
      </c>
      <c r="AL28" s="32">
        <f t="array" ref="AL28">IF(COLUMN() - ($E28 + 5) &lt; 0, 0,
  IF(COLUMN() - ($E28 + 5) = 0, $F28,
    AK28 * (1 - IFERROR(INDEX('Inputs &amp; Assuptions'!$B$13:$B$72, COLUMN() - ($E28 + 5)), 0))
  )
)</f>
        <v>2214.823705165657</v>
      </c>
      <c r="AM28" s="32">
        <f t="array" ref="AM28">IF(COLUMN() - ($E28 + 5) &lt; 0, 0,
  IF(COLUMN() - ($E28 + 5) = 0, $F28,
    AL28 * (1 - IFERROR(INDEX('Inputs &amp; Assuptions'!$B$13:$B$72, COLUMN() - ($E28 + 5)), 0))
  )
)</f>
        <v>2192.6754681140005</v>
      </c>
      <c r="AN28" s="32">
        <f t="array" ref="AN28">IF(COLUMN() - ($E28 + 5) &lt; 0, 0,
  IF(COLUMN() - ($E28 + 5) = 0, $F28,
    AM28 * (1 - IFERROR(INDEX('Inputs &amp; Assuptions'!$B$13:$B$72, COLUMN() - ($E28 + 5)), 0))
  )
)</f>
        <v>2170.7487134328603</v>
      </c>
      <c r="AO28" s="32">
        <f t="array" ref="AO28">IF(COLUMN() - ($E28 + 5) &lt; 0, 0,
  IF(COLUMN() - ($E28 + 5) = 0, $F28,
    AN28 * (1 - IFERROR(INDEX('Inputs &amp; Assuptions'!$B$13:$B$72, COLUMN() - ($E28 + 5)), 0))
  )
)</f>
        <v>2149.0412262985319</v>
      </c>
      <c r="AP28" s="32">
        <f t="array" ref="AP28">IF(COLUMN() - ($E28 + 5) &lt; 0, 0,
  IF(COLUMN() - ($E28 + 5) = 0, $F28,
    AO28 * (1 - IFERROR(INDEX('Inputs &amp; Assuptions'!$B$13:$B$72, COLUMN() - ($E28 + 5)), 0))
  )
)</f>
        <v>2127.5508140355464</v>
      </c>
      <c r="AQ28" s="32">
        <f t="array" ref="AQ28">IF(COLUMN() - ($E28 + 5) &lt; 0, 0,
  IF(COLUMN() - ($E28 + 5) = 0, $F28,
    AP28 * (1 - IFERROR(INDEX('Inputs &amp; Assuptions'!$B$13:$B$72, COLUMN() - ($E28 + 5)), 0))
  )
)</f>
        <v>2106.2753058951907</v>
      </c>
      <c r="AR28" s="32">
        <f t="array" ref="AR28">IF(COLUMN() - ($E28 + 5) &lt; 0, 0,
  IF(COLUMN() - ($E28 + 5) = 0, $F28,
    AQ28 * (1 - IFERROR(INDEX('Inputs &amp; Assuptions'!$B$13:$B$72, COLUMN() - ($E28 + 5)), 0))
  )
)</f>
        <v>2085.212552836239</v>
      </c>
      <c r="AS28" s="32">
        <f t="array" ref="AS28">IF(COLUMN() - ($E28 + 5) &lt; 0, 0,
  IF(COLUMN() - ($E28 + 5) = 0, $F28,
    AR28 * (1 - IFERROR(INDEX('Inputs &amp; Assuptions'!$B$13:$B$72, COLUMN() - ($E28 + 5)), 0))
  )
)</f>
        <v>2064.3604273078768</v>
      </c>
      <c r="AT28" s="32">
        <f t="array" ref="AT28">IF(COLUMN() - ($E28 + 5) &lt; 0, 0,
  IF(COLUMN() - ($E28 + 5) = 0, $F28,
    AS28 * (1 - IFERROR(INDEX('Inputs &amp; Assuptions'!$B$13:$B$72, COLUMN() - ($E28 + 5)), 0))
  )
)</f>
        <v>2043.7168230347979</v>
      </c>
      <c r="AU28" s="32">
        <f t="array" ref="AU28">IF(COLUMN() - ($E28 + 5) &lt; 0, 0,
  IF(COLUMN() - ($E28 + 5) = 0, $F28,
    AT28 * (1 - IFERROR(INDEX('Inputs &amp; Assuptions'!$B$13:$B$72, COLUMN() - ($E28 + 5)), 0))
  )
)</f>
        <v>2023.2796548044498</v>
      </c>
      <c r="AV28" s="32">
        <f t="array" ref="AV28">IF(COLUMN() - ($E28 + 5) &lt; 0, 0,
  IF(COLUMN() - ($E28 + 5) = 0, $F28,
    AU28 * (1 - IFERROR(INDEX('Inputs &amp; Assuptions'!$B$13:$B$72, COLUMN() - ($E28 + 5)), 0))
  )
)</f>
        <v>2003.0468582564054</v>
      </c>
      <c r="AW28" s="32">
        <f t="array" ref="AW28">IF(COLUMN() - ($E28 + 5) &lt; 0, 0,
  IF(COLUMN() - ($E28 + 5) = 0, $F28,
    AV28 * (1 - IFERROR(INDEX('Inputs &amp; Assuptions'!$B$13:$B$72, COLUMN() - ($E28 + 5)), 0))
  )
)</f>
        <v>1983.0163896738413</v>
      </c>
      <c r="AX28" s="32">
        <f t="array" ref="AX28">IF(COLUMN() - ($E28 + 5) &lt; 0, 0,
  IF(COLUMN() - ($E28 + 5) = 0, $F28,
    AW28 * (1 - IFERROR(INDEX('Inputs &amp; Assuptions'!$B$13:$B$72, COLUMN() - ($E28 + 5)), 0))
  )
)</f>
        <v>1963.1862257771029</v>
      </c>
      <c r="AY28" s="32">
        <f t="array" ref="AY28">IF(COLUMN() - ($E28 + 5) &lt; 0, 0,
  IF(COLUMN() - ($E28 + 5) = 0, $F28,
    AX28 * (1 - IFERROR(INDEX('Inputs &amp; Assuptions'!$B$13:$B$72, COLUMN() - ($E28 + 5)), 0))
  )
)</f>
        <v>1943.5543635193319</v>
      </c>
      <c r="AZ28" s="32">
        <f t="array" ref="AZ28">IF(COLUMN() - ($E28 + 5) &lt; 0, 0,
  IF(COLUMN() - ($E28 + 5) = 0, $F28,
    AY28 * (1 - IFERROR(INDEX('Inputs &amp; Assuptions'!$B$13:$B$72, COLUMN() - ($E28 + 5)), 0))
  )
)</f>
        <v>1924.1188198841385</v>
      </c>
      <c r="BA28" s="32">
        <f t="array" ref="BA28">IF(COLUMN() - ($E28 + 5) &lt; 0, 0,
  IF(COLUMN() - ($E28 + 5) = 0, $F28,
    AZ28 * (1 - IFERROR(INDEX('Inputs &amp; Assuptions'!$B$13:$B$72, COLUMN() - ($E28 + 5)), 0))
  )
)</f>
        <v>1904.877631685297</v>
      </c>
      <c r="BB28" s="32">
        <f t="array" ref="BB28">IF(COLUMN() - ($E28 + 5) &lt; 0, 0,
  IF(COLUMN() - ($E28 + 5) = 0, $F28,
    BA28 * (1 - IFERROR(INDEX('Inputs &amp; Assuptions'!$B$13:$B$72, COLUMN() - ($E28 + 5)), 0))
  )
)</f>
        <v>1885.828855368444</v>
      </c>
      <c r="BC28" s="32">
        <f t="array" ref="BC28">IF(COLUMN() - ($E28 + 5) &lt; 0, 0,
  IF(COLUMN() - ($E28 + 5) = 0, $F28,
    BB28 * (1 - IFERROR(INDEX('Inputs &amp; Assuptions'!$B$13:$B$72, COLUMN() - ($E28 + 5)), 0))
  )
)</f>
        <v>1866.9705668147596</v>
      </c>
      <c r="BD28" s="32">
        <f t="array" ref="BD28">IF(COLUMN() - ($E28 + 5) &lt; 0, 0,
  IF(COLUMN() - ($E28 + 5) = 0, $F28,
    BC28 * (1 - IFERROR(INDEX('Inputs &amp; Assuptions'!$B$13:$B$72, COLUMN() - ($E28 + 5)), 0))
  )
)</f>
        <v>1848.3008611466121</v>
      </c>
      <c r="BE28" s="32">
        <f t="array" ref="BE28">IF(COLUMN() - ($E28 + 5) &lt; 0, 0,
  IF(COLUMN() - ($E28 + 5) = 0, $F28,
    BD28 * (1 - IFERROR(INDEX('Inputs &amp; Assuptions'!$B$13:$B$72, COLUMN() - ($E28 + 5)), 0))
  )
)</f>
        <v>1829.8178525351459</v>
      </c>
      <c r="BF28" s="32">
        <f t="array" ref="BF28">IF(COLUMN() - ($E28 + 5) &lt; 0, 0,
  IF(COLUMN() - ($E28 + 5) = 0, $F28,
    BE28 * (1 - IFERROR(INDEX('Inputs &amp; Assuptions'!$B$13:$B$72, COLUMN() - ($E28 + 5)), 0))
  )
)</f>
        <v>1811.5196740097945</v>
      </c>
      <c r="BG28" s="32">
        <f t="array" ref="BG28">IF(COLUMN() - ($E28 + 5) &lt; 0, 0,
  IF(COLUMN() - ($E28 + 5) = 0, $F28,
    BF28 * (1 - IFERROR(INDEX('Inputs &amp; Assuptions'!$B$13:$B$72, COLUMN() - ($E28 + 5)), 0))
  )
)</f>
        <v>1793.4044772696966</v>
      </c>
      <c r="BH28" s="32">
        <f t="array" ref="BH28">IF(COLUMN() - ($E28 + 5) &lt; 0, 0,
  IF(COLUMN() - ($E28 + 5) = 0, $F28,
    BG28 * (1 - IFERROR(INDEX('Inputs &amp; Assuptions'!$B$13:$B$72, COLUMN() - ($E28 + 5)), 0))
  )
)</f>
        <v>1775.4704324969996</v>
      </c>
      <c r="BI28" s="32">
        <f t="array" ref="BI28">IF(COLUMN() - ($E28 + 5) &lt; 0, 0,
  IF(COLUMN() - ($E28 + 5) = 0, $F28,
    BH28 * (1 - IFERROR(INDEX('Inputs &amp; Assuptions'!$B$13:$B$72, COLUMN() - ($E28 + 5)), 0))
  )
)</f>
        <v>1757.7157281720297</v>
      </c>
      <c r="BJ28" s="32">
        <f t="array" ref="BJ28">IF(COLUMN() - ($E28 + 5) &lt; 0, 0,
  IF(COLUMN() - ($E28 + 5) = 0, $F28,
    BI28 * (1 - IFERROR(INDEX('Inputs &amp; Assuptions'!$B$13:$B$72, COLUMN() - ($E28 + 5)), 0))
  )
)</f>
        <v>1740.1385708903094</v>
      </c>
      <c r="BK28" s="32">
        <f t="array" ref="BK28">IF(COLUMN() - ($E28 + 5) &lt; 0, 0,
  IF(COLUMN() - ($E28 + 5) = 0, $F28,
    BJ28 * (1 - IFERROR(INDEX('Inputs &amp; Assuptions'!$B$13:$B$72, COLUMN() - ($E28 + 5)), 0))
  )
)</f>
        <v>1722.7371851814064</v>
      </c>
      <c r="BL28" s="32">
        <f t="array" ref="BL28">IF(COLUMN() - ($E28 + 5) &lt; 0, 0,
  IF(COLUMN() - ($E28 + 5) = 0, $F28,
    BK28 * (1 - IFERROR(INDEX('Inputs &amp; Assuptions'!$B$13:$B$72, COLUMN() - ($E28 + 5)), 0))
  )
)</f>
        <v>1705.5098133295924</v>
      </c>
      <c r="BM28" s="66">
        <f t="array" ref="BM28">IF(COLUMN() - ($E28 + 5) &lt; 0, 0,
  IF(COLUMN() - ($E28 + 5) = 0, $F28,
    BL28 * (1 - IFERROR(INDEX('Inputs &amp; Assuptions'!$B$13:$B$72, COLUMN() - ($E28 + 5)), 0))
  )
)</f>
        <v>1688.4547151962963</v>
      </c>
      <c r="BN28" s="33"/>
    </row>
    <row r="29" spans="1:66" x14ac:dyDescent="0.3">
      <c r="A29" s="71">
        <f t="shared" si="2"/>
        <v>24</v>
      </c>
      <c r="B29" s="75">
        <f t="shared" si="4"/>
        <v>6300</v>
      </c>
      <c r="C29" s="81">
        <f>$B29*(1-'Inputs &amp; Assuptions'!$B$12)</f>
        <v>3654.0000000000005</v>
      </c>
      <c r="E29" s="71">
        <f t="shared" si="3"/>
        <v>24</v>
      </c>
      <c r="F29" s="65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>
        <f>+$C29</f>
        <v>3654.0000000000005</v>
      </c>
      <c r="AD29" s="32">
        <f t="array" ref="AD29">IF(COLUMN() - ($E29 + 5) &lt; 0, 0,
  IF(COLUMN() - ($E29 + 5) = 0, $F29,
    AC29 * (1 - IFERROR(INDEX('Inputs &amp; Assuptions'!$B$13:$B$72, COLUMN() - ($E29 + 5)), 0))
  )
)</f>
        <v>3270.3300000000004</v>
      </c>
      <c r="AE29" s="32">
        <f t="array" ref="AE29">IF(COLUMN() - ($E29 + 5) &lt; 0, 0,
  IF(COLUMN() - ($E29 + 5) = 0, $F29,
    AD29 * (1 - IFERROR(INDEX('Inputs &amp; Assuptions'!$B$13:$B$72, COLUMN() - ($E29 + 5)), 0))
  )
)</f>
        <v>3008.7036000000003</v>
      </c>
      <c r="AF29" s="32">
        <f t="array" ref="AF29">IF(COLUMN() - ($E29 + 5) &lt; 0, 0,
  IF(COLUMN() - ($E29 + 5) = 0, $F29,
    AE29 * (1 - IFERROR(INDEX('Inputs &amp; Assuptions'!$B$13:$B$72, COLUMN() - ($E29 + 5)), 0))
  )
)</f>
        <v>2843.2249019999999</v>
      </c>
      <c r="AG29" s="32">
        <f t="array" ref="AG29">IF(COLUMN() - ($E29 + 5) &lt; 0, 0,
  IF(COLUMN() - ($E29 + 5) = 0, $F29,
    AF29 * (1 - IFERROR(INDEX('Inputs &amp; Assuptions'!$B$13:$B$72, COLUMN() - ($E29 + 5)), 0))
  )
)</f>
        <v>2701.0636568999998</v>
      </c>
      <c r="AH29" s="32">
        <f t="array" ref="AH29">IF(COLUMN() - ($E29 + 5) &lt; 0, 0,
  IF(COLUMN() - ($E29 + 5) = 0, $F29,
    AG29 * (1 - IFERROR(INDEX('Inputs &amp; Assuptions'!$B$13:$B$72, COLUMN() - ($E29 + 5)), 0))
  )
)</f>
        <v>2579.5157923395</v>
      </c>
      <c r="AI29" s="32">
        <f t="array" ref="AI29">IF(COLUMN() - ($E29 + 5) &lt; 0, 0,
  IF(COLUMN() - ($E29 + 5) = 0, $F29,
    AH29 * (1 - IFERROR(INDEX('Inputs &amp; Assuptions'!$B$13:$B$72, COLUMN() - ($E29 + 5)), 0))
  )
)</f>
        <v>2476.33516064592</v>
      </c>
      <c r="AJ29" s="32">
        <f t="array" ref="AJ29">IF(COLUMN() - ($E29 + 5) &lt; 0, 0,
  IF(COLUMN() - ($E29 + 5) = 0, $F29,
    AI29 * (1 - IFERROR(INDEX('Inputs &amp; Assuptions'!$B$13:$B$72, COLUMN() - ($E29 + 5)), 0))
  )
)</f>
        <v>2389.6634300233127</v>
      </c>
      <c r="AK29" s="32">
        <f t="array" ref="AK29">IF(COLUMN() - ($E29 + 5) &lt; 0, 0,
  IF(COLUMN() - ($E29 + 5) = 0, $F29,
    AJ29 * (1 - IFERROR(INDEX('Inputs &amp; Assuptions'!$B$13:$B$72, COLUMN() - ($E29 + 5)), 0))
  )
)</f>
        <v>2317.9735271226132</v>
      </c>
      <c r="AL29" s="32">
        <f t="array" ref="AL29">IF(COLUMN() - ($E29 + 5) &lt; 0, 0,
  IF(COLUMN() - ($E29 + 5) = 0, $F29,
    AK29 * (1 - IFERROR(INDEX('Inputs &amp; Assuptions'!$B$13:$B$72, COLUMN() - ($E29 + 5)), 0))
  )
)</f>
        <v>2260.0241889445479</v>
      </c>
      <c r="AM29" s="32">
        <f t="array" ref="AM29">IF(COLUMN() - ($E29 + 5) &lt; 0, 0,
  IF(COLUMN() - ($E29 + 5) = 0, $F29,
    AL29 * (1 - IFERROR(INDEX('Inputs &amp; Assuptions'!$B$13:$B$72, COLUMN() - ($E29 + 5)), 0))
  )
)</f>
        <v>2214.823705165657</v>
      </c>
      <c r="AN29" s="32">
        <f t="array" ref="AN29">IF(COLUMN() - ($E29 + 5) &lt; 0, 0,
  IF(COLUMN() - ($E29 + 5) = 0, $F29,
    AM29 * (1 - IFERROR(INDEX('Inputs &amp; Assuptions'!$B$13:$B$72, COLUMN() - ($E29 + 5)), 0))
  )
)</f>
        <v>2192.6754681140005</v>
      </c>
      <c r="AO29" s="32">
        <f t="array" ref="AO29">IF(COLUMN() - ($E29 + 5) &lt; 0, 0,
  IF(COLUMN() - ($E29 + 5) = 0, $F29,
    AN29 * (1 - IFERROR(INDEX('Inputs &amp; Assuptions'!$B$13:$B$72, COLUMN() - ($E29 + 5)), 0))
  )
)</f>
        <v>2170.7487134328603</v>
      </c>
      <c r="AP29" s="32">
        <f t="array" ref="AP29">IF(COLUMN() - ($E29 + 5) &lt; 0, 0,
  IF(COLUMN() - ($E29 + 5) = 0, $F29,
    AO29 * (1 - IFERROR(INDEX('Inputs &amp; Assuptions'!$B$13:$B$72, COLUMN() - ($E29 + 5)), 0))
  )
)</f>
        <v>2149.0412262985319</v>
      </c>
      <c r="AQ29" s="32">
        <f t="array" ref="AQ29">IF(COLUMN() - ($E29 + 5) &lt; 0, 0,
  IF(COLUMN() - ($E29 + 5) = 0, $F29,
    AP29 * (1 - IFERROR(INDEX('Inputs &amp; Assuptions'!$B$13:$B$72, COLUMN() - ($E29 + 5)), 0))
  )
)</f>
        <v>2127.5508140355464</v>
      </c>
      <c r="AR29" s="32">
        <f t="array" ref="AR29">IF(COLUMN() - ($E29 + 5) &lt; 0, 0,
  IF(COLUMN() - ($E29 + 5) = 0, $F29,
    AQ29 * (1 - IFERROR(INDEX('Inputs &amp; Assuptions'!$B$13:$B$72, COLUMN() - ($E29 + 5)), 0))
  )
)</f>
        <v>2106.2753058951907</v>
      </c>
      <c r="AS29" s="32">
        <f t="array" ref="AS29">IF(COLUMN() - ($E29 + 5) &lt; 0, 0,
  IF(COLUMN() - ($E29 + 5) = 0, $F29,
    AR29 * (1 - IFERROR(INDEX('Inputs &amp; Assuptions'!$B$13:$B$72, COLUMN() - ($E29 + 5)), 0))
  )
)</f>
        <v>2085.212552836239</v>
      </c>
      <c r="AT29" s="32">
        <f t="array" ref="AT29">IF(COLUMN() - ($E29 + 5) &lt; 0, 0,
  IF(COLUMN() - ($E29 + 5) = 0, $F29,
    AS29 * (1 - IFERROR(INDEX('Inputs &amp; Assuptions'!$B$13:$B$72, COLUMN() - ($E29 + 5)), 0))
  )
)</f>
        <v>2064.3604273078768</v>
      </c>
      <c r="AU29" s="32">
        <f t="array" ref="AU29">IF(COLUMN() - ($E29 + 5) &lt; 0, 0,
  IF(COLUMN() - ($E29 + 5) = 0, $F29,
    AT29 * (1 - IFERROR(INDEX('Inputs &amp; Assuptions'!$B$13:$B$72, COLUMN() - ($E29 + 5)), 0))
  )
)</f>
        <v>2043.7168230347979</v>
      </c>
      <c r="AV29" s="32">
        <f t="array" ref="AV29">IF(COLUMN() - ($E29 + 5) &lt; 0, 0,
  IF(COLUMN() - ($E29 + 5) = 0, $F29,
    AU29 * (1 - IFERROR(INDEX('Inputs &amp; Assuptions'!$B$13:$B$72, COLUMN() - ($E29 + 5)), 0))
  )
)</f>
        <v>2023.2796548044498</v>
      </c>
      <c r="AW29" s="32">
        <f t="array" ref="AW29">IF(COLUMN() - ($E29 + 5) &lt; 0, 0,
  IF(COLUMN() - ($E29 + 5) = 0, $F29,
    AV29 * (1 - IFERROR(INDEX('Inputs &amp; Assuptions'!$B$13:$B$72, COLUMN() - ($E29 + 5)), 0))
  )
)</f>
        <v>2003.0468582564054</v>
      </c>
      <c r="AX29" s="32">
        <f t="array" ref="AX29">IF(COLUMN() - ($E29 + 5) &lt; 0, 0,
  IF(COLUMN() - ($E29 + 5) = 0, $F29,
    AW29 * (1 - IFERROR(INDEX('Inputs &amp; Assuptions'!$B$13:$B$72, COLUMN() - ($E29 + 5)), 0))
  )
)</f>
        <v>1983.0163896738413</v>
      </c>
      <c r="AY29" s="32">
        <f t="array" ref="AY29">IF(COLUMN() - ($E29 + 5) &lt; 0, 0,
  IF(COLUMN() - ($E29 + 5) = 0, $F29,
    AX29 * (1 - IFERROR(INDEX('Inputs &amp; Assuptions'!$B$13:$B$72, COLUMN() - ($E29 + 5)), 0))
  )
)</f>
        <v>1963.1862257771029</v>
      </c>
      <c r="AZ29" s="32">
        <f t="array" ref="AZ29">IF(COLUMN() - ($E29 + 5) &lt; 0, 0,
  IF(COLUMN() - ($E29 + 5) = 0, $F29,
    AY29 * (1 - IFERROR(INDEX('Inputs &amp; Assuptions'!$B$13:$B$72, COLUMN() - ($E29 + 5)), 0))
  )
)</f>
        <v>1943.5543635193319</v>
      </c>
      <c r="BA29" s="32">
        <f t="array" ref="BA29">IF(COLUMN() - ($E29 + 5) &lt; 0, 0,
  IF(COLUMN() - ($E29 + 5) = 0, $F29,
    AZ29 * (1 - IFERROR(INDEX('Inputs &amp; Assuptions'!$B$13:$B$72, COLUMN() - ($E29 + 5)), 0))
  )
)</f>
        <v>1924.1188198841385</v>
      </c>
      <c r="BB29" s="32">
        <f t="array" ref="BB29">IF(COLUMN() - ($E29 + 5) &lt; 0, 0,
  IF(COLUMN() - ($E29 + 5) = 0, $F29,
    BA29 * (1 - IFERROR(INDEX('Inputs &amp; Assuptions'!$B$13:$B$72, COLUMN() - ($E29 + 5)), 0))
  )
)</f>
        <v>1904.877631685297</v>
      </c>
      <c r="BC29" s="32">
        <f t="array" ref="BC29">IF(COLUMN() - ($E29 + 5) &lt; 0, 0,
  IF(COLUMN() - ($E29 + 5) = 0, $F29,
    BB29 * (1 - IFERROR(INDEX('Inputs &amp; Assuptions'!$B$13:$B$72, COLUMN() - ($E29 + 5)), 0))
  )
)</f>
        <v>1885.828855368444</v>
      </c>
      <c r="BD29" s="32">
        <f t="array" ref="BD29">IF(COLUMN() - ($E29 + 5) &lt; 0, 0,
  IF(COLUMN() - ($E29 + 5) = 0, $F29,
    BC29 * (1 - IFERROR(INDEX('Inputs &amp; Assuptions'!$B$13:$B$72, COLUMN() - ($E29 + 5)), 0))
  )
)</f>
        <v>1866.9705668147596</v>
      </c>
      <c r="BE29" s="32">
        <f t="array" ref="BE29">IF(COLUMN() - ($E29 + 5) &lt; 0, 0,
  IF(COLUMN() - ($E29 + 5) = 0, $F29,
    BD29 * (1 - IFERROR(INDEX('Inputs &amp; Assuptions'!$B$13:$B$72, COLUMN() - ($E29 + 5)), 0))
  )
)</f>
        <v>1848.3008611466121</v>
      </c>
      <c r="BF29" s="32">
        <f t="array" ref="BF29">IF(COLUMN() - ($E29 + 5) &lt; 0, 0,
  IF(COLUMN() - ($E29 + 5) = 0, $F29,
    BE29 * (1 - IFERROR(INDEX('Inputs &amp; Assuptions'!$B$13:$B$72, COLUMN() - ($E29 + 5)), 0))
  )
)</f>
        <v>1829.8178525351459</v>
      </c>
      <c r="BG29" s="32">
        <f t="array" ref="BG29">IF(COLUMN() - ($E29 + 5) &lt; 0, 0,
  IF(COLUMN() - ($E29 + 5) = 0, $F29,
    BF29 * (1 - IFERROR(INDEX('Inputs &amp; Assuptions'!$B$13:$B$72, COLUMN() - ($E29 + 5)), 0))
  )
)</f>
        <v>1811.5196740097945</v>
      </c>
      <c r="BH29" s="32">
        <f t="array" ref="BH29">IF(COLUMN() - ($E29 + 5) &lt; 0, 0,
  IF(COLUMN() - ($E29 + 5) = 0, $F29,
    BG29 * (1 - IFERROR(INDEX('Inputs &amp; Assuptions'!$B$13:$B$72, COLUMN() - ($E29 + 5)), 0))
  )
)</f>
        <v>1793.4044772696966</v>
      </c>
      <c r="BI29" s="32">
        <f t="array" ref="BI29">IF(COLUMN() - ($E29 + 5) &lt; 0, 0,
  IF(COLUMN() - ($E29 + 5) = 0, $F29,
    BH29 * (1 - IFERROR(INDEX('Inputs &amp; Assuptions'!$B$13:$B$72, COLUMN() - ($E29 + 5)), 0))
  )
)</f>
        <v>1775.4704324969996</v>
      </c>
      <c r="BJ29" s="32">
        <f t="array" ref="BJ29">IF(COLUMN() - ($E29 + 5) &lt; 0, 0,
  IF(COLUMN() - ($E29 + 5) = 0, $F29,
    BI29 * (1 - IFERROR(INDEX('Inputs &amp; Assuptions'!$B$13:$B$72, COLUMN() - ($E29 + 5)), 0))
  )
)</f>
        <v>1757.7157281720297</v>
      </c>
      <c r="BK29" s="32">
        <f t="array" ref="BK29">IF(COLUMN() - ($E29 + 5) &lt; 0, 0,
  IF(COLUMN() - ($E29 + 5) = 0, $F29,
    BJ29 * (1 - IFERROR(INDEX('Inputs &amp; Assuptions'!$B$13:$B$72, COLUMN() - ($E29 + 5)), 0))
  )
)</f>
        <v>1740.1385708903094</v>
      </c>
      <c r="BL29" s="32">
        <f t="array" ref="BL29">IF(COLUMN() - ($E29 + 5) &lt; 0, 0,
  IF(COLUMN() - ($E29 + 5) = 0, $F29,
    BK29 * (1 - IFERROR(INDEX('Inputs &amp; Assuptions'!$B$13:$B$72, COLUMN() - ($E29 + 5)), 0))
  )
)</f>
        <v>1722.7371851814064</v>
      </c>
      <c r="BM29" s="66">
        <f t="array" ref="BM29">IF(COLUMN() - ($E29 + 5) &lt; 0, 0,
  IF(COLUMN() - ($E29 + 5) = 0, $F29,
    BL29 * (1 - IFERROR(INDEX('Inputs &amp; Assuptions'!$B$13:$B$72, COLUMN() - ($E29 + 5)), 0))
  )
)</f>
        <v>1705.5098133295924</v>
      </c>
      <c r="BN29" s="33"/>
    </row>
    <row r="30" spans="1:66" x14ac:dyDescent="0.3">
      <c r="A30" s="71">
        <f t="shared" si="2"/>
        <v>25</v>
      </c>
      <c r="B30" s="75">
        <f t="shared" si="4"/>
        <v>6615</v>
      </c>
      <c r="C30" s="81">
        <f>$B30*(1-'Inputs &amp; Assuptions'!$B$12)</f>
        <v>3836.7000000000003</v>
      </c>
      <c r="E30" s="71">
        <f t="shared" si="3"/>
        <v>25</v>
      </c>
      <c r="F30" s="65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>
        <f>+$C30</f>
        <v>3836.7000000000003</v>
      </c>
      <c r="AE30" s="32">
        <f t="array" ref="AE30">IF(COLUMN() - ($E30 + 5) &lt; 0, 0,
  IF(COLUMN() - ($E30 + 5) = 0, $F30,
    AD30 * (1 - IFERROR(INDEX('Inputs &amp; Assuptions'!$B$13:$B$72, COLUMN() - ($E30 + 5)), 0))
  )
)</f>
        <v>3433.8465000000001</v>
      </c>
      <c r="AF30" s="32">
        <f t="array" ref="AF30">IF(COLUMN() - ($E30 + 5) &lt; 0, 0,
  IF(COLUMN() - ($E30 + 5) = 0, $F30,
    AE30 * (1 - IFERROR(INDEX('Inputs &amp; Assuptions'!$B$13:$B$72, COLUMN() - ($E30 + 5)), 0))
  )
)</f>
        <v>3159.1387800000002</v>
      </c>
      <c r="AG30" s="32">
        <f t="array" ref="AG30">IF(COLUMN() - ($E30 + 5) &lt; 0, 0,
  IF(COLUMN() - ($E30 + 5) = 0, $F30,
    AF30 * (1 - IFERROR(INDEX('Inputs &amp; Assuptions'!$B$13:$B$72, COLUMN() - ($E30 + 5)), 0))
  )
)</f>
        <v>2985.3861471</v>
      </c>
      <c r="AH30" s="32">
        <f t="array" ref="AH30">IF(COLUMN() - ($E30 + 5) &lt; 0, 0,
  IF(COLUMN() - ($E30 + 5) = 0, $F30,
    AG30 * (1 - IFERROR(INDEX('Inputs &amp; Assuptions'!$B$13:$B$72, COLUMN() - ($E30 + 5)), 0))
  )
)</f>
        <v>2836.1168397450001</v>
      </c>
      <c r="AI30" s="32">
        <f t="array" ref="AI30">IF(COLUMN() - ($E30 + 5) &lt; 0, 0,
  IF(COLUMN() - ($E30 + 5) = 0, $F30,
    AH30 * (1 - IFERROR(INDEX('Inputs &amp; Assuptions'!$B$13:$B$72, COLUMN() - ($E30 + 5)), 0))
  )
)</f>
        <v>2708.4915819564749</v>
      </c>
      <c r="AJ30" s="32">
        <f t="array" ref="AJ30">IF(COLUMN() - ($E30 + 5) &lt; 0, 0,
  IF(COLUMN() - ($E30 + 5) = 0, $F30,
    AI30 * (1 - IFERROR(INDEX('Inputs &amp; Assuptions'!$B$13:$B$72, COLUMN() - ($E30 + 5)), 0))
  )
)</f>
        <v>2600.1519186782157</v>
      </c>
      <c r="AK30" s="32">
        <f t="array" ref="AK30">IF(COLUMN() - ($E30 + 5) &lt; 0, 0,
  IF(COLUMN() - ($E30 + 5) = 0, $F30,
    AJ30 * (1 - IFERROR(INDEX('Inputs &amp; Assuptions'!$B$13:$B$72, COLUMN() - ($E30 + 5)), 0))
  )
)</f>
        <v>2509.1466015244782</v>
      </c>
      <c r="AL30" s="32">
        <f t="array" ref="AL30">IF(COLUMN() - ($E30 + 5) &lt; 0, 0,
  IF(COLUMN() - ($E30 + 5) = 0, $F30,
    AK30 * (1 - IFERROR(INDEX('Inputs &amp; Assuptions'!$B$13:$B$72, COLUMN() - ($E30 + 5)), 0))
  )
)</f>
        <v>2433.8722034787438</v>
      </c>
      <c r="AM30" s="32">
        <f t="array" ref="AM30">IF(COLUMN() - ($E30 + 5) &lt; 0, 0,
  IF(COLUMN() - ($E30 + 5) = 0, $F30,
    AL30 * (1 - IFERROR(INDEX('Inputs &amp; Assuptions'!$B$13:$B$72, COLUMN() - ($E30 + 5)), 0))
  )
)</f>
        <v>2373.0253983917751</v>
      </c>
      <c r="AN30" s="32">
        <f t="array" ref="AN30">IF(COLUMN() - ($E30 + 5) &lt; 0, 0,
  IF(COLUMN() - ($E30 + 5) = 0, $F30,
    AM30 * (1 - IFERROR(INDEX('Inputs &amp; Assuptions'!$B$13:$B$72, COLUMN() - ($E30 + 5)), 0))
  )
)</f>
        <v>2325.5648904239397</v>
      </c>
      <c r="AO30" s="32">
        <f t="array" ref="AO30">IF(COLUMN() - ($E30 + 5) &lt; 0, 0,
  IF(COLUMN() - ($E30 + 5) = 0, $F30,
    AN30 * (1 - IFERROR(INDEX('Inputs &amp; Assuptions'!$B$13:$B$72, COLUMN() - ($E30 + 5)), 0))
  )
)</f>
        <v>2302.3092415197002</v>
      </c>
      <c r="AP30" s="32">
        <f t="array" ref="AP30">IF(COLUMN() - ($E30 + 5) &lt; 0, 0,
  IF(COLUMN() - ($E30 + 5) = 0, $F30,
    AO30 * (1 - IFERROR(INDEX('Inputs &amp; Assuptions'!$B$13:$B$72, COLUMN() - ($E30 + 5)), 0))
  )
)</f>
        <v>2279.2861491045032</v>
      </c>
      <c r="AQ30" s="32">
        <f t="array" ref="AQ30">IF(COLUMN() - ($E30 + 5) &lt; 0, 0,
  IF(COLUMN() - ($E30 + 5) = 0, $F30,
    AP30 * (1 - IFERROR(INDEX('Inputs &amp; Assuptions'!$B$13:$B$72, COLUMN() - ($E30 + 5)), 0))
  )
)</f>
        <v>2256.4932876134581</v>
      </c>
      <c r="AR30" s="32">
        <f t="array" ref="AR30">IF(COLUMN() - ($E30 + 5) &lt; 0, 0,
  IF(COLUMN() - ($E30 + 5) = 0, $F30,
    AQ30 * (1 - IFERROR(INDEX('Inputs &amp; Assuptions'!$B$13:$B$72, COLUMN() - ($E30 + 5)), 0))
  )
)</f>
        <v>2233.9283547373234</v>
      </c>
      <c r="AS30" s="32">
        <f t="array" ref="AS30">IF(COLUMN() - ($E30 + 5) &lt; 0, 0,
  IF(COLUMN() - ($E30 + 5) = 0, $F30,
    AR30 * (1 - IFERROR(INDEX('Inputs &amp; Assuptions'!$B$13:$B$72, COLUMN() - ($E30 + 5)), 0))
  )
)</f>
        <v>2211.5890711899501</v>
      </c>
      <c r="AT30" s="32">
        <f t="array" ref="AT30">IF(COLUMN() - ($E30 + 5) &lt; 0, 0,
  IF(COLUMN() - ($E30 + 5) = 0, $F30,
    AS30 * (1 - IFERROR(INDEX('Inputs &amp; Assuptions'!$B$13:$B$72, COLUMN() - ($E30 + 5)), 0))
  )
)</f>
        <v>2189.4731804780504</v>
      </c>
      <c r="AU30" s="32">
        <f t="array" ref="AU30">IF(COLUMN() - ($E30 + 5) &lt; 0, 0,
  IF(COLUMN() - ($E30 + 5) = 0, $F30,
    AT30 * (1 - IFERROR(INDEX('Inputs &amp; Assuptions'!$B$13:$B$72, COLUMN() - ($E30 + 5)), 0))
  )
)</f>
        <v>2167.57844867327</v>
      </c>
      <c r="AV30" s="32">
        <f t="array" ref="AV30">IF(COLUMN() - ($E30 + 5) &lt; 0, 0,
  IF(COLUMN() - ($E30 + 5) = 0, $F30,
    AU30 * (1 - IFERROR(INDEX('Inputs &amp; Assuptions'!$B$13:$B$72, COLUMN() - ($E30 + 5)), 0))
  )
)</f>
        <v>2145.9026641865371</v>
      </c>
      <c r="AW30" s="32">
        <f t="array" ref="AW30">IF(COLUMN() - ($E30 + 5) &lt; 0, 0,
  IF(COLUMN() - ($E30 + 5) = 0, $F30,
    AV30 * (1 - IFERROR(INDEX('Inputs &amp; Assuptions'!$B$13:$B$72, COLUMN() - ($E30 + 5)), 0))
  )
)</f>
        <v>2124.4436375446717</v>
      </c>
      <c r="AX30" s="32">
        <f t="array" ref="AX30">IF(COLUMN() - ($E30 + 5) &lt; 0, 0,
  IF(COLUMN() - ($E30 + 5) = 0, $F30,
    AW30 * (1 - IFERROR(INDEX('Inputs &amp; Assuptions'!$B$13:$B$72, COLUMN() - ($E30 + 5)), 0))
  )
)</f>
        <v>2103.199201169225</v>
      </c>
      <c r="AY30" s="32">
        <f t="array" ref="AY30">IF(COLUMN() - ($E30 + 5) &lt; 0, 0,
  IF(COLUMN() - ($E30 + 5) = 0, $F30,
    AX30 * (1 - IFERROR(INDEX('Inputs &amp; Assuptions'!$B$13:$B$72, COLUMN() - ($E30 + 5)), 0))
  )
)</f>
        <v>2082.1672091575329</v>
      </c>
      <c r="AZ30" s="32">
        <f t="array" ref="AZ30">IF(COLUMN() - ($E30 + 5) &lt; 0, 0,
  IF(COLUMN() - ($E30 + 5) = 0, $F30,
    AY30 * (1 - IFERROR(INDEX('Inputs &amp; Assuptions'!$B$13:$B$72, COLUMN() - ($E30 + 5)), 0))
  )
)</f>
        <v>2061.3455370659576</v>
      </c>
      <c r="BA30" s="32">
        <f t="array" ref="BA30">IF(COLUMN() - ($E30 + 5) &lt; 0, 0,
  IF(COLUMN() - ($E30 + 5) = 0, $F30,
    AZ30 * (1 - IFERROR(INDEX('Inputs &amp; Assuptions'!$B$13:$B$72, COLUMN() - ($E30 + 5)), 0))
  )
)</f>
        <v>2040.7320816952981</v>
      </c>
      <c r="BB30" s="32">
        <f t="array" ref="BB30">IF(COLUMN() - ($E30 + 5) &lt; 0, 0,
  IF(COLUMN() - ($E30 + 5) = 0, $F30,
    BA30 * (1 - IFERROR(INDEX('Inputs &amp; Assuptions'!$B$13:$B$72, COLUMN() - ($E30 + 5)), 0))
  )
)</f>
        <v>2020.3247608783452</v>
      </c>
      <c r="BC30" s="32">
        <f t="array" ref="BC30">IF(COLUMN() - ($E30 + 5) &lt; 0, 0,
  IF(COLUMN() - ($E30 + 5) = 0, $F30,
    BB30 * (1 - IFERROR(INDEX('Inputs &amp; Assuptions'!$B$13:$B$72, COLUMN() - ($E30 + 5)), 0))
  )
)</f>
        <v>2000.1215132695618</v>
      </c>
      <c r="BD30" s="32">
        <f t="array" ref="BD30">IF(COLUMN() - ($E30 + 5) &lt; 0, 0,
  IF(COLUMN() - ($E30 + 5) = 0, $F30,
    BC30 * (1 - IFERROR(INDEX('Inputs &amp; Assuptions'!$B$13:$B$72, COLUMN() - ($E30 + 5)), 0))
  )
)</f>
        <v>1980.120298136866</v>
      </c>
      <c r="BE30" s="32">
        <f t="array" ref="BE30">IF(COLUMN() - ($E30 + 5) &lt; 0, 0,
  IF(COLUMN() - ($E30 + 5) = 0, $F30,
    BD30 * (1 - IFERROR(INDEX('Inputs &amp; Assuptions'!$B$13:$B$72, COLUMN() - ($E30 + 5)), 0))
  )
)</f>
        <v>1960.3190951554973</v>
      </c>
      <c r="BF30" s="32">
        <f t="array" ref="BF30">IF(COLUMN() - ($E30 + 5) &lt; 0, 0,
  IF(COLUMN() - ($E30 + 5) = 0, $F30,
    BE30 * (1 - IFERROR(INDEX('Inputs &amp; Assuptions'!$B$13:$B$72, COLUMN() - ($E30 + 5)), 0))
  )
)</f>
        <v>1940.7159042039423</v>
      </c>
      <c r="BG30" s="32">
        <f t="array" ref="BG30">IF(COLUMN() - ($E30 + 5) &lt; 0, 0,
  IF(COLUMN() - ($E30 + 5) = 0, $F30,
    BF30 * (1 - IFERROR(INDEX('Inputs &amp; Assuptions'!$B$13:$B$72, COLUMN() - ($E30 + 5)), 0))
  )
)</f>
        <v>1921.3087451619028</v>
      </c>
      <c r="BH30" s="32">
        <f t="array" ref="BH30">IF(COLUMN() - ($E30 + 5) &lt; 0, 0,
  IF(COLUMN() - ($E30 + 5) = 0, $F30,
    BG30 * (1 - IFERROR(INDEX('Inputs &amp; Assuptions'!$B$13:$B$72, COLUMN() - ($E30 + 5)), 0))
  )
)</f>
        <v>1902.0956577102838</v>
      </c>
      <c r="BI30" s="32">
        <f t="array" ref="BI30">IF(COLUMN() - ($E30 + 5) &lt; 0, 0,
  IF(COLUMN() - ($E30 + 5) = 0, $F30,
    BH30 * (1 - IFERROR(INDEX('Inputs &amp; Assuptions'!$B$13:$B$72, COLUMN() - ($E30 + 5)), 0))
  )
)</f>
        <v>1883.074701133181</v>
      </c>
      <c r="BJ30" s="32">
        <f t="array" ref="BJ30">IF(COLUMN() - ($E30 + 5) &lt; 0, 0,
  IF(COLUMN() - ($E30 + 5) = 0, $F30,
    BI30 * (1 - IFERROR(INDEX('Inputs &amp; Assuptions'!$B$13:$B$72, COLUMN() - ($E30 + 5)), 0))
  )
)</f>
        <v>1864.2439541218491</v>
      </c>
      <c r="BK30" s="32">
        <f t="array" ref="BK30">IF(COLUMN() - ($E30 + 5) &lt; 0, 0,
  IF(COLUMN() - ($E30 + 5) = 0, $F30,
    BJ30 * (1 - IFERROR(INDEX('Inputs &amp; Assuptions'!$B$13:$B$72, COLUMN() - ($E30 + 5)), 0))
  )
)</f>
        <v>1845.6015145806307</v>
      </c>
      <c r="BL30" s="32">
        <f t="array" ref="BL30">IF(COLUMN() - ($E30 + 5) &lt; 0, 0,
  IF(COLUMN() - ($E30 + 5) = 0, $F30,
    BK30 * (1 - IFERROR(INDEX('Inputs &amp; Assuptions'!$B$13:$B$72, COLUMN() - ($E30 + 5)), 0))
  )
)</f>
        <v>1827.1454994348244</v>
      </c>
      <c r="BM30" s="66">
        <f t="array" ref="BM30">IF(COLUMN() - ($E30 + 5) &lt; 0, 0,
  IF(COLUMN() - ($E30 + 5) = 0, $F30,
    BL30 * (1 - IFERROR(INDEX('Inputs &amp; Assuptions'!$B$13:$B$72, COLUMN() - ($E30 + 5)), 0))
  )
)</f>
        <v>1808.8740444404762</v>
      </c>
      <c r="BN30" s="33"/>
    </row>
    <row r="31" spans="1:66" x14ac:dyDescent="0.3">
      <c r="A31" s="71">
        <f t="shared" si="2"/>
        <v>26</v>
      </c>
      <c r="B31" s="75">
        <f t="shared" si="4"/>
        <v>6615</v>
      </c>
      <c r="C31" s="81">
        <f>$B31*(1-'Inputs &amp; Assuptions'!$B$12)</f>
        <v>3836.7000000000003</v>
      </c>
      <c r="E31" s="71">
        <f t="shared" si="3"/>
        <v>26</v>
      </c>
      <c r="F31" s="65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>
        <f>+$C31</f>
        <v>3836.7000000000003</v>
      </c>
      <c r="AF31" s="32">
        <f t="array" ref="AF31">IF(COLUMN() - ($E31 + 5) &lt; 0, 0,
  IF(COLUMN() - ($E31 + 5) = 0, $F31,
    AE31 * (1 - IFERROR(INDEX('Inputs &amp; Assuptions'!$B$13:$B$72, COLUMN() - ($E31 + 5)), 0))
  )
)</f>
        <v>3433.8465000000001</v>
      </c>
      <c r="AG31" s="32">
        <f t="array" ref="AG31">IF(COLUMN() - ($E31 + 5) &lt; 0, 0,
  IF(COLUMN() - ($E31 + 5) = 0, $F31,
    AF31 * (1 - IFERROR(INDEX('Inputs &amp; Assuptions'!$B$13:$B$72, COLUMN() - ($E31 + 5)), 0))
  )
)</f>
        <v>3159.1387800000002</v>
      </c>
      <c r="AH31" s="32">
        <f t="array" ref="AH31">IF(COLUMN() - ($E31 + 5) &lt; 0, 0,
  IF(COLUMN() - ($E31 + 5) = 0, $F31,
    AG31 * (1 - IFERROR(INDEX('Inputs &amp; Assuptions'!$B$13:$B$72, COLUMN() - ($E31 + 5)), 0))
  )
)</f>
        <v>2985.3861471</v>
      </c>
      <c r="AI31" s="32">
        <f t="array" ref="AI31">IF(COLUMN() - ($E31 + 5) &lt; 0, 0,
  IF(COLUMN() - ($E31 + 5) = 0, $F31,
    AH31 * (1 - IFERROR(INDEX('Inputs &amp; Assuptions'!$B$13:$B$72, COLUMN() - ($E31 + 5)), 0))
  )
)</f>
        <v>2836.1168397450001</v>
      </c>
      <c r="AJ31" s="32">
        <f t="array" ref="AJ31">IF(COLUMN() - ($E31 + 5) &lt; 0, 0,
  IF(COLUMN() - ($E31 + 5) = 0, $F31,
    AI31 * (1 - IFERROR(INDEX('Inputs &amp; Assuptions'!$B$13:$B$72, COLUMN() - ($E31 + 5)), 0))
  )
)</f>
        <v>2708.4915819564749</v>
      </c>
      <c r="AK31" s="32">
        <f t="array" ref="AK31">IF(COLUMN() - ($E31 + 5) &lt; 0, 0,
  IF(COLUMN() - ($E31 + 5) = 0, $F31,
    AJ31 * (1 - IFERROR(INDEX('Inputs &amp; Assuptions'!$B$13:$B$72, COLUMN() - ($E31 + 5)), 0))
  )
)</f>
        <v>2600.1519186782157</v>
      </c>
      <c r="AL31" s="32">
        <f t="array" ref="AL31">IF(COLUMN() - ($E31 + 5) &lt; 0, 0,
  IF(COLUMN() - ($E31 + 5) = 0, $F31,
    AK31 * (1 - IFERROR(INDEX('Inputs &amp; Assuptions'!$B$13:$B$72, COLUMN() - ($E31 + 5)), 0))
  )
)</f>
        <v>2509.1466015244782</v>
      </c>
      <c r="AM31" s="32">
        <f t="array" ref="AM31">IF(COLUMN() - ($E31 + 5) &lt; 0, 0,
  IF(COLUMN() - ($E31 + 5) = 0, $F31,
    AL31 * (1 - IFERROR(INDEX('Inputs &amp; Assuptions'!$B$13:$B$72, COLUMN() - ($E31 + 5)), 0))
  )
)</f>
        <v>2433.8722034787438</v>
      </c>
      <c r="AN31" s="32">
        <f t="array" ref="AN31">IF(COLUMN() - ($E31 + 5) &lt; 0, 0,
  IF(COLUMN() - ($E31 + 5) = 0, $F31,
    AM31 * (1 - IFERROR(INDEX('Inputs &amp; Assuptions'!$B$13:$B$72, COLUMN() - ($E31 + 5)), 0))
  )
)</f>
        <v>2373.0253983917751</v>
      </c>
      <c r="AO31" s="32">
        <f t="array" ref="AO31">IF(COLUMN() - ($E31 + 5) &lt; 0, 0,
  IF(COLUMN() - ($E31 + 5) = 0, $F31,
    AN31 * (1 - IFERROR(INDEX('Inputs &amp; Assuptions'!$B$13:$B$72, COLUMN() - ($E31 + 5)), 0))
  )
)</f>
        <v>2325.5648904239397</v>
      </c>
      <c r="AP31" s="32">
        <f t="array" ref="AP31">IF(COLUMN() - ($E31 + 5) &lt; 0, 0,
  IF(COLUMN() - ($E31 + 5) = 0, $F31,
    AO31 * (1 - IFERROR(INDEX('Inputs &amp; Assuptions'!$B$13:$B$72, COLUMN() - ($E31 + 5)), 0))
  )
)</f>
        <v>2302.3092415197002</v>
      </c>
      <c r="AQ31" s="32">
        <f t="array" ref="AQ31">IF(COLUMN() - ($E31 + 5) &lt; 0, 0,
  IF(COLUMN() - ($E31 + 5) = 0, $F31,
    AP31 * (1 - IFERROR(INDEX('Inputs &amp; Assuptions'!$B$13:$B$72, COLUMN() - ($E31 + 5)), 0))
  )
)</f>
        <v>2279.2861491045032</v>
      </c>
      <c r="AR31" s="32">
        <f t="array" ref="AR31">IF(COLUMN() - ($E31 + 5) &lt; 0, 0,
  IF(COLUMN() - ($E31 + 5) = 0, $F31,
    AQ31 * (1 - IFERROR(INDEX('Inputs &amp; Assuptions'!$B$13:$B$72, COLUMN() - ($E31 + 5)), 0))
  )
)</f>
        <v>2256.4932876134581</v>
      </c>
      <c r="AS31" s="32">
        <f t="array" ref="AS31">IF(COLUMN() - ($E31 + 5) &lt; 0, 0,
  IF(COLUMN() - ($E31 + 5) = 0, $F31,
    AR31 * (1 - IFERROR(INDEX('Inputs &amp; Assuptions'!$B$13:$B$72, COLUMN() - ($E31 + 5)), 0))
  )
)</f>
        <v>2233.9283547373234</v>
      </c>
      <c r="AT31" s="32">
        <f t="array" ref="AT31">IF(COLUMN() - ($E31 + 5) &lt; 0, 0,
  IF(COLUMN() - ($E31 + 5) = 0, $F31,
    AS31 * (1 - IFERROR(INDEX('Inputs &amp; Assuptions'!$B$13:$B$72, COLUMN() - ($E31 + 5)), 0))
  )
)</f>
        <v>2211.5890711899501</v>
      </c>
      <c r="AU31" s="32">
        <f t="array" ref="AU31">IF(COLUMN() - ($E31 + 5) &lt; 0, 0,
  IF(COLUMN() - ($E31 + 5) = 0, $F31,
    AT31 * (1 - IFERROR(INDEX('Inputs &amp; Assuptions'!$B$13:$B$72, COLUMN() - ($E31 + 5)), 0))
  )
)</f>
        <v>2189.4731804780504</v>
      </c>
      <c r="AV31" s="32">
        <f t="array" ref="AV31">IF(COLUMN() - ($E31 + 5) &lt; 0, 0,
  IF(COLUMN() - ($E31 + 5) = 0, $F31,
    AU31 * (1 - IFERROR(INDEX('Inputs &amp; Assuptions'!$B$13:$B$72, COLUMN() - ($E31 + 5)), 0))
  )
)</f>
        <v>2167.57844867327</v>
      </c>
      <c r="AW31" s="32">
        <f t="array" ref="AW31">IF(COLUMN() - ($E31 + 5) &lt; 0, 0,
  IF(COLUMN() - ($E31 + 5) = 0, $F31,
    AV31 * (1 - IFERROR(INDEX('Inputs &amp; Assuptions'!$B$13:$B$72, COLUMN() - ($E31 + 5)), 0))
  )
)</f>
        <v>2145.9026641865371</v>
      </c>
      <c r="AX31" s="32">
        <f t="array" ref="AX31">IF(COLUMN() - ($E31 + 5) &lt; 0, 0,
  IF(COLUMN() - ($E31 + 5) = 0, $F31,
    AW31 * (1 - IFERROR(INDEX('Inputs &amp; Assuptions'!$B$13:$B$72, COLUMN() - ($E31 + 5)), 0))
  )
)</f>
        <v>2124.4436375446717</v>
      </c>
      <c r="AY31" s="32">
        <f t="array" ref="AY31">IF(COLUMN() - ($E31 + 5) &lt; 0, 0,
  IF(COLUMN() - ($E31 + 5) = 0, $F31,
    AX31 * (1 - IFERROR(INDEX('Inputs &amp; Assuptions'!$B$13:$B$72, COLUMN() - ($E31 + 5)), 0))
  )
)</f>
        <v>2103.199201169225</v>
      </c>
      <c r="AZ31" s="32">
        <f t="array" ref="AZ31">IF(COLUMN() - ($E31 + 5) &lt; 0, 0,
  IF(COLUMN() - ($E31 + 5) = 0, $F31,
    AY31 * (1 - IFERROR(INDEX('Inputs &amp; Assuptions'!$B$13:$B$72, COLUMN() - ($E31 + 5)), 0))
  )
)</f>
        <v>2082.1672091575329</v>
      </c>
      <c r="BA31" s="32">
        <f t="array" ref="BA31">IF(COLUMN() - ($E31 + 5) &lt; 0, 0,
  IF(COLUMN() - ($E31 + 5) = 0, $F31,
    AZ31 * (1 - IFERROR(INDEX('Inputs &amp; Assuptions'!$B$13:$B$72, COLUMN() - ($E31 + 5)), 0))
  )
)</f>
        <v>2061.3455370659576</v>
      </c>
      <c r="BB31" s="32">
        <f t="array" ref="BB31">IF(COLUMN() - ($E31 + 5) &lt; 0, 0,
  IF(COLUMN() - ($E31 + 5) = 0, $F31,
    BA31 * (1 - IFERROR(INDEX('Inputs &amp; Assuptions'!$B$13:$B$72, COLUMN() - ($E31 + 5)), 0))
  )
)</f>
        <v>2040.7320816952981</v>
      </c>
      <c r="BC31" s="32">
        <f t="array" ref="BC31">IF(COLUMN() - ($E31 + 5) &lt; 0, 0,
  IF(COLUMN() - ($E31 + 5) = 0, $F31,
    BB31 * (1 - IFERROR(INDEX('Inputs &amp; Assuptions'!$B$13:$B$72, COLUMN() - ($E31 + 5)), 0))
  )
)</f>
        <v>2020.3247608783452</v>
      </c>
      <c r="BD31" s="32">
        <f t="array" ref="BD31">IF(COLUMN() - ($E31 + 5) &lt; 0, 0,
  IF(COLUMN() - ($E31 + 5) = 0, $F31,
    BC31 * (1 - IFERROR(INDEX('Inputs &amp; Assuptions'!$B$13:$B$72, COLUMN() - ($E31 + 5)), 0))
  )
)</f>
        <v>2000.1215132695618</v>
      </c>
      <c r="BE31" s="32">
        <f t="array" ref="BE31">IF(COLUMN() - ($E31 + 5) &lt; 0, 0,
  IF(COLUMN() - ($E31 + 5) = 0, $F31,
    BD31 * (1 - IFERROR(INDEX('Inputs &amp; Assuptions'!$B$13:$B$72, COLUMN() - ($E31 + 5)), 0))
  )
)</f>
        <v>1980.120298136866</v>
      </c>
      <c r="BF31" s="32">
        <f t="array" ref="BF31">IF(COLUMN() - ($E31 + 5) &lt; 0, 0,
  IF(COLUMN() - ($E31 + 5) = 0, $F31,
    BE31 * (1 - IFERROR(INDEX('Inputs &amp; Assuptions'!$B$13:$B$72, COLUMN() - ($E31 + 5)), 0))
  )
)</f>
        <v>1960.3190951554973</v>
      </c>
      <c r="BG31" s="32">
        <f t="array" ref="BG31">IF(COLUMN() - ($E31 + 5) &lt; 0, 0,
  IF(COLUMN() - ($E31 + 5) = 0, $F31,
    BF31 * (1 - IFERROR(INDEX('Inputs &amp; Assuptions'!$B$13:$B$72, COLUMN() - ($E31 + 5)), 0))
  )
)</f>
        <v>1940.7159042039423</v>
      </c>
      <c r="BH31" s="32">
        <f t="array" ref="BH31">IF(COLUMN() - ($E31 + 5) &lt; 0, 0,
  IF(COLUMN() - ($E31 + 5) = 0, $F31,
    BG31 * (1 - IFERROR(INDEX('Inputs &amp; Assuptions'!$B$13:$B$72, COLUMN() - ($E31 + 5)), 0))
  )
)</f>
        <v>1921.3087451619028</v>
      </c>
      <c r="BI31" s="32">
        <f t="array" ref="BI31">IF(COLUMN() - ($E31 + 5) &lt; 0, 0,
  IF(COLUMN() - ($E31 + 5) = 0, $F31,
    BH31 * (1 - IFERROR(INDEX('Inputs &amp; Assuptions'!$B$13:$B$72, COLUMN() - ($E31 + 5)), 0))
  )
)</f>
        <v>1902.0956577102838</v>
      </c>
      <c r="BJ31" s="32">
        <f t="array" ref="BJ31">IF(COLUMN() - ($E31 + 5) &lt; 0, 0,
  IF(COLUMN() - ($E31 + 5) = 0, $F31,
    BI31 * (1 - IFERROR(INDEX('Inputs &amp; Assuptions'!$B$13:$B$72, COLUMN() - ($E31 + 5)), 0))
  )
)</f>
        <v>1883.074701133181</v>
      </c>
      <c r="BK31" s="32">
        <f t="array" ref="BK31">IF(COLUMN() - ($E31 + 5) &lt; 0, 0,
  IF(COLUMN() - ($E31 + 5) = 0, $F31,
    BJ31 * (1 - IFERROR(INDEX('Inputs &amp; Assuptions'!$B$13:$B$72, COLUMN() - ($E31 + 5)), 0))
  )
)</f>
        <v>1864.2439541218491</v>
      </c>
      <c r="BL31" s="32">
        <f t="array" ref="BL31">IF(COLUMN() - ($E31 + 5) &lt; 0, 0,
  IF(COLUMN() - ($E31 + 5) = 0, $F31,
    BK31 * (1 - IFERROR(INDEX('Inputs &amp; Assuptions'!$B$13:$B$72, COLUMN() - ($E31 + 5)), 0))
  )
)</f>
        <v>1845.6015145806307</v>
      </c>
      <c r="BM31" s="66">
        <f t="array" ref="BM31">IF(COLUMN() - ($E31 + 5) &lt; 0, 0,
  IF(COLUMN() - ($E31 + 5) = 0, $F31,
    BL31 * (1 - IFERROR(INDEX('Inputs &amp; Assuptions'!$B$13:$B$72, COLUMN() - ($E31 + 5)), 0))
  )
)</f>
        <v>1827.1454994348244</v>
      </c>
      <c r="BN31" s="33"/>
    </row>
    <row r="32" spans="1:66" x14ac:dyDescent="0.3">
      <c r="A32" s="71">
        <f t="shared" si="2"/>
        <v>27</v>
      </c>
      <c r="B32" s="75">
        <f t="shared" si="4"/>
        <v>6615</v>
      </c>
      <c r="C32" s="81">
        <f>$B32*(1-'Inputs &amp; Assuptions'!$B$12)</f>
        <v>3836.7000000000003</v>
      </c>
      <c r="E32" s="71">
        <f t="shared" si="3"/>
        <v>27</v>
      </c>
      <c r="F32" s="65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>
        <f>+$C32</f>
        <v>3836.7000000000003</v>
      </c>
      <c r="AG32" s="32">
        <f t="array" ref="AG32">IF(COLUMN() - ($E32 + 5) &lt; 0, 0,
  IF(COLUMN() - ($E32 + 5) = 0, $F32,
    AF32 * (1 - IFERROR(INDEX('Inputs &amp; Assuptions'!$B$13:$B$72, COLUMN() - ($E32 + 5)), 0))
  )
)</f>
        <v>3433.8465000000001</v>
      </c>
      <c r="AH32" s="32">
        <f t="array" ref="AH32">IF(COLUMN() - ($E32 + 5) &lt; 0, 0,
  IF(COLUMN() - ($E32 + 5) = 0, $F32,
    AG32 * (1 - IFERROR(INDEX('Inputs &amp; Assuptions'!$B$13:$B$72, COLUMN() - ($E32 + 5)), 0))
  )
)</f>
        <v>3159.1387800000002</v>
      </c>
      <c r="AI32" s="32">
        <f t="array" ref="AI32">IF(COLUMN() - ($E32 + 5) &lt; 0, 0,
  IF(COLUMN() - ($E32 + 5) = 0, $F32,
    AH32 * (1 - IFERROR(INDEX('Inputs &amp; Assuptions'!$B$13:$B$72, COLUMN() - ($E32 + 5)), 0))
  )
)</f>
        <v>2985.3861471</v>
      </c>
      <c r="AJ32" s="32">
        <f t="array" ref="AJ32">IF(COLUMN() - ($E32 + 5) &lt; 0, 0,
  IF(COLUMN() - ($E32 + 5) = 0, $F32,
    AI32 * (1 - IFERROR(INDEX('Inputs &amp; Assuptions'!$B$13:$B$72, COLUMN() - ($E32 + 5)), 0))
  )
)</f>
        <v>2836.1168397450001</v>
      </c>
      <c r="AK32" s="32">
        <f t="array" ref="AK32">IF(COLUMN() - ($E32 + 5) &lt; 0, 0,
  IF(COLUMN() - ($E32 + 5) = 0, $F32,
    AJ32 * (1 - IFERROR(INDEX('Inputs &amp; Assuptions'!$B$13:$B$72, COLUMN() - ($E32 + 5)), 0))
  )
)</f>
        <v>2708.4915819564749</v>
      </c>
      <c r="AL32" s="32">
        <f t="array" ref="AL32">IF(COLUMN() - ($E32 + 5) &lt; 0, 0,
  IF(COLUMN() - ($E32 + 5) = 0, $F32,
    AK32 * (1 - IFERROR(INDEX('Inputs &amp; Assuptions'!$B$13:$B$72, COLUMN() - ($E32 + 5)), 0))
  )
)</f>
        <v>2600.1519186782157</v>
      </c>
      <c r="AM32" s="32">
        <f t="array" ref="AM32">IF(COLUMN() - ($E32 + 5) &lt; 0, 0,
  IF(COLUMN() - ($E32 + 5) = 0, $F32,
    AL32 * (1 - IFERROR(INDEX('Inputs &amp; Assuptions'!$B$13:$B$72, COLUMN() - ($E32 + 5)), 0))
  )
)</f>
        <v>2509.1466015244782</v>
      </c>
      <c r="AN32" s="32">
        <f t="array" ref="AN32">IF(COLUMN() - ($E32 + 5) &lt; 0, 0,
  IF(COLUMN() - ($E32 + 5) = 0, $F32,
    AM32 * (1 - IFERROR(INDEX('Inputs &amp; Assuptions'!$B$13:$B$72, COLUMN() - ($E32 + 5)), 0))
  )
)</f>
        <v>2433.8722034787438</v>
      </c>
      <c r="AO32" s="32">
        <f t="array" ref="AO32">IF(COLUMN() - ($E32 + 5) &lt; 0, 0,
  IF(COLUMN() - ($E32 + 5) = 0, $F32,
    AN32 * (1 - IFERROR(INDEX('Inputs &amp; Assuptions'!$B$13:$B$72, COLUMN() - ($E32 + 5)), 0))
  )
)</f>
        <v>2373.0253983917751</v>
      </c>
      <c r="AP32" s="32">
        <f t="array" ref="AP32">IF(COLUMN() - ($E32 + 5) &lt; 0, 0,
  IF(COLUMN() - ($E32 + 5) = 0, $F32,
    AO32 * (1 - IFERROR(INDEX('Inputs &amp; Assuptions'!$B$13:$B$72, COLUMN() - ($E32 + 5)), 0))
  )
)</f>
        <v>2325.5648904239397</v>
      </c>
      <c r="AQ32" s="32">
        <f t="array" ref="AQ32">IF(COLUMN() - ($E32 + 5) &lt; 0, 0,
  IF(COLUMN() - ($E32 + 5) = 0, $F32,
    AP32 * (1 - IFERROR(INDEX('Inputs &amp; Assuptions'!$B$13:$B$72, COLUMN() - ($E32 + 5)), 0))
  )
)</f>
        <v>2302.3092415197002</v>
      </c>
      <c r="AR32" s="32">
        <f t="array" ref="AR32">IF(COLUMN() - ($E32 + 5) &lt; 0, 0,
  IF(COLUMN() - ($E32 + 5) = 0, $F32,
    AQ32 * (1 - IFERROR(INDEX('Inputs &amp; Assuptions'!$B$13:$B$72, COLUMN() - ($E32 + 5)), 0))
  )
)</f>
        <v>2279.2861491045032</v>
      </c>
      <c r="AS32" s="32">
        <f t="array" ref="AS32">IF(COLUMN() - ($E32 + 5) &lt; 0, 0,
  IF(COLUMN() - ($E32 + 5) = 0, $F32,
    AR32 * (1 - IFERROR(INDEX('Inputs &amp; Assuptions'!$B$13:$B$72, COLUMN() - ($E32 + 5)), 0))
  )
)</f>
        <v>2256.4932876134581</v>
      </c>
      <c r="AT32" s="32">
        <f t="array" ref="AT32">IF(COLUMN() - ($E32 + 5) &lt; 0, 0,
  IF(COLUMN() - ($E32 + 5) = 0, $F32,
    AS32 * (1 - IFERROR(INDEX('Inputs &amp; Assuptions'!$B$13:$B$72, COLUMN() - ($E32 + 5)), 0))
  )
)</f>
        <v>2233.9283547373234</v>
      </c>
      <c r="AU32" s="32">
        <f t="array" ref="AU32">IF(COLUMN() - ($E32 + 5) &lt; 0, 0,
  IF(COLUMN() - ($E32 + 5) = 0, $F32,
    AT32 * (1 - IFERROR(INDEX('Inputs &amp; Assuptions'!$B$13:$B$72, COLUMN() - ($E32 + 5)), 0))
  )
)</f>
        <v>2211.5890711899501</v>
      </c>
      <c r="AV32" s="32">
        <f t="array" ref="AV32">IF(COLUMN() - ($E32 + 5) &lt; 0, 0,
  IF(COLUMN() - ($E32 + 5) = 0, $F32,
    AU32 * (1 - IFERROR(INDEX('Inputs &amp; Assuptions'!$B$13:$B$72, COLUMN() - ($E32 + 5)), 0))
  )
)</f>
        <v>2189.4731804780504</v>
      </c>
      <c r="AW32" s="32">
        <f t="array" ref="AW32">IF(COLUMN() - ($E32 + 5) &lt; 0, 0,
  IF(COLUMN() - ($E32 + 5) = 0, $F32,
    AV32 * (1 - IFERROR(INDEX('Inputs &amp; Assuptions'!$B$13:$B$72, COLUMN() - ($E32 + 5)), 0))
  )
)</f>
        <v>2167.57844867327</v>
      </c>
      <c r="AX32" s="32">
        <f t="array" ref="AX32">IF(COLUMN() - ($E32 + 5) &lt; 0, 0,
  IF(COLUMN() - ($E32 + 5) = 0, $F32,
    AW32 * (1 - IFERROR(INDEX('Inputs &amp; Assuptions'!$B$13:$B$72, COLUMN() - ($E32 + 5)), 0))
  )
)</f>
        <v>2145.9026641865371</v>
      </c>
      <c r="AY32" s="32">
        <f t="array" ref="AY32">IF(COLUMN() - ($E32 + 5) &lt; 0, 0,
  IF(COLUMN() - ($E32 + 5) = 0, $F32,
    AX32 * (1 - IFERROR(INDEX('Inputs &amp; Assuptions'!$B$13:$B$72, COLUMN() - ($E32 + 5)), 0))
  )
)</f>
        <v>2124.4436375446717</v>
      </c>
      <c r="AZ32" s="32">
        <f t="array" ref="AZ32">IF(COLUMN() - ($E32 + 5) &lt; 0, 0,
  IF(COLUMN() - ($E32 + 5) = 0, $F32,
    AY32 * (1 - IFERROR(INDEX('Inputs &amp; Assuptions'!$B$13:$B$72, COLUMN() - ($E32 + 5)), 0))
  )
)</f>
        <v>2103.199201169225</v>
      </c>
      <c r="BA32" s="32">
        <f t="array" ref="BA32">IF(COLUMN() - ($E32 + 5) &lt; 0, 0,
  IF(COLUMN() - ($E32 + 5) = 0, $F32,
    AZ32 * (1 - IFERROR(INDEX('Inputs &amp; Assuptions'!$B$13:$B$72, COLUMN() - ($E32 + 5)), 0))
  )
)</f>
        <v>2082.1672091575329</v>
      </c>
      <c r="BB32" s="32">
        <f t="array" ref="BB32">IF(COLUMN() - ($E32 + 5) &lt; 0, 0,
  IF(COLUMN() - ($E32 + 5) = 0, $F32,
    BA32 * (1 - IFERROR(INDEX('Inputs &amp; Assuptions'!$B$13:$B$72, COLUMN() - ($E32 + 5)), 0))
  )
)</f>
        <v>2061.3455370659576</v>
      </c>
      <c r="BC32" s="32">
        <f t="array" ref="BC32">IF(COLUMN() - ($E32 + 5) &lt; 0, 0,
  IF(COLUMN() - ($E32 + 5) = 0, $F32,
    BB32 * (1 - IFERROR(INDEX('Inputs &amp; Assuptions'!$B$13:$B$72, COLUMN() - ($E32 + 5)), 0))
  )
)</f>
        <v>2040.7320816952981</v>
      </c>
      <c r="BD32" s="32">
        <f t="array" ref="BD32">IF(COLUMN() - ($E32 + 5) &lt; 0, 0,
  IF(COLUMN() - ($E32 + 5) = 0, $F32,
    BC32 * (1 - IFERROR(INDEX('Inputs &amp; Assuptions'!$B$13:$B$72, COLUMN() - ($E32 + 5)), 0))
  )
)</f>
        <v>2020.3247608783452</v>
      </c>
      <c r="BE32" s="32">
        <f t="array" ref="BE32">IF(COLUMN() - ($E32 + 5) &lt; 0, 0,
  IF(COLUMN() - ($E32 + 5) = 0, $F32,
    BD32 * (1 - IFERROR(INDEX('Inputs &amp; Assuptions'!$B$13:$B$72, COLUMN() - ($E32 + 5)), 0))
  )
)</f>
        <v>2000.1215132695618</v>
      </c>
      <c r="BF32" s="32">
        <f t="array" ref="BF32">IF(COLUMN() - ($E32 + 5) &lt; 0, 0,
  IF(COLUMN() - ($E32 + 5) = 0, $F32,
    BE32 * (1 - IFERROR(INDEX('Inputs &amp; Assuptions'!$B$13:$B$72, COLUMN() - ($E32 + 5)), 0))
  )
)</f>
        <v>1980.120298136866</v>
      </c>
      <c r="BG32" s="32">
        <f t="array" ref="BG32">IF(COLUMN() - ($E32 + 5) &lt; 0, 0,
  IF(COLUMN() - ($E32 + 5) = 0, $F32,
    BF32 * (1 - IFERROR(INDEX('Inputs &amp; Assuptions'!$B$13:$B$72, COLUMN() - ($E32 + 5)), 0))
  )
)</f>
        <v>1960.3190951554973</v>
      </c>
      <c r="BH32" s="32">
        <f t="array" ref="BH32">IF(COLUMN() - ($E32 + 5) &lt; 0, 0,
  IF(COLUMN() - ($E32 + 5) = 0, $F32,
    BG32 * (1 - IFERROR(INDEX('Inputs &amp; Assuptions'!$B$13:$B$72, COLUMN() - ($E32 + 5)), 0))
  )
)</f>
        <v>1940.7159042039423</v>
      </c>
      <c r="BI32" s="32">
        <f t="array" ref="BI32">IF(COLUMN() - ($E32 + 5) &lt; 0, 0,
  IF(COLUMN() - ($E32 + 5) = 0, $F32,
    BH32 * (1 - IFERROR(INDEX('Inputs &amp; Assuptions'!$B$13:$B$72, COLUMN() - ($E32 + 5)), 0))
  )
)</f>
        <v>1921.3087451619028</v>
      </c>
      <c r="BJ32" s="32">
        <f t="array" ref="BJ32">IF(COLUMN() - ($E32 + 5) &lt; 0, 0,
  IF(COLUMN() - ($E32 + 5) = 0, $F32,
    BI32 * (1 - IFERROR(INDEX('Inputs &amp; Assuptions'!$B$13:$B$72, COLUMN() - ($E32 + 5)), 0))
  )
)</f>
        <v>1902.0956577102838</v>
      </c>
      <c r="BK32" s="32">
        <f t="array" ref="BK32">IF(COLUMN() - ($E32 + 5) &lt; 0, 0,
  IF(COLUMN() - ($E32 + 5) = 0, $F32,
    BJ32 * (1 - IFERROR(INDEX('Inputs &amp; Assuptions'!$B$13:$B$72, COLUMN() - ($E32 + 5)), 0))
  )
)</f>
        <v>1883.074701133181</v>
      </c>
      <c r="BL32" s="32">
        <f t="array" ref="BL32">IF(COLUMN() - ($E32 + 5) &lt; 0, 0,
  IF(COLUMN() - ($E32 + 5) = 0, $F32,
    BK32 * (1 - IFERROR(INDEX('Inputs &amp; Assuptions'!$B$13:$B$72, COLUMN() - ($E32 + 5)), 0))
  )
)</f>
        <v>1864.2439541218491</v>
      </c>
      <c r="BM32" s="66">
        <f t="array" ref="BM32">IF(COLUMN() - ($E32 + 5) &lt; 0, 0,
  IF(COLUMN() - ($E32 + 5) = 0, $F32,
    BL32 * (1 - IFERROR(INDEX('Inputs &amp; Assuptions'!$B$13:$B$72, COLUMN() - ($E32 + 5)), 0))
  )
)</f>
        <v>1845.6015145806307</v>
      </c>
      <c r="BN32" s="33"/>
    </row>
    <row r="33" spans="1:66" x14ac:dyDescent="0.3">
      <c r="A33" s="71">
        <f t="shared" si="2"/>
        <v>28</v>
      </c>
      <c r="B33" s="75">
        <f t="shared" si="4"/>
        <v>6615</v>
      </c>
      <c r="C33" s="81">
        <f>$B33*(1-'Inputs &amp; Assuptions'!$B$12)</f>
        <v>3836.7000000000003</v>
      </c>
      <c r="E33" s="71">
        <f t="shared" si="3"/>
        <v>28</v>
      </c>
      <c r="F33" s="65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>
        <f>+$C33</f>
        <v>3836.7000000000003</v>
      </c>
      <c r="AH33" s="32">
        <f t="array" ref="AH33">IF(COLUMN() - ($E33 + 5) &lt; 0, 0,
  IF(COLUMN() - ($E33 + 5) = 0, $F33,
    AG33 * (1 - IFERROR(INDEX('Inputs &amp; Assuptions'!$B$13:$B$72, COLUMN() - ($E33 + 5)), 0))
  )
)</f>
        <v>3433.8465000000001</v>
      </c>
      <c r="AI33" s="32">
        <f t="array" ref="AI33">IF(COLUMN() - ($E33 + 5) &lt; 0, 0,
  IF(COLUMN() - ($E33 + 5) = 0, $F33,
    AH33 * (1 - IFERROR(INDEX('Inputs &amp; Assuptions'!$B$13:$B$72, COLUMN() - ($E33 + 5)), 0))
  )
)</f>
        <v>3159.1387800000002</v>
      </c>
      <c r="AJ33" s="32">
        <f t="array" ref="AJ33">IF(COLUMN() - ($E33 + 5) &lt; 0, 0,
  IF(COLUMN() - ($E33 + 5) = 0, $F33,
    AI33 * (1 - IFERROR(INDEX('Inputs &amp; Assuptions'!$B$13:$B$72, COLUMN() - ($E33 + 5)), 0))
  )
)</f>
        <v>2985.3861471</v>
      </c>
      <c r="AK33" s="32">
        <f t="array" ref="AK33">IF(COLUMN() - ($E33 + 5) &lt; 0, 0,
  IF(COLUMN() - ($E33 + 5) = 0, $F33,
    AJ33 * (1 - IFERROR(INDEX('Inputs &amp; Assuptions'!$B$13:$B$72, COLUMN() - ($E33 + 5)), 0))
  )
)</f>
        <v>2836.1168397450001</v>
      </c>
      <c r="AL33" s="32">
        <f t="array" ref="AL33">IF(COLUMN() - ($E33 + 5) &lt; 0, 0,
  IF(COLUMN() - ($E33 + 5) = 0, $F33,
    AK33 * (1 - IFERROR(INDEX('Inputs &amp; Assuptions'!$B$13:$B$72, COLUMN() - ($E33 + 5)), 0))
  )
)</f>
        <v>2708.4915819564749</v>
      </c>
      <c r="AM33" s="32">
        <f t="array" ref="AM33">IF(COLUMN() - ($E33 + 5) &lt; 0, 0,
  IF(COLUMN() - ($E33 + 5) = 0, $F33,
    AL33 * (1 - IFERROR(INDEX('Inputs &amp; Assuptions'!$B$13:$B$72, COLUMN() - ($E33 + 5)), 0))
  )
)</f>
        <v>2600.1519186782157</v>
      </c>
      <c r="AN33" s="32">
        <f t="array" ref="AN33">IF(COLUMN() - ($E33 + 5) &lt; 0, 0,
  IF(COLUMN() - ($E33 + 5) = 0, $F33,
    AM33 * (1 - IFERROR(INDEX('Inputs &amp; Assuptions'!$B$13:$B$72, COLUMN() - ($E33 + 5)), 0))
  )
)</f>
        <v>2509.1466015244782</v>
      </c>
      <c r="AO33" s="32">
        <f t="array" ref="AO33">IF(COLUMN() - ($E33 + 5) &lt; 0, 0,
  IF(COLUMN() - ($E33 + 5) = 0, $F33,
    AN33 * (1 - IFERROR(INDEX('Inputs &amp; Assuptions'!$B$13:$B$72, COLUMN() - ($E33 + 5)), 0))
  )
)</f>
        <v>2433.8722034787438</v>
      </c>
      <c r="AP33" s="32">
        <f t="array" ref="AP33">IF(COLUMN() - ($E33 + 5) &lt; 0, 0,
  IF(COLUMN() - ($E33 + 5) = 0, $F33,
    AO33 * (1 - IFERROR(INDEX('Inputs &amp; Assuptions'!$B$13:$B$72, COLUMN() - ($E33 + 5)), 0))
  )
)</f>
        <v>2373.0253983917751</v>
      </c>
      <c r="AQ33" s="32">
        <f t="array" ref="AQ33">IF(COLUMN() - ($E33 + 5) &lt; 0, 0,
  IF(COLUMN() - ($E33 + 5) = 0, $F33,
    AP33 * (1 - IFERROR(INDEX('Inputs &amp; Assuptions'!$B$13:$B$72, COLUMN() - ($E33 + 5)), 0))
  )
)</f>
        <v>2325.5648904239397</v>
      </c>
      <c r="AR33" s="32">
        <f t="array" ref="AR33">IF(COLUMN() - ($E33 + 5) &lt; 0, 0,
  IF(COLUMN() - ($E33 + 5) = 0, $F33,
    AQ33 * (1 - IFERROR(INDEX('Inputs &amp; Assuptions'!$B$13:$B$72, COLUMN() - ($E33 + 5)), 0))
  )
)</f>
        <v>2302.3092415197002</v>
      </c>
      <c r="AS33" s="32">
        <f t="array" ref="AS33">IF(COLUMN() - ($E33 + 5) &lt; 0, 0,
  IF(COLUMN() - ($E33 + 5) = 0, $F33,
    AR33 * (1 - IFERROR(INDEX('Inputs &amp; Assuptions'!$B$13:$B$72, COLUMN() - ($E33 + 5)), 0))
  )
)</f>
        <v>2279.2861491045032</v>
      </c>
      <c r="AT33" s="32">
        <f t="array" ref="AT33">IF(COLUMN() - ($E33 + 5) &lt; 0, 0,
  IF(COLUMN() - ($E33 + 5) = 0, $F33,
    AS33 * (1 - IFERROR(INDEX('Inputs &amp; Assuptions'!$B$13:$B$72, COLUMN() - ($E33 + 5)), 0))
  )
)</f>
        <v>2256.4932876134581</v>
      </c>
      <c r="AU33" s="32">
        <f t="array" ref="AU33">IF(COLUMN() - ($E33 + 5) &lt; 0, 0,
  IF(COLUMN() - ($E33 + 5) = 0, $F33,
    AT33 * (1 - IFERROR(INDEX('Inputs &amp; Assuptions'!$B$13:$B$72, COLUMN() - ($E33 + 5)), 0))
  )
)</f>
        <v>2233.9283547373234</v>
      </c>
      <c r="AV33" s="32">
        <f t="array" ref="AV33">IF(COLUMN() - ($E33 + 5) &lt; 0, 0,
  IF(COLUMN() - ($E33 + 5) = 0, $F33,
    AU33 * (1 - IFERROR(INDEX('Inputs &amp; Assuptions'!$B$13:$B$72, COLUMN() - ($E33 + 5)), 0))
  )
)</f>
        <v>2211.5890711899501</v>
      </c>
      <c r="AW33" s="32">
        <f t="array" ref="AW33">IF(COLUMN() - ($E33 + 5) &lt; 0, 0,
  IF(COLUMN() - ($E33 + 5) = 0, $F33,
    AV33 * (1 - IFERROR(INDEX('Inputs &amp; Assuptions'!$B$13:$B$72, COLUMN() - ($E33 + 5)), 0))
  )
)</f>
        <v>2189.4731804780504</v>
      </c>
      <c r="AX33" s="32">
        <f t="array" ref="AX33">IF(COLUMN() - ($E33 + 5) &lt; 0, 0,
  IF(COLUMN() - ($E33 + 5) = 0, $F33,
    AW33 * (1 - IFERROR(INDEX('Inputs &amp; Assuptions'!$B$13:$B$72, COLUMN() - ($E33 + 5)), 0))
  )
)</f>
        <v>2167.57844867327</v>
      </c>
      <c r="AY33" s="32">
        <f t="array" ref="AY33">IF(COLUMN() - ($E33 + 5) &lt; 0, 0,
  IF(COLUMN() - ($E33 + 5) = 0, $F33,
    AX33 * (1 - IFERROR(INDEX('Inputs &amp; Assuptions'!$B$13:$B$72, COLUMN() - ($E33 + 5)), 0))
  )
)</f>
        <v>2145.9026641865371</v>
      </c>
      <c r="AZ33" s="32">
        <f t="array" ref="AZ33">IF(COLUMN() - ($E33 + 5) &lt; 0, 0,
  IF(COLUMN() - ($E33 + 5) = 0, $F33,
    AY33 * (1 - IFERROR(INDEX('Inputs &amp; Assuptions'!$B$13:$B$72, COLUMN() - ($E33 + 5)), 0))
  )
)</f>
        <v>2124.4436375446717</v>
      </c>
      <c r="BA33" s="32">
        <f t="array" ref="BA33">IF(COLUMN() - ($E33 + 5) &lt; 0, 0,
  IF(COLUMN() - ($E33 + 5) = 0, $F33,
    AZ33 * (1 - IFERROR(INDEX('Inputs &amp; Assuptions'!$B$13:$B$72, COLUMN() - ($E33 + 5)), 0))
  )
)</f>
        <v>2103.199201169225</v>
      </c>
      <c r="BB33" s="32">
        <f t="array" ref="BB33">IF(COLUMN() - ($E33 + 5) &lt; 0, 0,
  IF(COLUMN() - ($E33 + 5) = 0, $F33,
    BA33 * (1 - IFERROR(INDEX('Inputs &amp; Assuptions'!$B$13:$B$72, COLUMN() - ($E33 + 5)), 0))
  )
)</f>
        <v>2082.1672091575329</v>
      </c>
      <c r="BC33" s="32">
        <f t="array" ref="BC33">IF(COLUMN() - ($E33 + 5) &lt; 0, 0,
  IF(COLUMN() - ($E33 + 5) = 0, $F33,
    BB33 * (1 - IFERROR(INDEX('Inputs &amp; Assuptions'!$B$13:$B$72, COLUMN() - ($E33 + 5)), 0))
  )
)</f>
        <v>2061.3455370659576</v>
      </c>
      <c r="BD33" s="32">
        <f t="array" ref="BD33">IF(COLUMN() - ($E33 + 5) &lt; 0, 0,
  IF(COLUMN() - ($E33 + 5) = 0, $F33,
    BC33 * (1 - IFERROR(INDEX('Inputs &amp; Assuptions'!$B$13:$B$72, COLUMN() - ($E33 + 5)), 0))
  )
)</f>
        <v>2040.7320816952981</v>
      </c>
      <c r="BE33" s="32">
        <f t="array" ref="BE33">IF(COLUMN() - ($E33 + 5) &lt; 0, 0,
  IF(COLUMN() - ($E33 + 5) = 0, $F33,
    BD33 * (1 - IFERROR(INDEX('Inputs &amp; Assuptions'!$B$13:$B$72, COLUMN() - ($E33 + 5)), 0))
  )
)</f>
        <v>2020.3247608783452</v>
      </c>
      <c r="BF33" s="32">
        <f t="array" ref="BF33">IF(COLUMN() - ($E33 + 5) &lt; 0, 0,
  IF(COLUMN() - ($E33 + 5) = 0, $F33,
    BE33 * (1 - IFERROR(INDEX('Inputs &amp; Assuptions'!$B$13:$B$72, COLUMN() - ($E33 + 5)), 0))
  )
)</f>
        <v>2000.1215132695618</v>
      </c>
      <c r="BG33" s="32">
        <f t="array" ref="BG33">IF(COLUMN() - ($E33 + 5) &lt; 0, 0,
  IF(COLUMN() - ($E33 + 5) = 0, $F33,
    BF33 * (1 - IFERROR(INDEX('Inputs &amp; Assuptions'!$B$13:$B$72, COLUMN() - ($E33 + 5)), 0))
  )
)</f>
        <v>1980.120298136866</v>
      </c>
      <c r="BH33" s="32">
        <f t="array" ref="BH33">IF(COLUMN() - ($E33 + 5) &lt; 0, 0,
  IF(COLUMN() - ($E33 + 5) = 0, $F33,
    BG33 * (1 - IFERROR(INDEX('Inputs &amp; Assuptions'!$B$13:$B$72, COLUMN() - ($E33 + 5)), 0))
  )
)</f>
        <v>1960.3190951554973</v>
      </c>
      <c r="BI33" s="32">
        <f t="array" ref="BI33">IF(COLUMN() - ($E33 + 5) &lt; 0, 0,
  IF(COLUMN() - ($E33 + 5) = 0, $F33,
    BH33 * (1 - IFERROR(INDEX('Inputs &amp; Assuptions'!$B$13:$B$72, COLUMN() - ($E33 + 5)), 0))
  )
)</f>
        <v>1940.7159042039423</v>
      </c>
      <c r="BJ33" s="32">
        <f t="array" ref="BJ33">IF(COLUMN() - ($E33 + 5) &lt; 0, 0,
  IF(COLUMN() - ($E33 + 5) = 0, $F33,
    BI33 * (1 - IFERROR(INDEX('Inputs &amp; Assuptions'!$B$13:$B$72, COLUMN() - ($E33 + 5)), 0))
  )
)</f>
        <v>1921.3087451619028</v>
      </c>
      <c r="BK33" s="32">
        <f t="array" ref="BK33">IF(COLUMN() - ($E33 + 5) &lt; 0, 0,
  IF(COLUMN() - ($E33 + 5) = 0, $F33,
    BJ33 * (1 - IFERROR(INDEX('Inputs &amp; Assuptions'!$B$13:$B$72, COLUMN() - ($E33 + 5)), 0))
  )
)</f>
        <v>1902.0956577102838</v>
      </c>
      <c r="BL33" s="32">
        <f t="array" ref="BL33">IF(COLUMN() - ($E33 + 5) &lt; 0, 0,
  IF(COLUMN() - ($E33 + 5) = 0, $F33,
    BK33 * (1 - IFERROR(INDEX('Inputs &amp; Assuptions'!$B$13:$B$72, COLUMN() - ($E33 + 5)), 0))
  )
)</f>
        <v>1883.074701133181</v>
      </c>
      <c r="BM33" s="66">
        <f t="array" ref="BM33">IF(COLUMN() - ($E33 + 5) &lt; 0, 0,
  IF(COLUMN() - ($E33 + 5) = 0, $F33,
    BL33 * (1 - IFERROR(INDEX('Inputs &amp; Assuptions'!$B$13:$B$72, COLUMN() - ($E33 + 5)), 0))
  )
)</f>
        <v>1864.2439541218491</v>
      </c>
      <c r="BN33" s="33"/>
    </row>
    <row r="34" spans="1:66" x14ac:dyDescent="0.3">
      <c r="A34" s="71">
        <f t="shared" si="2"/>
        <v>29</v>
      </c>
      <c r="B34" s="75">
        <f t="shared" si="4"/>
        <v>6615</v>
      </c>
      <c r="C34" s="81">
        <f>$B34*(1-'Inputs &amp; Assuptions'!$B$12)</f>
        <v>3836.7000000000003</v>
      </c>
      <c r="E34" s="71">
        <f t="shared" si="3"/>
        <v>29</v>
      </c>
      <c r="F34" s="65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>
        <f>+$C34</f>
        <v>3836.7000000000003</v>
      </c>
      <c r="AI34" s="32">
        <f t="array" ref="AI34">IF(COLUMN() - ($E34 + 5) &lt; 0, 0,
  IF(COLUMN() - ($E34 + 5) = 0, $F34,
    AH34 * (1 - IFERROR(INDEX('Inputs &amp; Assuptions'!$B$13:$B$72, COLUMN() - ($E34 + 5)), 0))
  )
)</f>
        <v>3433.8465000000001</v>
      </c>
      <c r="AJ34" s="32">
        <f t="array" ref="AJ34">IF(COLUMN() - ($E34 + 5) &lt; 0, 0,
  IF(COLUMN() - ($E34 + 5) = 0, $F34,
    AI34 * (1 - IFERROR(INDEX('Inputs &amp; Assuptions'!$B$13:$B$72, COLUMN() - ($E34 + 5)), 0))
  )
)</f>
        <v>3159.1387800000002</v>
      </c>
      <c r="AK34" s="32">
        <f t="array" ref="AK34">IF(COLUMN() - ($E34 + 5) &lt; 0, 0,
  IF(COLUMN() - ($E34 + 5) = 0, $F34,
    AJ34 * (1 - IFERROR(INDEX('Inputs &amp; Assuptions'!$B$13:$B$72, COLUMN() - ($E34 + 5)), 0))
  )
)</f>
        <v>2985.3861471</v>
      </c>
      <c r="AL34" s="32">
        <f t="array" ref="AL34">IF(COLUMN() - ($E34 + 5) &lt; 0, 0,
  IF(COLUMN() - ($E34 + 5) = 0, $F34,
    AK34 * (1 - IFERROR(INDEX('Inputs &amp; Assuptions'!$B$13:$B$72, COLUMN() - ($E34 + 5)), 0))
  )
)</f>
        <v>2836.1168397450001</v>
      </c>
      <c r="AM34" s="32">
        <f t="array" ref="AM34">IF(COLUMN() - ($E34 + 5) &lt; 0, 0,
  IF(COLUMN() - ($E34 + 5) = 0, $F34,
    AL34 * (1 - IFERROR(INDEX('Inputs &amp; Assuptions'!$B$13:$B$72, COLUMN() - ($E34 + 5)), 0))
  )
)</f>
        <v>2708.4915819564749</v>
      </c>
      <c r="AN34" s="32">
        <f t="array" ref="AN34">IF(COLUMN() - ($E34 + 5) &lt; 0, 0,
  IF(COLUMN() - ($E34 + 5) = 0, $F34,
    AM34 * (1 - IFERROR(INDEX('Inputs &amp; Assuptions'!$B$13:$B$72, COLUMN() - ($E34 + 5)), 0))
  )
)</f>
        <v>2600.1519186782157</v>
      </c>
      <c r="AO34" s="32">
        <f t="array" ref="AO34">IF(COLUMN() - ($E34 + 5) &lt; 0, 0,
  IF(COLUMN() - ($E34 + 5) = 0, $F34,
    AN34 * (1 - IFERROR(INDEX('Inputs &amp; Assuptions'!$B$13:$B$72, COLUMN() - ($E34 + 5)), 0))
  )
)</f>
        <v>2509.1466015244782</v>
      </c>
      <c r="AP34" s="32">
        <f t="array" ref="AP34">IF(COLUMN() - ($E34 + 5) &lt; 0, 0,
  IF(COLUMN() - ($E34 + 5) = 0, $F34,
    AO34 * (1 - IFERROR(INDEX('Inputs &amp; Assuptions'!$B$13:$B$72, COLUMN() - ($E34 + 5)), 0))
  )
)</f>
        <v>2433.8722034787438</v>
      </c>
      <c r="AQ34" s="32">
        <f t="array" ref="AQ34">IF(COLUMN() - ($E34 + 5) &lt; 0, 0,
  IF(COLUMN() - ($E34 + 5) = 0, $F34,
    AP34 * (1 - IFERROR(INDEX('Inputs &amp; Assuptions'!$B$13:$B$72, COLUMN() - ($E34 + 5)), 0))
  )
)</f>
        <v>2373.0253983917751</v>
      </c>
      <c r="AR34" s="32">
        <f t="array" ref="AR34">IF(COLUMN() - ($E34 + 5) &lt; 0, 0,
  IF(COLUMN() - ($E34 + 5) = 0, $F34,
    AQ34 * (1 - IFERROR(INDEX('Inputs &amp; Assuptions'!$B$13:$B$72, COLUMN() - ($E34 + 5)), 0))
  )
)</f>
        <v>2325.5648904239397</v>
      </c>
      <c r="AS34" s="32">
        <f t="array" ref="AS34">IF(COLUMN() - ($E34 + 5) &lt; 0, 0,
  IF(COLUMN() - ($E34 + 5) = 0, $F34,
    AR34 * (1 - IFERROR(INDEX('Inputs &amp; Assuptions'!$B$13:$B$72, COLUMN() - ($E34 + 5)), 0))
  )
)</f>
        <v>2302.3092415197002</v>
      </c>
      <c r="AT34" s="32">
        <f t="array" ref="AT34">IF(COLUMN() - ($E34 + 5) &lt; 0, 0,
  IF(COLUMN() - ($E34 + 5) = 0, $F34,
    AS34 * (1 - IFERROR(INDEX('Inputs &amp; Assuptions'!$B$13:$B$72, COLUMN() - ($E34 + 5)), 0))
  )
)</f>
        <v>2279.2861491045032</v>
      </c>
      <c r="AU34" s="32">
        <f t="array" ref="AU34">IF(COLUMN() - ($E34 + 5) &lt; 0, 0,
  IF(COLUMN() - ($E34 + 5) = 0, $F34,
    AT34 * (1 - IFERROR(INDEX('Inputs &amp; Assuptions'!$B$13:$B$72, COLUMN() - ($E34 + 5)), 0))
  )
)</f>
        <v>2256.4932876134581</v>
      </c>
      <c r="AV34" s="32">
        <f t="array" ref="AV34">IF(COLUMN() - ($E34 + 5) &lt; 0, 0,
  IF(COLUMN() - ($E34 + 5) = 0, $F34,
    AU34 * (1 - IFERROR(INDEX('Inputs &amp; Assuptions'!$B$13:$B$72, COLUMN() - ($E34 + 5)), 0))
  )
)</f>
        <v>2233.9283547373234</v>
      </c>
      <c r="AW34" s="32">
        <f t="array" ref="AW34">IF(COLUMN() - ($E34 + 5) &lt; 0, 0,
  IF(COLUMN() - ($E34 + 5) = 0, $F34,
    AV34 * (1 - IFERROR(INDEX('Inputs &amp; Assuptions'!$B$13:$B$72, COLUMN() - ($E34 + 5)), 0))
  )
)</f>
        <v>2211.5890711899501</v>
      </c>
      <c r="AX34" s="32">
        <f t="array" ref="AX34">IF(COLUMN() - ($E34 + 5) &lt; 0, 0,
  IF(COLUMN() - ($E34 + 5) = 0, $F34,
    AW34 * (1 - IFERROR(INDEX('Inputs &amp; Assuptions'!$B$13:$B$72, COLUMN() - ($E34 + 5)), 0))
  )
)</f>
        <v>2189.4731804780504</v>
      </c>
      <c r="AY34" s="32">
        <f t="array" ref="AY34">IF(COLUMN() - ($E34 + 5) &lt; 0, 0,
  IF(COLUMN() - ($E34 + 5) = 0, $F34,
    AX34 * (1 - IFERROR(INDEX('Inputs &amp; Assuptions'!$B$13:$B$72, COLUMN() - ($E34 + 5)), 0))
  )
)</f>
        <v>2167.57844867327</v>
      </c>
      <c r="AZ34" s="32">
        <f t="array" ref="AZ34">IF(COLUMN() - ($E34 + 5) &lt; 0, 0,
  IF(COLUMN() - ($E34 + 5) = 0, $F34,
    AY34 * (1 - IFERROR(INDEX('Inputs &amp; Assuptions'!$B$13:$B$72, COLUMN() - ($E34 + 5)), 0))
  )
)</f>
        <v>2145.9026641865371</v>
      </c>
      <c r="BA34" s="32">
        <f t="array" ref="BA34">IF(COLUMN() - ($E34 + 5) &lt; 0, 0,
  IF(COLUMN() - ($E34 + 5) = 0, $F34,
    AZ34 * (1 - IFERROR(INDEX('Inputs &amp; Assuptions'!$B$13:$B$72, COLUMN() - ($E34 + 5)), 0))
  )
)</f>
        <v>2124.4436375446717</v>
      </c>
      <c r="BB34" s="32">
        <f t="array" ref="BB34">IF(COLUMN() - ($E34 + 5) &lt; 0, 0,
  IF(COLUMN() - ($E34 + 5) = 0, $F34,
    BA34 * (1 - IFERROR(INDEX('Inputs &amp; Assuptions'!$B$13:$B$72, COLUMN() - ($E34 + 5)), 0))
  )
)</f>
        <v>2103.199201169225</v>
      </c>
      <c r="BC34" s="32">
        <f t="array" ref="BC34">IF(COLUMN() - ($E34 + 5) &lt; 0, 0,
  IF(COLUMN() - ($E34 + 5) = 0, $F34,
    BB34 * (1 - IFERROR(INDEX('Inputs &amp; Assuptions'!$B$13:$B$72, COLUMN() - ($E34 + 5)), 0))
  )
)</f>
        <v>2082.1672091575329</v>
      </c>
      <c r="BD34" s="32">
        <f t="array" ref="BD34">IF(COLUMN() - ($E34 + 5) &lt; 0, 0,
  IF(COLUMN() - ($E34 + 5) = 0, $F34,
    BC34 * (1 - IFERROR(INDEX('Inputs &amp; Assuptions'!$B$13:$B$72, COLUMN() - ($E34 + 5)), 0))
  )
)</f>
        <v>2061.3455370659576</v>
      </c>
      <c r="BE34" s="32">
        <f t="array" ref="BE34">IF(COLUMN() - ($E34 + 5) &lt; 0, 0,
  IF(COLUMN() - ($E34 + 5) = 0, $F34,
    BD34 * (1 - IFERROR(INDEX('Inputs &amp; Assuptions'!$B$13:$B$72, COLUMN() - ($E34 + 5)), 0))
  )
)</f>
        <v>2040.7320816952981</v>
      </c>
      <c r="BF34" s="32">
        <f t="array" ref="BF34">IF(COLUMN() - ($E34 + 5) &lt; 0, 0,
  IF(COLUMN() - ($E34 + 5) = 0, $F34,
    BE34 * (1 - IFERROR(INDEX('Inputs &amp; Assuptions'!$B$13:$B$72, COLUMN() - ($E34 + 5)), 0))
  )
)</f>
        <v>2020.3247608783452</v>
      </c>
      <c r="BG34" s="32">
        <f t="array" ref="BG34">IF(COLUMN() - ($E34 + 5) &lt; 0, 0,
  IF(COLUMN() - ($E34 + 5) = 0, $F34,
    BF34 * (1 - IFERROR(INDEX('Inputs &amp; Assuptions'!$B$13:$B$72, COLUMN() - ($E34 + 5)), 0))
  )
)</f>
        <v>2000.1215132695618</v>
      </c>
      <c r="BH34" s="32">
        <f t="array" ref="BH34">IF(COLUMN() - ($E34 + 5) &lt; 0, 0,
  IF(COLUMN() - ($E34 + 5) = 0, $F34,
    BG34 * (1 - IFERROR(INDEX('Inputs &amp; Assuptions'!$B$13:$B$72, COLUMN() - ($E34 + 5)), 0))
  )
)</f>
        <v>1980.120298136866</v>
      </c>
      <c r="BI34" s="32">
        <f t="array" ref="BI34">IF(COLUMN() - ($E34 + 5) &lt; 0, 0,
  IF(COLUMN() - ($E34 + 5) = 0, $F34,
    BH34 * (1 - IFERROR(INDEX('Inputs &amp; Assuptions'!$B$13:$B$72, COLUMN() - ($E34 + 5)), 0))
  )
)</f>
        <v>1960.3190951554973</v>
      </c>
      <c r="BJ34" s="32">
        <f t="array" ref="BJ34">IF(COLUMN() - ($E34 + 5) &lt; 0, 0,
  IF(COLUMN() - ($E34 + 5) = 0, $F34,
    BI34 * (1 - IFERROR(INDEX('Inputs &amp; Assuptions'!$B$13:$B$72, COLUMN() - ($E34 + 5)), 0))
  )
)</f>
        <v>1940.7159042039423</v>
      </c>
      <c r="BK34" s="32">
        <f t="array" ref="BK34">IF(COLUMN() - ($E34 + 5) &lt; 0, 0,
  IF(COLUMN() - ($E34 + 5) = 0, $F34,
    BJ34 * (1 - IFERROR(INDEX('Inputs &amp; Assuptions'!$B$13:$B$72, COLUMN() - ($E34 + 5)), 0))
  )
)</f>
        <v>1921.3087451619028</v>
      </c>
      <c r="BL34" s="32">
        <f t="array" ref="BL34">IF(COLUMN() - ($E34 + 5) &lt; 0, 0,
  IF(COLUMN() - ($E34 + 5) = 0, $F34,
    BK34 * (1 - IFERROR(INDEX('Inputs &amp; Assuptions'!$B$13:$B$72, COLUMN() - ($E34 + 5)), 0))
  )
)</f>
        <v>1902.0956577102838</v>
      </c>
      <c r="BM34" s="66">
        <f t="array" ref="BM34">IF(COLUMN() - ($E34 + 5) &lt; 0, 0,
  IF(COLUMN() - ($E34 + 5) = 0, $F34,
    BL34 * (1 - IFERROR(INDEX('Inputs &amp; Assuptions'!$B$13:$B$72, COLUMN() - ($E34 + 5)), 0))
  )
)</f>
        <v>1883.074701133181</v>
      </c>
      <c r="BN34" s="33"/>
    </row>
    <row r="35" spans="1:66" x14ac:dyDescent="0.3">
      <c r="A35" s="71">
        <f t="shared" si="2"/>
        <v>30</v>
      </c>
      <c r="B35" s="75">
        <f t="shared" si="4"/>
        <v>6615</v>
      </c>
      <c r="C35" s="81">
        <f>$B35*(1-'Inputs &amp; Assuptions'!$B$12)</f>
        <v>3836.7000000000003</v>
      </c>
      <c r="E35" s="71">
        <f t="shared" si="3"/>
        <v>30</v>
      </c>
      <c r="F35" s="65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>
        <f>+$C35</f>
        <v>3836.7000000000003</v>
      </c>
      <c r="AJ35" s="32">
        <f t="array" ref="AJ35">IF(COLUMN() - ($E35 + 5) &lt; 0, 0,
  IF(COLUMN() - ($E35 + 5) = 0, $F35,
    AI35 * (1 - IFERROR(INDEX('Inputs &amp; Assuptions'!$B$13:$B$72, COLUMN() - ($E35 + 5)), 0))
  )
)</f>
        <v>3433.8465000000001</v>
      </c>
      <c r="AK35" s="32">
        <f t="array" ref="AK35">IF(COLUMN() - ($E35 + 5) &lt; 0, 0,
  IF(COLUMN() - ($E35 + 5) = 0, $F35,
    AJ35 * (1 - IFERROR(INDEX('Inputs &amp; Assuptions'!$B$13:$B$72, COLUMN() - ($E35 + 5)), 0))
  )
)</f>
        <v>3159.1387800000002</v>
      </c>
      <c r="AL35" s="32">
        <f t="array" ref="AL35">IF(COLUMN() - ($E35 + 5) &lt; 0, 0,
  IF(COLUMN() - ($E35 + 5) = 0, $F35,
    AK35 * (1 - IFERROR(INDEX('Inputs &amp; Assuptions'!$B$13:$B$72, COLUMN() - ($E35 + 5)), 0))
  )
)</f>
        <v>2985.3861471</v>
      </c>
      <c r="AM35" s="32">
        <f t="array" ref="AM35">IF(COLUMN() - ($E35 + 5) &lt; 0, 0,
  IF(COLUMN() - ($E35 + 5) = 0, $F35,
    AL35 * (1 - IFERROR(INDEX('Inputs &amp; Assuptions'!$B$13:$B$72, COLUMN() - ($E35 + 5)), 0))
  )
)</f>
        <v>2836.1168397450001</v>
      </c>
      <c r="AN35" s="32">
        <f t="array" ref="AN35">IF(COLUMN() - ($E35 + 5) &lt; 0, 0,
  IF(COLUMN() - ($E35 + 5) = 0, $F35,
    AM35 * (1 - IFERROR(INDEX('Inputs &amp; Assuptions'!$B$13:$B$72, COLUMN() - ($E35 + 5)), 0))
  )
)</f>
        <v>2708.4915819564749</v>
      </c>
      <c r="AO35" s="32">
        <f t="array" ref="AO35">IF(COLUMN() - ($E35 + 5) &lt; 0, 0,
  IF(COLUMN() - ($E35 + 5) = 0, $F35,
    AN35 * (1 - IFERROR(INDEX('Inputs &amp; Assuptions'!$B$13:$B$72, COLUMN() - ($E35 + 5)), 0))
  )
)</f>
        <v>2600.1519186782157</v>
      </c>
      <c r="AP35" s="32">
        <f t="array" ref="AP35">IF(COLUMN() - ($E35 + 5) &lt; 0, 0,
  IF(COLUMN() - ($E35 + 5) = 0, $F35,
    AO35 * (1 - IFERROR(INDEX('Inputs &amp; Assuptions'!$B$13:$B$72, COLUMN() - ($E35 + 5)), 0))
  )
)</f>
        <v>2509.1466015244782</v>
      </c>
      <c r="AQ35" s="32">
        <f t="array" ref="AQ35">IF(COLUMN() - ($E35 + 5) &lt; 0, 0,
  IF(COLUMN() - ($E35 + 5) = 0, $F35,
    AP35 * (1 - IFERROR(INDEX('Inputs &amp; Assuptions'!$B$13:$B$72, COLUMN() - ($E35 + 5)), 0))
  )
)</f>
        <v>2433.8722034787438</v>
      </c>
      <c r="AR35" s="32">
        <f t="array" ref="AR35">IF(COLUMN() - ($E35 + 5) &lt; 0, 0,
  IF(COLUMN() - ($E35 + 5) = 0, $F35,
    AQ35 * (1 - IFERROR(INDEX('Inputs &amp; Assuptions'!$B$13:$B$72, COLUMN() - ($E35 + 5)), 0))
  )
)</f>
        <v>2373.0253983917751</v>
      </c>
      <c r="AS35" s="32">
        <f t="array" ref="AS35">IF(COLUMN() - ($E35 + 5) &lt; 0, 0,
  IF(COLUMN() - ($E35 + 5) = 0, $F35,
    AR35 * (1 - IFERROR(INDEX('Inputs &amp; Assuptions'!$B$13:$B$72, COLUMN() - ($E35 + 5)), 0))
  )
)</f>
        <v>2325.5648904239397</v>
      </c>
      <c r="AT35" s="32">
        <f t="array" ref="AT35">IF(COLUMN() - ($E35 + 5) &lt; 0, 0,
  IF(COLUMN() - ($E35 + 5) = 0, $F35,
    AS35 * (1 - IFERROR(INDEX('Inputs &amp; Assuptions'!$B$13:$B$72, COLUMN() - ($E35 + 5)), 0))
  )
)</f>
        <v>2302.3092415197002</v>
      </c>
      <c r="AU35" s="32">
        <f t="array" ref="AU35">IF(COLUMN() - ($E35 + 5) &lt; 0, 0,
  IF(COLUMN() - ($E35 + 5) = 0, $F35,
    AT35 * (1 - IFERROR(INDEX('Inputs &amp; Assuptions'!$B$13:$B$72, COLUMN() - ($E35 + 5)), 0))
  )
)</f>
        <v>2279.2861491045032</v>
      </c>
      <c r="AV35" s="32">
        <f t="array" ref="AV35">IF(COLUMN() - ($E35 + 5) &lt; 0, 0,
  IF(COLUMN() - ($E35 + 5) = 0, $F35,
    AU35 * (1 - IFERROR(INDEX('Inputs &amp; Assuptions'!$B$13:$B$72, COLUMN() - ($E35 + 5)), 0))
  )
)</f>
        <v>2256.4932876134581</v>
      </c>
      <c r="AW35" s="32">
        <f t="array" ref="AW35">IF(COLUMN() - ($E35 + 5) &lt; 0, 0,
  IF(COLUMN() - ($E35 + 5) = 0, $F35,
    AV35 * (1 - IFERROR(INDEX('Inputs &amp; Assuptions'!$B$13:$B$72, COLUMN() - ($E35 + 5)), 0))
  )
)</f>
        <v>2233.9283547373234</v>
      </c>
      <c r="AX35" s="32">
        <f t="array" ref="AX35">IF(COLUMN() - ($E35 + 5) &lt; 0, 0,
  IF(COLUMN() - ($E35 + 5) = 0, $F35,
    AW35 * (1 - IFERROR(INDEX('Inputs &amp; Assuptions'!$B$13:$B$72, COLUMN() - ($E35 + 5)), 0))
  )
)</f>
        <v>2211.5890711899501</v>
      </c>
      <c r="AY35" s="32">
        <f t="array" ref="AY35">IF(COLUMN() - ($E35 + 5) &lt; 0, 0,
  IF(COLUMN() - ($E35 + 5) = 0, $F35,
    AX35 * (1 - IFERROR(INDEX('Inputs &amp; Assuptions'!$B$13:$B$72, COLUMN() - ($E35 + 5)), 0))
  )
)</f>
        <v>2189.4731804780504</v>
      </c>
      <c r="AZ35" s="32">
        <f t="array" ref="AZ35">IF(COLUMN() - ($E35 + 5) &lt; 0, 0,
  IF(COLUMN() - ($E35 + 5) = 0, $F35,
    AY35 * (1 - IFERROR(INDEX('Inputs &amp; Assuptions'!$B$13:$B$72, COLUMN() - ($E35 + 5)), 0))
  )
)</f>
        <v>2167.57844867327</v>
      </c>
      <c r="BA35" s="32">
        <f t="array" ref="BA35">IF(COLUMN() - ($E35 + 5) &lt; 0, 0,
  IF(COLUMN() - ($E35 + 5) = 0, $F35,
    AZ35 * (1 - IFERROR(INDEX('Inputs &amp; Assuptions'!$B$13:$B$72, COLUMN() - ($E35 + 5)), 0))
  )
)</f>
        <v>2145.9026641865371</v>
      </c>
      <c r="BB35" s="32">
        <f t="array" ref="BB35">IF(COLUMN() - ($E35 + 5) &lt; 0, 0,
  IF(COLUMN() - ($E35 + 5) = 0, $F35,
    BA35 * (1 - IFERROR(INDEX('Inputs &amp; Assuptions'!$B$13:$B$72, COLUMN() - ($E35 + 5)), 0))
  )
)</f>
        <v>2124.4436375446717</v>
      </c>
      <c r="BC35" s="32">
        <f t="array" ref="BC35">IF(COLUMN() - ($E35 + 5) &lt; 0, 0,
  IF(COLUMN() - ($E35 + 5) = 0, $F35,
    BB35 * (1 - IFERROR(INDEX('Inputs &amp; Assuptions'!$B$13:$B$72, COLUMN() - ($E35 + 5)), 0))
  )
)</f>
        <v>2103.199201169225</v>
      </c>
      <c r="BD35" s="32">
        <f t="array" ref="BD35">IF(COLUMN() - ($E35 + 5) &lt; 0, 0,
  IF(COLUMN() - ($E35 + 5) = 0, $F35,
    BC35 * (1 - IFERROR(INDEX('Inputs &amp; Assuptions'!$B$13:$B$72, COLUMN() - ($E35 + 5)), 0))
  )
)</f>
        <v>2082.1672091575329</v>
      </c>
      <c r="BE35" s="32">
        <f t="array" ref="BE35">IF(COLUMN() - ($E35 + 5) &lt; 0, 0,
  IF(COLUMN() - ($E35 + 5) = 0, $F35,
    BD35 * (1 - IFERROR(INDEX('Inputs &amp; Assuptions'!$B$13:$B$72, COLUMN() - ($E35 + 5)), 0))
  )
)</f>
        <v>2061.3455370659576</v>
      </c>
      <c r="BF35" s="32">
        <f t="array" ref="BF35">IF(COLUMN() - ($E35 + 5) &lt; 0, 0,
  IF(COLUMN() - ($E35 + 5) = 0, $F35,
    BE35 * (1 - IFERROR(INDEX('Inputs &amp; Assuptions'!$B$13:$B$72, COLUMN() - ($E35 + 5)), 0))
  )
)</f>
        <v>2040.7320816952981</v>
      </c>
      <c r="BG35" s="32">
        <f t="array" ref="BG35">IF(COLUMN() - ($E35 + 5) &lt; 0, 0,
  IF(COLUMN() - ($E35 + 5) = 0, $F35,
    BF35 * (1 - IFERROR(INDEX('Inputs &amp; Assuptions'!$B$13:$B$72, COLUMN() - ($E35 + 5)), 0))
  )
)</f>
        <v>2020.3247608783452</v>
      </c>
      <c r="BH35" s="32">
        <f t="array" ref="BH35">IF(COLUMN() - ($E35 + 5) &lt; 0, 0,
  IF(COLUMN() - ($E35 + 5) = 0, $F35,
    BG35 * (1 - IFERROR(INDEX('Inputs &amp; Assuptions'!$B$13:$B$72, COLUMN() - ($E35 + 5)), 0))
  )
)</f>
        <v>2000.1215132695618</v>
      </c>
      <c r="BI35" s="32">
        <f t="array" ref="BI35">IF(COLUMN() - ($E35 + 5) &lt; 0, 0,
  IF(COLUMN() - ($E35 + 5) = 0, $F35,
    BH35 * (1 - IFERROR(INDEX('Inputs &amp; Assuptions'!$B$13:$B$72, COLUMN() - ($E35 + 5)), 0))
  )
)</f>
        <v>1980.120298136866</v>
      </c>
      <c r="BJ35" s="32">
        <f t="array" ref="BJ35">IF(COLUMN() - ($E35 + 5) &lt; 0, 0,
  IF(COLUMN() - ($E35 + 5) = 0, $F35,
    BI35 * (1 - IFERROR(INDEX('Inputs &amp; Assuptions'!$B$13:$B$72, COLUMN() - ($E35 + 5)), 0))
  )
)</f>
        <v>1960.3190951554973</v>
      </c>
      <c r="BK35" s="32">
        <f t="array" ref="BK35">IF(COLUMN() - ($E35 + 5) &lt; 0, 0,
  IF(COLUMN() - ($E35 + 5) = 0, $F35,
    BJ35 * (1 - IFERROR(INDEX('Inputs &amp; Assuptions'!$B$13:$B$72, COLUMN() - ($E35 + 5)), 0))
  )
)</f>
        <v>1940.7159042039423</v>
      </c>
      <c r="BL35" s="32">
        <f t="array" ref="BL35">IF(COLUMN() - ($E35 + 5) &lt; 0, 0,
  IF(COLUMN() - ($E35 + 5) = 0, $F35,
    BK35 * (1 - IFERROR(INDEX('Inputs &amp; Assuptions'!$B$13:$B$72, COLUMN() - ($E35 + 5)), 0))
  )
)</f>
        <v>1921.3087451619028</v>
      </c>
      <c r="BM35" s="66">
        <f t="array" ref="BM35">IF(COLUMN() - ($E35 + 5) &lt; 0, 0,
  IF(COLUMN() - ($E35 + 5) = 0, $F35,
    BL35 * (1 - IFERROR(INDEX('Inputs &amp; Assuptions'!$B$13:$B$72, COLUMN() - ($E35 + 5)), 0))
  )
)</f>
        <v>1902.0956577102838</v>
      </c>
      <c r="BN35" s="33"/>
    </row>
    <row r="36" spans="1:66" x14ac:dyDescent="0.3">
      <c r="A36" s="71">
        <f t="shared" si="2"/>
        <v>31</v>
      </c>
      <c r="B36" s="75">
        <f t="shared" si="4"/>
        <v>6615</v>
      </c>
      <c r="C36" s="81">
        <f>$B36*(1-'Inputs &amp; Assuptions'!$B$12)</f>
        <v>3836.7000000000003</v>
      </c>
      <c r="E36" s="71">
        <f t="shared" si="3"/>
        <v>31</v>
      </c>
      <c r="F36" s="65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>
        <f>+$C36</f>
        <v>3836.7000000000003</v>
      </c>
      <c r="AK36" s="32">
        <f t="array" ref="AK36">IF(COLUMN() - ($E36 + 5) &lt; 0, 0,
  IF(COLUMN() - ($E36 + 5) = 0, $F36,
    AJ36 * (1 - IFERROR(INDEX('Inputs &amp; Assuptions'!$B$13:$B$72, COLUMN() - ($E36 + 5)), 0))
  )
)</f>
        <v>3433.8465000000001</v>
      </c>
      <c r="AL36" s="32">
        <f t="array" ref="AL36">IF(COLUMN() - ($E36 + 5) &lt; 0, 0,
  IF(COLUMN() - ($E36 + 5) = 0, $F36,
    AK36 * (1 - IFERROR(INDEX('Inputs &amp; Assuptions'!$B$13:$B$72, COLUMN() - ($E36 + 5)), 0))
  )
)</f>
        <v>3159.1387800000002</v>
      </c>
      <c r="AM36" s="32">
        <f t="array" ref="AM36">IF(COLUMN() - ($E36 + 5) &lt; 0, 0,
  IF(COLUMN() - ($E36 + 5) = 0, $F36,
    AL36 * (1 - IFERROR(INDEX('Inputs &amp; Assuptions'!$B$13:$B$72, COLUMN() - ($E36 + 5)), 0))
  )
)</f>
        <v>2985.3861471</v>
      </c>
      <c r="AN36" s="32">
        <f t="array" ref="AN36">IF(COLUMN() - ($E36 + 5) &lt; 0, 0,
  IF(COLUMN() - ($E36 + 5) = 0, $F36,
    AM36 * (1 - IFERROR(INDEX('Inputs &amp; Assuptions'!$B$13:$B$72, COLUMN() - ($E36 + 5)), 0))
  )
)</f>
        <v>2836.1168397450001</v>
      </c>
      <c r="AO36" s="32">
        <f t="array" ref="AO36">IF(COLUMN() - ($E36 + 5) &lt; 0, 0,
  IF(COLUMN() - ($E36 + 5) = 0, $F36,
    AN36 * (1 - IFERROR(INDEX('Inputs &amp; Assuptions'!$B$13:$B$72, COLUMN() - ($E36 + 5)), 0))
  )
)</f>
        <v>2708.4915819564749</v>
      </c>
      <c r="AP36" s="32">
        <f t="array" ref="AP36">IF(COLUMN() - ($E36 + 5) &lt; 0, 0,
  IF(COLUMN() - ($E36 + 5) = 0, $F36,
    AO36 * (1 - IFERROR(INDEX('Inputs &amp; Assuptions'!$B$13:$B$72, COLUMN() - ($E36 + 5)), 0))
  )
)</f>
        <v>2600.1519186782157</v>
      </c>
      <c r="AQ36" s="32">
        <f t="array" ref="AQ36">IF(COLUMN() - ($E36 + 5) &lt; 0, 0,
  IF(COLUMN() - ($E36 + 5) = 0, $F36,
    AP36 * (1 - IFERROR(INDEX('Inputs &amp; Assuptions'!$B$13:$B$72, COLUMN() - ($E36 + 5)), 0))
  )
)</f>
        <v>2509.1466015244782</v>
      </c>
      <c r="AR36" s="32">
        <f t="array" ref="AR36">IF(COLUMN() - ($E36 + 5) &lt; 0, 0,
  IF(COLUMN() - ($E36 + 5) = 0, $F36,
    AQ36 * (1 - IFERROR(INDEX('Inputs &amp; Assuptions'!$B$13:$B$72, COLUMN() - ($E36 + 5)), 0))
  )
)</f>
        <v>2433.8722034787438</v>
      </c>
      <c r="AS36" s="32">
        <f t="array" ref="AS36">IF(COLUMN() - ($E36 + 5) &lt; 0, 0,
  IF(COLUMN() - ($E36 + 5) = 0, $F36,
    AR36 * (1 - IFERROR(INDEX('Inputs &amp; Assuptions'!$B$13:$B$72, COLUMN() - ($E36 + 5)), 0))
  )
)</f>
        <v>2373.0253983917751</v>
      </c>
      <c r="AT36" s="32">
        <f t="array" ref="AT36">IF(COLUMN() - ($E36 + 5) &lt; 0, 0,
  IF(COLUMN() - ($E36 + 5) = 0, $F36,
    AS36 * (1 - IFERROR(INDEX('Inputs &amp; Assuptions'!$B$13:$B$72, COLUMN() - ($E36 + 5)), 0))
  )
)</f>
        <v>2325.5648904239397</v>
      </c>
      <c r="AU36" s="32">
        <f t="array" ref="AU36">IF(COLUMN() - ($E36 + 5) &lt; 0, 0,
  IF(COLUMN() - ($E36 + 5) = 0, $F36,
    AT36 * (1 - IFERROR(INDEX('Inputs &amp; Assuptions'!$B$13:$B$72, COLUMN() - ($E36 + 5)), 0))
  )
)</f>
        <v>2302.3092415197002</v>
      </c>
      <c r="AV36" s="32">
        <f t="array" ref="AV36">IF(COLUMN() - ($E36 + 5) &lt; 0, 0,
  IF(COLUMN() - ($E36 + 5) = 0, $F36,
    AU36 * (1 - IFERROR(INDEX('Inputs &amp; Assuptions'!$B$13:$B$72, COLUMN() - ($E36 + 5)), 0))
  )
)</f>
        <v>2279.2861491045032</v>
      </c>
      <c r="AW36" s="32">
        <f t="array" ref="AW36">IF(COLUMN() - ($E36 + 5) &lt; 0, 0,
  IF(COLUMN() - ($E36 + 5) = 0, $F36,
    AV36 * (1 - IFERROR(INDEX('Inputs &amp; Assuptions'!$B$13:$B$72, COLUMN() - ($E36 + 5)), 0))
  )
)</f>
        <v>2256.4932876134581</v>
      </c>
      <c r="AX36" s="32">
        <f t="array" ref="AX36">IF(COLUMN() - ($E36 + 5) &lt; 0, 0,
  IF(COLUMN() - ($E36 + 5) = 0, $F36,
    AW36 * (1 - IFERROR(INDEX('Inputs &amp; Assuptions'!$B$13:$B$72, COLUMN() - ($E36 + 5)), 0))
  )
)</f>
        <v>2233.9283547373234</v>
      </c>
      <c r="AY36" s="32">
        <f t="array" ref="AY36">IF(COLUMN() - ($E36 + 5) &lt; 0, 0,
  IF(COLUMN() - ($E36 + 5) = 0, $F36,
    AX36 * (1 - IFERROR(INDEX('Inputs &amp; Assuptions'!$B$13:$B$72, COLUMN() - ($E36 + 5)), 0))
  )
)</f>
        <v>2211.5890711899501</v>
      </c>
      <c r="AZ36" s="32">
        <f t="array" ref="AZ36">IF(COLUMN() - ($E36 + 5) &lt; 0, 0,
  IF(COLUMN() - ($E36 + 5) = 0, $F36,
    AY36 * (1 - IFERROR(INDEX('Inputs &amp; Assuptions'!$B$13:$B$72, COLUMN() - ($E36 + 5)), 0))
  )
)</f>
        <v>2189.4731804780504</v>
      </c>
      <c r="BA36" s="32">
        <f t="array" ref="BA36">IF(COLUMN() - ($E36 + 5) &lt; 0, 0,
  IF(COLUMN() - ($E36 + 5) = 0, $F36,
    AZ36 * (1 - IFERROR(INDEX('Inputs &amp; Assuptions'!$B$13:$B$72, COLUMN() - ($E36 + 5)), 0))
  )
)</f>
        <v>2167.57844867327</v>
      </c>
      <c r="BB36" s="32">
        <f t="array" ref="BB36">IF(COLUMN() - ($E36 + 5) &lt; 0, 0,
  IF(COLUMN() - ($E36 + 5) = 0, $F36,
    BA36 * (1 - IFERROR(INDEX('Inputs &amp; Assuptions'!$B$13:$B$72, COLUMN() - ($E36 + 5)), 0))
  )
)</f>
        <v>2145.9026641865371</v>
      </c>
      <c r="BC36" s="32">
        <f t="array" ref="BC36">IF(COLUMN() - ($E36 + 5) &lt; 0, 0,
  IF(COLUMN() - ($E36 + 5) = 0, $F36,
    BB36 * (1 - IFERROR(INDEX('Inputs &amp; Assuptions'!$B$13:$B$72, COLUMN() - ($E36 + 5)), 0))
  )
)</f>
        <v>2124.4436375446717</v>
      </c>
      <c r="BD36" s="32">
        <f t="array" ref="BD36">IF(COLUMN() - ($E36 + 5) &lt; 0, 0,
  IF(COLUMN() - ($E36 + 5) = 0, $F36,
    BC36 * (1 - IFERROR(INDEX('Inputs &amp; Assuptions'!$B$13:$B$72, COLUMN() - ($E36 + 5)), 0))
  )
)</f>
        <v>2103.199201169225</v>
      </c>
      <c r="BE36" s="32">
        <f t="array" ref="BE36">IF(COLUMN() - ($E36 + 5) &lt; 0, 0,
  IF(COLUMN() - ($E36 + 5) = 0, $F36,
    BD36 * (1 - IFERROR(INDEX('Inputs &amp; Assuptions'!$B$13:$B$72, COLUMN() - ($E36 + 5)), 0))
  )
)</f>
        <v>2082.1672091575329</v>
      </c>
      <c r="BF36" s="32">
        <f t="array" ref="BF36">IF(COLUMN() - ($E36 + 5) &lt; 0, 0,
  IF(COLUMN() - ($E36 + 5) = 0, $F36,
    BE36 * (1 - IFERROR(INDEX('Inputs &amp; Assuptions'!$B$13:$B$72, COLUMN() - ($E36 + 5)), 0))
  )
)</f>
        <v>2061.3455370659576</v>
      </c>
      <c r="BG36" s="32">
        <f t="array" ref="BG36">IF(COLUMN() - ($E36 + 5) &lt; 0, 0,
  IF(COLUMN() - ($E36 + 5) = 0, $F36,
    BF36 * (1 - IFERROR(INDEX('Inputs &amp; Assuptions'!$B$13:$B$72, COLUMN() - ($E36 + 5)), 0))
  )
)</f>
        <v>2040.7320816952981</v>
      </c>
      <c r="BH36" s="32">
        <f t="array" ref="BH36">IF(COLUMN() - ($E36 + 5) &lt; 0, 0,
  IF(COLUMN() - ($E36 + 5) = 0, $F36,
    BG36 * (1 - IFERROR(INDEX('Inputs &amp; Assuptions'!$B$13:$B$72, COLUMN() - ($E36 + 5)), 0))
  )
)</f>
        <v>2020.3247608783452</v>
      </c>
      <c r="BI36" s="32">
        <f t="array" ref="BI36">IF(COLUMN() - ($E36 + 5) &lt; 0, 0,
  IF(COLUMN() - ($E36 + 5) = 0, $F36,
    BH36 * (1 - IFERROR(INDEX('Inputs &amp; Assuptions'!$B$13:$B$72, COLUMN() - ($E36 + 5)), 0))
  )
)</f>
        <v>2000.1215132695618</v>
      </c>
      <c r="BJ36" s="32">
        <f t="array" ref="BJ36">IF(COLUMN() - ($E36 + 5) &lt; 0, 0,
  IF(COLUMN() - ($E36 + 5) = 0, $F36,
    BI36 * (1 - IFERROR(INDEX('Inputs &amp; Assuptions'!$B$13:$B$72, COLUMN() - ($E36 + 5)), 0))
  )
)</f>
        <v>1980.120298136866</v>
      </c>
      <c r="BK36" s="32">
        <f t="array" ref="BK36">IF(COLUMN() - ($E36 + 5) &lt; 0, 0,
  IF(COLUMN() - ($E36 + 5) = 0, $F36,
    BJ36 * (1 - IFERROR(INDEX('Inputs &amp; Assuptions'!$B$13:$B$72, COLUMN() - ($E36 + 5)), 0))
  )
)</f>
        <v>1960.3190951554973</v>
      </c>
      <c r="BL36" s="32">
        <f t="array" ref="BL36">IF(COLUMN() - ($E36 + 5) &lt; 0, 0,
  IF(COLUMN() - ($E36 + 5) = 0, $F36,
    BK36 * (1 - IFERROR(INDEX('Inputs &amp; Assuptions'!$B$13:$B$72, COLUMN() - ($E36 + 5)), 0))
  )
)</f>
        <v>1940.7159042039423</v>
      </c>
      <c r="BM36" s="66">
        <f t="array" ref="BM36">IF(COLUMN() - ($E36 + 5) &lt; 0, 0,
  IF(COLUMN() - ($E36 + 5) = 0, $F36,
    BL36 * (1 - IFERROR(INDEX('Inputs &amp; Assuptions'!$B$13:$B$72, COLUMN() - ($E36 + 5)), 0))
  )
)</f>
        <v>1921.3087451619028</v>
      </c>
      <c r="BN36" s="33"/>
    </row>
    <row r="37" spans="1:66" x14ac:dyDescent="0.3">
      <c r="A37" s="71">
        <f t="shared" si="2"/>
        <v>32</v>
      </c>
      <c r="B37" s="75">
        <f t="shared" si="4"/>
        <v>6615</v>
      </c>
      <c r="C37" s="81">
        <f>$B37*(1-'Inputs &amp; Assuptions'!$B$12)</f>
        <v>3836.7000000000003</v>
      </c>
      <c r="E37" s="71">
        <f t="shared" si="3"/>
        <v>32</v>
      </c>
      <c r="F37" s="65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>
        <f>+$C37</f>
        <v>3836.7000000000003</v>
      </c>
      <c r="AL37" s="32">
        <f t="array" ref="AL37">IF(COLUMN() - ($E37 + 5) &lt; 0, 0,
  IF(COLUMN() - ($E37 + 5) = 0, $F37,
    AK37 * (1 - IFERROR(INDEX('Inputs &amp; Assuptions'!$B$13:$B$72, COLUMN() - ($E37 + 5)), 0))
  )
)</f>
        <v>3433.8465000000001</v>
      </c>
      <c r="AM37" s="32">
        <f t="array" ref="AM37">IF(COLUMN() - ($E37 + 5) &lt; 0, 0,
  IF(COLUMN() - ($E37 + 5) = 0, $F37,
    AL37 * (1 - IFERROR(INDEX('Inputs &amp; Assuptions'!$B$13:$B$72, COLUMN() - ($E37 + 5)), 0))
  )
)</f>
        <v>3159.1387800000002</v>
      </c>
      <c r="AN37" s="32">
        <f t="array" ref="AN37">IF(COLUMN() - ($E37 + 5) &lt; 0, 0,
  IF(COLUMN() - ($E37 + 5) = 0, $F37,
    AM37 * (1 - IFERROR(INDEX('Inputs &amp; Assuptions'!$B$13:$B$72, COLUMN() - ($E37 + 5)), 0))
  )
)</f>
        <v>2985.3861471</v>
      </c>
      <c r="AO37" s="32">
        <f t="array" ref="AO37">IF(COLUMN() - ($E37 + 5) &lt; 0, 0,
  IF(COLUMN() - ($E37 + 5) = 0, $F37,
    AN37 * (1 - IFERROR(INDEX('Inputs &amp; Assuptions'!$B$13:$B$72, COLUMN() - ($E37 + 5)), 0))
  )
)</f>
        <v>2836.1168397450001</v>
      </c>
      <c r="AP37" s="32">
        <f t="array" ref="AP37">IF(COLUMN() - ($E37 + 5) &lt; 0, 0,
  IF(COLUMN() - ($E37 + 5) = 0, $F37,
    AO37 * (1 - IFERROR(INDEX('Inputs &amp; Assuptions'!$B$13:$B$72, COLUMN() - ($E37 + 5)), 0))
  )
)</f>
        <v>2708.4915819564749</v>
      </c>
      <c r="AQ37" s="32">
        <f t="array" ref="AQ37">IF(COLUMN() - ($E37 + 5) &lt; 0, 0,
  IF(COLUMN() - ($E37 + 5) = 0, $F37,
    AP37 * (1 - IFERROR(INDEX('Inputs &amp; Assuptions'!$B$13:$B$72, COLUMN() - ($E37 + 5)), 0))
  )
)</f>
        <v>2600.1519186782157</v>
      </c>
      <c r="AR37" s="32">
        <f t="array" ref="AR37">IF(COLUMN() - ($E37 + 5) &lt; 0, 0,
  IF(COLUMN() - ($E37 + 5) = 0, $F37,
    AQ37 * (1 - IFERROR(INDEX('Inputs &amp; Assuptions'!$B$13:$B$72, COLUMN() - ($E37 + 5)), 0))
  )
)</f>
        <v>2509.1466015244782</v>
      </c>
      <c r="AS37" s="32">
        <f t="array" ref="AS37">IF(COLUMN() - ($E37 + 5) &lt; 0, 0,
  IF(COLUMN() - ($E37 + 5) = 0, $F37,
    AR37 * (1 - IFERROR(INDEX('Inputs &amp; Assuptions'!$B$13:$B$72, COLUMN() - ($E37 + 5)), 0))
  )
)</f>
        <v>2433.8722034787438</v>
      </c>
      <c r="AT37" s="32">
        <f t="array" ref="AT37">IF(COLUMN() - ($E37 + 5) &lt; 0, 0,
  IF(COLUMN() - ($E37 + 5) = 0, $F37,
    AS37 * (1 - IFERROR(INDEX('Inputs &amp; Assuptions'!$B$13:$B$72, COLUMN() - ($E37 + 5)), 0))
  )
)</f>
        <v>2373.0253983917751</v>
      </c>
      <c r="AU37" s="32">
        <f t="array" ref="AU37">IF(COLUMN() - ($E37 + 5) &lt; 0, 0,
  IF(COLUMN() - ($E37 + 5) = 0, $F37,
    AT37 * (1 - IFERROR(INDEX('Inputs &amp; Assuptions'!$B$13:$B$72, COLUMN() - ($E37 + 5)), 0))
  )
)</f>
        <v>2325.5648904239397</v>
      </c>
      <c r="AV37" s="32">
        <f t="array" ref="AV37">IF(COLUMN() - ($E37 + 5) &lt; 0, 0,
  IF(COLUMN() - ($E37 + 5) = 0, $F37,
    AU37 * (1 - IFERROR(INDEX('Inputs &amp; Assuptions'!$B$13:$B$72, COLUMN() - ($E37 + 5)), 0))
  )
)</f>
        <v>2302.3092415197002</v>
      </c>
      <c r="AW37" s="32">
        <f t="array" ref="AW37">IF(COLUMN() - ($E37 + 5) &lt; 0, 0,
  IF(COLUMN() - ($E37 + 5) = 0, $F37,
    AV37 * (1 - IFERROR(INDEX('Inputs &amp; Assuptions'!$B$13:$B$72, COLUMN() - ($E37 + 5)), 0))
  )
)</f>
        <v>2279.2861491045032</v>
      </c>
      <c r="AX37" s="32">
        <f t="array" ref="AX37">IF(COLUMN() - ($E37 + 5) &lt; 0, 0,
  IF(COLUMN() - ($E37 + 5) = 0, $F37,
    AW37 * (1 - IFERROR(INDEX('Inputs &amp; Assuptions'!$B$13:$B$72, COLUMN() - ($E37 + 5)), 0))
  )
)</f>
        <v>2256.4932876134581</v>
      </c>
      <c r="AY37" s="32">
        <f t="array" ref="AY37">IF(COLUMN() - ($E37 + 5) &lt; 0, 0,
  IF(COLUMN() - ($E37 + 5) = 0, $F37,
    AX37 * (1 - IFERROR(INDEX('Inputs &amp; Assuptions'!$B$13:$B$72, COLUMN() - ($E37 + 5)), 0))
  )
)</f>
        <v>2233.9283547373234</v>
      </c>
      <c r="AZ37" s="32">
        <f t="array" ref="AZ37">IF(COLUMN() - ($E37 + 5) &lt; 0, 0,
  IF(COLUMN() - ($E37 + 5) = 0, $F37,
    AY37 * (1 - IFERROR(INDEX('Inputs &amp; Assuptions'!$B$13:$B$72, COLUMN() - ($E37 + 5)), 0))
  )
)</f>
        <v>2211.5890711899501</v>
      </c>
      <c r="BA37" s="32">
        <f t="array" ref="BA37">IF(COLUMN() - ($E37 + 5) &lt; 0, 0,
  IF(COLUMN() - ($E37 + 5) = 0, $F37,
    AZ37 * (1 - IFERROR(INDEX('Inputs &amp; Assuptions'!$B$13:$B$72, COLUMN() - ($E37 + 5)), 0))
  )
)</f>
        <v>2189.4731804780504</v>
      </c>
      <c r="BB37" s="32">
        <f t="array" ref="BB37">IF(COLUMN() - ($E37 + 5) &lt; 0, 0,
  IF(COLUMN() - ($E37 + 5) = 0, $F37,
    BA37 * (1 - IFERROR(INDEX('Inputs &amp; Assuptions'!$B$13:$B$72, COLUMN() - ($E37 + 5)), 0))
  )
)</f>
        <v>2167.57844867327</v>
      </c>
      <c r="BC37" s="32">
        <f t="array" ref="BC37">IF(COLUMN() - ($E37 + 5) &lt; 0, 0,
  IF(COLUMN() - ($E37 + 5) = 0, $F37,
    BB37 * (1 - IFERROR(INDEX('Inputs &amp; Assuptions'!$B$13:$B$72, COLUMN() - ($E37 + 5)), 0))
  )
)</f>
        <v>2145.9026641865371</v>
      </c>
      <c r="BD37" s="32">
        <f t="array" ref="BD37">IF(COLUMN() - ($E37 + 5) &lt; 0, 0,
  IF(COLUMN() - ($E37 + 5) = 0, $F37,
    BC37 * (1 - IFERROR(INDEX('Inputs &amp; Assuptions'!$B$13:$B$72, COLUMN() - ($E37 + 5)), 0))
  )
)</f>
        <v>2124.4436375446717</v>
      </c>
      <c r="BE37" s="32">
        <f t="array" ref="BE37">IF(COLUMN() - ($E37 + 5) &lt; 0, 0,
  IF(COLUMN() - ($E37 + 5) = 0, $F37,
    BD37 * (1 - IFERROR(INDEX('Inputs &amp; Assuptions'!$B$13:$B$72, COLUMN() - ($E37 + 5)), 0))
  )
)</f>
        <v>2103.199201169225</v>
      </c>
      <c r="BF37" s="32">
        <f t="array" ref="BF37">IF(COLUMN() - ($E37 + 5) &lt; 0, 0,
  IF(COLUMN() - ($E37 + 5) = 0, $F37,
    BE37 * (1 - IFERROR(INDEX('Inputs &amp; Assuptions'!$B$13:$B$72, COLUMN() - ($E37 + 5)), 0))
  )
)</f>
        <v>2082.1672091575329</v>
      </c>
      <c r="BG37" s="32">
        <f t="array" ref="BG37">IF(COLUMN() - ($E37 + 5) &lt; 0, 0,
  IF(COLUMN() - ($E37 + 5) = 0, $F37,
    BF37 * (1 - IFERROR(INDEX('Inputs &amp; Assuptions'!$B$13:$B$72, COLUMN() - ($E37 + 5)), 0))
  )
)</f>
        <v>2061.3455370659576</v>
      </c>
      <c r="BH37" s="32">
        <f t="array" ref="BH37">IF(COLUMN() - ($E37 + 5) &lt; 0, 0,
  IF(COLUMN() - ($E37 + 5) = 0, $F37,
    BG37 * (1 - IFERROR(INDEX('Inputs &amp; Assuptions'!$B$13:$B$72, COLUMN() - ($E37 + 5)), 0))
  )
)</f>
        <v>2040.7320816952981</v>
      </c>
      <c r="BI37" s="32">
        <f t="array" ref="BI37">IF(COLUMN() - ($E37 + 5) &lt; 0, 0,
  IF(COLUMN() - ($E37 + 5) = 0, $F37,
    BH37 * (1 - IFERROR(INDEX('Inputs &amp; Assuptions'!$B$13:$B$72, COLUMN() - ($E37 + 5)), 0))
  )
)</f>
        <v>2020.3247608783452</v>
      </c>
      <c r="BJ37" s="32">
        <f t="array" ref="BJ37">IF(COLUMN() - ($E37 + 5) &lt; 0, 0,
  IF(COLUMN() - ($E37 + 5) = 0, $F37,
    BI37 * (1 - IFERROR(INDEX('Inputs &amp; Assuptions'!$B$13:$B$72, COLUMN() - ($E37 + 5)), 0))
  )
)</f>
        <v>2000.1215132695618</v>
      </c>
      <c r="BK37" s="32">
        <f t="array" ref="BK37">IF(COLUMN() - ($E37 + 5) &lt; 0, 0,
  IF(COLUMN() - ($E37 + 5) = 0, $F37,
    BJ37 * (1 - IFERROR(INDEX('Inputs &amp; Assuptions'!$B$13:$B$72, COLUMN() - ($E37 + 5)), 0))
  )
)</f>
        <v>1980.120298136866</v>
      </c>
      <c r="BL37" s="32">
        <f t="array" ref="BL37">IF(COLUMN() - ($E37 + 5) &lt; 0, 0,
  IF(COLUMN() - ($E37 + 5) = 0, $F37,
    BK37 * (1 - IFERROR(INDEX('Inputs &amp; Assuptions'!$B$13:$B$72, COLUMN() - ($E37 + 5)), 0))
  )
)</f>
        <v>1960.3190951554973</v>
      </c>
      <c r="BM37" s="66">
        <f t="array" ref="BM37">IF(COLUMN() - ($E37 + 5) &lt; 0, 0,
  IF(COLUMN() - ($E37 + 5) = 0, $F37,
    BL37 * (1 - IFERROR(INDEX('Inputs &amp; Assuptions'!$B$13:$B$72, COLUMN() - ($E37 + 5)), 0))
  )
)</f>
        <v>1940.7159042039423</v>
      </c>
      <c r="BN37" s="33"/>
    </row>
    <row r="38" spans="1:66" x14ac:dyDescent="0.3">
      <c r="A38" s="71">
        <f t="shared" si="2"/>
        <v>33</v>
      </c>
      <c r="B38" s="75">
        <f t="shared" si="4"/>
        <v>6615</v>
      </c>
      <c r="C38" s="81">
        <f>$B38*(1-'Inputs &amp; Assuptions'!$B$12)</f>
        <v>3836.7000000000003</v>
      </c>
      <c r="E38" s="71">
        <f t="shared" si="3"/>
        <v>33</v>
      </c>
      <c r="F38" s="65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>
        <f>+$C38</f>
        <v>3836.7000000000003</v>
      </c>
      <c r="AM38" s="32">
        <f t="array" ref="AM38">IF(COLUMN() - ($E38 + 5) &lt; 0, 0,
  IF(COLUMN() - ($E38 + 5) = 0, $F38,
    AL38 * (1 - IFERROR(INDEX('Inputs &amp; Assuptions'!$B$13:$B$72, COLUMN() - ($E38 + 5)), 0))
  )
)</f>
        <v>3433.8465000000001</v>
      </c>
      <c r="AN38" s="32">
        <f t="array" ref="AN38">IF(COLUMN() - ($E38 + 5) &lt; 0, 0,
  IF(COLUMN() - ($E38 + 5) = 0, $F38,
    AM38 * (1 - IFERROR(INDEX('Inputs &amp; Assuptions'!$B$13:$B$72, COLUMN() - ($E38 + 5)), 0))
  )
)</f>
        <v>3159.1387800000002</v>
      </c>
      <c r="AO38" s="32">
        <f t="array" ref="AO38">IF(COLUMN() - ($E38 + 5) &lt; 0, 0,
  IF(COLUMN() - ($E38 + 5) = 0, $F38,
    AN38 * (1 - IFERROR(INDEX('Inputs &amp; Assuptions'!$B$13:$B$72, COLUMN() - ($E38 + 5)), 0))
  )
)</f>
        <v>2985.3861471</v>
      </c>
      <c r="AP38" s="32">
        <f t="array" ref="AP38">IF(COLUMN() - ($E38 + 5) &lt; 0, 0,
  IF(COLUMN() - ($E38 + 5) = 0, $F38,
    AO38 * (1 - IFERROR(INDEX('Inputs &amp; Assuptions'!$B$13:$B$72, COLUMN() - ($E38 + 5)), 0))
  )
)</f>
        <v>2836.1168397450001</v>
      </c>
      <c r="AQ38" s="32">
        <f t="array" ref="AQ38">IF(COLUMN() - ($E38 + 5) &lt; 0, 0,
  IF(COLUMN() - ($E38 + 5) = 0, $F38,
    AP38 * (1 - IFERROR(INDEX('Inputs &amp; Assuptions'!$B$13:$B$72, COLUMN() - ($E38 + 5)), 0))
  )
)</f>
        <v>2708.4915819564749</v>
      </c>
      <c r="AR38" s="32">
        <f t="array" ref="AR38">IF(COLUMN() - ($E38 + 5) &lt; 0, 0,
  IF(COLUMN() - ($E38 + 5) = 0, $F38,
    AQ38 * (1 - IFERROR(INDEX('Inputs &amp; Assuptions'!$B$13:$B$72, COLUMN() - ($E38 + 5)), 0))
  )
)</f>
        <v>2600.1519186782157</v>
      </c>
      <c r="AS38" s="32">
        <f t="array" ref="AS38">IF(COLUMN() - ($E38 + 5) &lt; 0, 0,
  IF(COLUMN() - ($E38 + 5) = 0, $F38,
    AR38 * (1 - IFERROR(INDEX('Inputs &amp; Assuptions'!$B$13:$B$72, COLUMN() - ($E38 + 5)), 0))
  )
)</f>
        <v>2509.1466015244782</v>
      </c>
      <c r="AT38" s="32">
        <f t="array" ref="AT38">IF(COLUMN() - ($E38 + 5) &lt; 0, 0,
  IF(COLUMN() - ($E38 + 5) = 0, $F38,
    AS38 * (1 - IFERROR(INDEX('Inputs &amp; Assuptions'!$B$13:$B$72, COLUMN() - ($E38 + 5)), 0))
  )
)</f>
        <v>2433.8722034787438</v>
      </c>
      <c r="AU38" s="32">
        <f t="array" ref="AU38">IF(COLUMN() - ($E38 + 5) &lt; 0, 0,
  IF(COLUMN() - ($E38 + 5) = 0, $F38,
    AT38 * (1 - IFERROR(INDEX('Inputs &amp; Assuptions'!$B$13:$B$72, COLUMN() - ($E38 + 5)), 0))
  )
)</f>
        <v>2373.0253983917751</v>
      </c>
      <c r="AV38" s="32">
        <f t="array" ref="AV38">IF(COLUMN() - ($E38 + 5) &lt; 0, 0,
  IF(COLUMN() - ($E38 + 5) = 0, $F38,
    AU38 * (1 - IFERROR(INDEX('Inputs &amp; Assuptions'!$B$13:$B$72, COLUMN() - ($E38 + 5)), 0))
  )
)</f>
        <v>2325.5648904239397</v>
      </c>
      <c r="AW38" s="32">
        <f t="array" ref="AW38">IF(COLUMN() - ($E38 + 5) &lt; 0, 0,
  IF(COLUMN() - ($E38 + 5) = 0, $F38,
    AV38 * (1 - IFERROR(INDEX('Inputs &amp; Assuptions'!$B$13:$B$72, COLUMN() - ($E38 + 5)), 0))
  )
)</f>
        <v>2302.3092415197002</v>
      </c>
      <c r="AX38" s="32">
        <f t="array" ref="AX38">IF(COLUMN() - ($E38 + 5) &lt; 0, 0,
  IF(COLUMN() - ($E38 + 5) = 0, $F38,
    AW38 * (1 - IFERROR(INDEX('Inputs &amp; Assuptions'!$B$13:$B$72, COLUMN() - ($E38 + 5)), 0))
  )
)</f>
        <v>2279.2861491045032</v>
      </c>
      <c r="AY38" s="32">
        <f t="array" ref="AY38">IF(COLUMN() - ($E38 + 5) &lt; 0, 0,
  IF(COLUMN() - ($E38 + 5) = 0, $F38,
    AX38 * (1 - IFERROR(INDEX('Inputs &amp; Assuptions'!$B$13:$B$72, COLUMN() - ($E38 + 5)), 0))
  )
)</f>
        <v>2256.4932876134581</v>
      </c>
      <c r="AZ38" s="32">
        <f t="array" ref="AZ38">IF(COLUMN() - ($E38 + 5) &lt; 0, 0,
  IF(COLUMN() - ($E38 + 5) = 0, $F38,
    AY38 * (1 - IFERROR(INDEX('Inputs &amp; Assuptions'!$B$13:$B$72, COLUMN() - ($E38 + 5)), 0))
  )
)</f>
        <v>2233.9283547373234</v>
      </c>
      <c r="BA38" s="32">
        <f t="array" ref="BA38">IF(COLUMN() - ($E38 + 5) &lt; 0, 0,
  IF(COLUMN() - ($E38 + 5) = 0, $F38,
    AZ38 * (1 - IFERROR(INDEX('Inputs &amp; Assuptions'!$B$13:$B$72, COLUMN() - ($E38 + 5)), 0))
  )
)</f>
        <v>2211.5890711899501</v>
      </c>
      <c r="BB38" s="32">
        <f t="array" ref="BB38">IF(COLUMN() - ($E38 + 5) &lt; 0, 0,
  IF(COLUMN() - ($E38 + 5) = 0, $F38,
    BA38 * (1 - IFERROR(INDEX('Inputs &amp; Assuptions'!$B$13:$B$72, COLUMN() - ($E38 + 5)), 0))
  )
)</f>
        <v>2189.4731804780504</v>
      </c>
      <c r="BC38" s="32">
        <f t="array" ref="BC38">IF(COLUMN() - ($E38 + 5) &lt; 0, 0,
  IF(COLUMN() - ($E38 + 5) = 0, $F38,
    BB38 * (1 - IFERROR(INDEX('Inputs &amp; Assuptions'!$B$13:$B$72, COLUMN() - ($E38 + 5)), 0))
  )
)</f>
        <v>2167.57844867327</v>
      </c>
      <c r="BD38" s="32">
        <f t="array" ref="BD38">IF(COLUMN() - ($E38 + 5) &lt; 0, 0,
  IF(COLUMN() - ($E38 + 5) = 0, $F38,
    BC38 * (1 - IFERROR(INDEX('Inputs &amp; Assuptions'!$B$13:$B$72, COLUMN() - ($E38 + 5)), 0))
  )
)</f>
        <v>2145.9026641865371</v>
      </c>
      <c r="BE38" s="32">
        <f t="array" ref="BE38">IF(COLUMN() - ($E38 + 5) &lt; 0, 0,
  IF(COLUMN() - ($E38 + 5) = 0, $F38,
    BD38 * (1 - IFERROR(INDEX('Inputs &amp; Assuptions'!$B$13:$B$72, COLUMN() - ($E38 + 5)), 0))
  )
)</f>
        <v>2124.4436375446717</v>
      </c>
      <c r="BF38" s="32">
        <f t="array" ref="BF38">IF(COLUMN() - ($E38 + 5) &lt; 0, 0,
  IF(COLUMN() - ($E38 + 5) = 0, $F38,
    BE38 * (1 - IFERROR(INDEX('Inputs &amp; Assuptions'!$B$13:$B$72, COLUMN() - ($E38 + 5)), 0))
  )
)</f>
        <v>2103.199201169225</v>
      </c>
      <c r="BG38" s="32">
        <f t="array" ref="BG38">IF(COLUMN() - ($E38 + 5) &lt; 0, 0,
  IF(COLUMN() - ($E38 + 5) = 0, $F38,
    BF38 * (1 - IFERROR(INDEX('Inputs &amp; Assuptions'!$B$13:$B$72, COLUMN() - ($E38 + 5)), 0))
  )
)</f>
        <v>2082.1672091575329</v>
      </c>
      <c r="BH38" s="32">
        <f t="array" ref="BH38">IF(COLUMN() - ($E38 + 5) &lt; 0, 0,
  IF(COLUMN() - ($E38 + 5) = 0, $F38,
    BG38 * (1 - IFERROR(INDEX('Inputs &amp; Assuptions'!$B$13:$B$72, COLUMN() - ($E38 + 5)), 0))
  )
)</f>
        <v>2061.3455370659576</v>
      </c>
      <c r="BI38" s="32">
        <f t="array" ref="BI38">IF(COLUMN() - ($E38 + 5) &lt; 0, 0,
  IF(COLUMN() - ($E38 + 5) = 0, $F38,
    BH38 * (1 - IFERROR(INDEX('Inputs &amp; Assuptions'!$B$13:$B$72, COLUMN() - ($E38 + 5)), 0))
  )
)</f>
        <v>2040.7320816952981</v>
      </c>
      <c r="BJ38" s="32">
        <f t="array" ref="BJ38">IF(COLUMN() - ($E38 + 5) &lt; 0, 0,
  IF(COLUMN() - ($E38 + 5) = 0, $F38,
    BI38 * (1 - IFERROR(INDEX('Inputs &amp; Assuptions'!$B$13:$B$72, COLUMN() - ($E38 + 5)), 0))
  )
)</f>
        <v>2020.3247608783452</v>
      </c>
      <c r="BK38" s="32">
        <f t="array" ref="BK38">IF(COLUMN() - ($E38 + 5) &lt; 0, 0,
  IF(COLUMN() - ($E38 + 5) = 0, $F38,
    BJ38 * (1 - IFERROR(INDEX('Inputs &amp; Assuptions'!$B$13:$B$72, COLUMN() - ($E38 + 5)), 0))
  )
)</f>
        <v>2000.1215132695618</v>
      </c>
      <c r="BL38" s="32">
        <f t="array" ref="BL38">IF(COLUMN() - ($E38 + 5) &lt; 0, 0,
  IF(COLUMN() - ($E38 + 5) = 0, $F38,
    BK38 * (1 - IFERROR(INDEX('Inputs &amp; Assuptions'!$B$13:$B$72, COLUMN() - ($E38 + 5)), 0))
  )
)</f>
        <v>1980.120298136866</v>
      </c>
      <c r="BM38" s="66">
        <f t="array" ref="BM38">IF(COLUMN() - ($E38 + 5) &lt; 0, 0,
  IF(COLUMN() - ($E38 + 5) = 0, $F38,
    BL38 * (1 - IFERROR(INDEX('Inputs &amp; Assuptions'!$B$13:$B$72, COLUMN() - ($E38 + 5)), 0))
  )
)</f>
        <v>1960.3190951554973</v>
      </c>
      <c r="BN38" s="33"/>
    </row>
    <row r="39" spans="1:66" x14ac:dyDescent="0.3">
      <c r="A39" s="71">
        <f t="shared" ref="A39:A65" si="5">A38+1</f>
        <v>34</v>
      </c>
      <c r="B39" s="75">
        <f t="shared" si="4"/>
        <v>6615</v>
      </c>
      <c r="C39" s="81">
        <f>$B39*(1-'Inputs &amp; Assuptions'!$B$12)</f>
        <v>3836.7000000000003</v>
      </c>
      <c r="E39" s="71">
        <f t="shared" ref="E39:E65" si="6">E38+1</f>
        <v>34</v>
      </c>
      <c r="F39" s="65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>
        <f>+$C39</f>
        <v>3836.7000000000003</v>
      </c>
      <c r="AN39" s="32">
        <f t="array" ref="AN39">IF(COLUMN() - ($E39 + 5) &lt; 0, 0,
  IF(COLUMN() - ($E39 + 5) = 0, $F39,
    AM39 * (1 - IFERROR(INDEX('Inputs &amp; Assuptions'!$B$13:$B$72, COLUMN() - ($E39 + 5)), 0))
  )
)</f>
        <v>3433.8465000000001</v>
      </c>
      <c r="AO39" s="32">
        <f t="array" ref="AO39">IF(COLUMN() - ($E39 + 5) &lt; 0, 0,
  IF(COLUMN() - ($E39 + 5) = 0, $F39,
    AN39 * (1 - IFERROR(INDEX('Inputs &amp; Assuptions'!$B$13:$B$72, COLUMN() - ($E39 + 5)), 0))
  )
)</f>
        <v>3159.1387800000002</v>
      </c>
      <c r="AP39" s="32">
        <f t="array" ref="AP39">IF(COLUMN() - ($E39 + 5) &lt; 0, 0,
  IF(COLUMN() - ($E39 + 5) = 0, $F39,
    AO39 * (1 - IFERROR(INDEX('Inputs &amp; Assuptions'!$B$13:$B$72, COLUMN() - ($E39 + 5)), 0))
  )
)</f>
        <v>2985.3861471</v>
      </c>
      <c r="AQ39" s="32">
        <f t="array" ref="AQ39">IF(COLUMN() - ($E39 + 5) &lt; 0, 0,
  IF(COLUMN() - ($E39 + 5) = 0, $F39,
    AP39 * (1 - IFERROR(INDEX('Inputs &amp; Assuptions'!$B$13:$B$72, COLUMN() - ($E39 + 5)), 0))
  )
)</f>
        <v>2836.1168397450001</v>
      </c>
      <c r="AR39" s="32">
        <f t="array" ref="AR39">IF(COLUMN() - ($E39 + 5) &lt; 0, 0,
  IF(COLUMN() - ($E39 + 5) = 0, $F39,
    AQ39 * (1 - IFERROR(INDEX('Inputs &amp; Assuptions'!$B$13:$B$72, COLUMN() - ($E39 + 5)), 0))
  )
)</f>
        <v>2708.4915819564749</v>
      </c>
      <c r="AS39" s="32">
        <f t="array" ref="AS39">IF(COLUMN() - ($E39 + 5) &lt; 0, 0,
  IF(COLUMN() - ($E39 + 5) = 0, $F39,
    AR39 * (1 - IFERROR(INDEX('Inputs &amp; Assuptions'!$B$13:$B$72, COLUMN() - ($E39 + 5)), 0))
  )
)</f>
        <v>2600.1519186782157</v>
      </c>
      <c r="AT39" s="32">
        <f t="array" ref="AT39">IF(COLUMN() - ($E39 + 5) &lt; 0, 0,
  IF(COLUMN() - ($E39 + 5) = 0, $F39,
    AS39 * (1 - IFERROR(INDEX('Inputs &amp; Assuptions'!$B$13:$B$72, COLUMN() - ($E39 + 5)), 0))
  )
)</f>
        <v>2509.1466015244782</v>
      </c>
      <c r="AU39" s="32">
        <f t="array" ref="AU39">IF(COLUMN() - ($E39 + 5) &lt; 0, 0,
  IF(COLUMN() - ($E39 + 5) = 0, $F39,
    AT39 * (1 - IFERROR(INDEX('Inputs &amp; Assuptions'!$B$13:$B$72, COLUMN() - ($E39 + 5)), 0))
  )
)</f>
        <v>2433.8722034787438</v>
      </c>
      <c r="AV39" s="32">
        <f t="array" ref="AV39">IF(COLUMN() - ($E39 + 5) &lt; 0, 0,
  IF(COLUMN() - ($E39 + 5) = 0, $F39,
    AU39 * (1 - IFERROR(INDEX('Inputs &amp; Assuptions'!$B$13:$B$72, COLUMN() - ($E39 + 5)), 0))
  )
)</f>
        <v>2373.0253983917751</v>
      </c>
      <c r="AW39" s="32">
        <f t="array" ref="AW39">IF(COLUMN() - ($E39 + 5) &lt; 0, 0,
  IF(COLUMN() - ($E39 + 5) = 0, $F39,
    AV39 * (1 - IFERROR(INDEX('Inputs &amp; Assuptions'!$B$13:$B$72, COLUMN() - ($E39 + 5)), 0))
  )
)</f>
        <v>2325.5648904239397</v>
      </c>
      <c r="AX39" s="32">
        <f t="array" ref="AX39">IF(COLUMN() - ($E39 + 5) &lt; 0, 0,
  IF(COLUMN() - ($E39 + 5) = 0, $F39,
    AW39 * (1 - IFERROR(INDEX('Inputs &amp; Assuptions'!$B$13:$B$72, COLUMN() - ($E39 + 5)), 0))
  )
)</f>
        <v>2302.3092415197002</v>
      </c>
      <c r="AY39" s="32">
        <f t="array" ref="AY39">IF(COLUMN() - ($E39 + 5) &lt; 0, 0,
  IF(COLUMN() - ($E39 + 5) = 0, $F39,
    AX39 * (1 - IFERROR(INDEX('Inputs &amp; Assuptions'!$B$13:$B$72, COLUMN() - ($E39 + 5)), 0))
  )
)</f>
        <v>2279.2861491045032</v>
      </c>
      <c r="AZ39" s="32">
        <f t="array" ref="AZ39">IF(COLUMN() - ($E39 + 5) &lt; 0, 0,
  IF(COLUMN() - ($E39 + 5) = 0, $F39,
    AY39 * (1 - IFERROR(INDEX('Inputs &amp; Assuptions'!$B$13:$B$72, COLUMN() - ($E39 + 5)), 0))
  )
)</f>
        <v>2256.4932876134581</v>
      </c>
      <c r="BA39" s="32">
        <f t="array" ref="BA39">IF(COLUMN() - ($E39 + 5) &lt; 0, 0,
  IF(COLUMN() - ($E39 + 5) = 0, $F39,
    AZ39 * (1 - IFERROR(INDEX('Inputs &amp; Assuptions'!$B$13:$B$72, COLUMN() - ($E39 + 5)), 0))
  )
)</f>
        <v>2233.9283547373234</v>
      </c>
      <c r="BB39" s="32">
        <f t="array" ref="BB39">IF(COLUMN() - ($E39 + 5) &lt; 0, 0,
  IF(COLUMN() - ($E39 + 5) = 0, $F39,
    BA39 * (1 - IFERROR(INDEX('Inputs &amp; Assuptions'!$B$13:$B$72, COLUMN() - ($E39 + 5)), 0))
  )
)</f>
        <v>2211.5890711899501</v>
      </c>
      <c r="BC39" s="32">
        <f t="array" ref="BC39">IF(COLUMN() - ($E39 + 5) &lt; 0, 0,
  IF(COLUMN() - ($E39 + 5) = 0, $F39,
    BB39 * (1 - IFERROR(INDEX('Inputs &amp; Assuptions'!$B$13:$B$72, COLUMN() - ($E39 + 5)), 0))
  )
)</f>
        <v>2189.4731804780504</v>
      </c>
      <c r="BD39" s="32">
        <f t="array" ref="BD39">IF(COLUMN() - ($E39 + 5) &lt; 0, 0,
  IF(COLUMN() - ($E39 + 5) = 0, $F39,
    BC39 * (1 - IFERROR(INDEX('Inputs &amp; Assuptions'!$B$13:$B$72, COLUMN() - ($E39 + 5)), 0))
  )
)</f>
        <v>2167.57844867327</v>
      </c>
      <c r="BE39" s="32">
        <f t="array" ref="BE39">IF(COLUMN() - ($E39 + 5) &lt; 0, 0,
  IF(COLUMN() - ($E39 + 5) = 0, $F39,
    BD39 * (1 - IFERROR(INDEX('Inputs &amp; Assuptions'!$B$13:$B$72, COLUMN() - ($E39 + 5)), 0))
  )
)</f>
        <v>2145.9026641865371</v>
      </c>
      <c r="BF39" s="32">
        <f t="array" ref="BF39">IF(COLUMN() - ($E39 + 5) &lt; 0, 0,
  IF(COLUMN() - ($E39 + 5) = 0, $F39,
    BE39 * (1 - IFERROR(INDEX('Inputs &amp; Assuptions'!$B$13:$B$72, COLUMN() - ($E39 + 5)), 0))
  )
)</f>
        <v>2124.4436375446717</v>
      </c>
      <c r="BG39" s="32">
        <f t="array" ref="BG39">IF(COLUMN() - ($E39 + 5) &lt; 0, 0,
  IF(COLUMN() - ($E39 + 5) = 0, $F39,
    BF39 * (1 - IFERROR(INDEX('Inputs &amp; Assuptions'!$B$13:$B$72, COLUMN() - ($E39 + 5)), 0))
  )
)</f>
        <v>2103.199201169225</v>
      </c>
      <c r="BH39" s="32">
        <f t="array" ref="BH39">IF(COLUMN() - ($E39 + 5) &lt; 0, 0,
  IF(COLUMN() - ($E39 + 5) = 0, $F39,
    BG39 * (1 - IFERROR(INDEX('Inputs &amp; Assuptions'!$B$13:$B$72, COLUMN() - ($E39 + 5)), 0))
  )
)</f>
        <v>2082.1672091575329</v>
      </c>
      <c r="BI39" s="32">
        <f t="array" ref="BI39">IF(COLUMN() - ($E39 + 5) &lt; 0, 0,
  IF(COLUMN() - ($E39 + 5) = 0, $F39,
    BH39 * (1 - IFERROR(INDEX('Inputs &amp; Assuptions'!$B$13:$B$72, COLUMN() - ($E39 + 5)), 0))
  )
)</f>
        <v>2061.3455370659576</v>
      </c>
      <c r="BJ39" s="32">
        <f t="array" ref="BJ39">IF(COLUMN() - ($E39 + 5) &lt; 0, 0,
  IF(COLUMN() - ($E39 + 5) = 0, $F39,
    BI39 * (1 - IFERROR(INDEX('Inputs &amp; Assuptions'!$B$13:$B$72, COLUMN() - ($E39 + 5)), 0))
  )
)</f>
        <v>2040.7320816952981</v>
      </c>
      <c r="BK39" s="32">
        <f t="array" ref="BK39">IF(COLUMN() - ($E39 + 5) &lt; 0, 0,
  IF(COLUMN() - ($E39 + 5) = 0, $F39,
    BJ39 * (1 - IFERROR(INDEX('Inputs &amp; Assuptions'!$B$13:$B$72, COLUMN() - ($E39 + 5)), 0))
  )
)</f>
        <v>2020.3247608783452</v>
      </c>
      <c r="BL39" s="32">
        <f t="array" ref="BL39">IF(COLUMN() - ($E39 + 5) &lt; 0, 0,
  IF(COLUMN() - ($E39 + 5) = 0, $F39,
    BK39 * (1 - IFERROR(INDEX('Inputs &amp; Assuptions'!$B$13:$B$72, COLUMN() - ($E39 + 5)), 0))
  )
)</f>
        <v>2000.1215132695618</v>
      </c>
      <c r="BM39" s="66">
        <f t="array" ref="BM39">IF(COLUMN() - ($E39 + 5) &lt; 0, 0,
  IF(COLUMN() - ($E39 + 5) = 0, $F39,
    BL39 * (1 - IFERROR(INDEX('Inputs &amp; Assuptions'!$B$13:$B$72, COLUMN() - ($E39 + 5)), 0))
  )
)</f>
        <v>1980.120298136866</v>
      </c>
      <c r="BN39" s="33"/>
    </row>
    <row r="40" spans="1:66" x14ac:dyDescent="0.3">
      <c r="A40" s="71">
        <f t="shared" si="5"/>
        <v>35</v>
      </c>
      <c r="B40" s="75">
        <f t="shared" si="4"/>
        <v>6615</v>
      </c>
      <c r="C40" s="81">
        <f>$B40*(1-'Inputs &amp; Assuptions'!$B$12)</f>
        <v>3836.7000000000003</v>
      </c>
      <c r="E40" s="71">
        <f t="shared" si="6"/>
        <v>35</v>
      </c>
      <c r="F40" s="65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>
        <f>+$C40</f>
        <v>3836.7000000000003</v>
      </c>
      <c r="AO40" s="32">
        <f t="array" ref="AO40">IF(COLUMN() - ($E40 + 5) &lt; 0, 0,
  IF(COLUMN() - ($E40 + 5) = 0, $F40,
    AN40 * (1 - IFERROR(INDEX('Inputs &amp; Assuptions'!$B$13:$B$72, COLUMN() - ($E40 + 5)), 0))
  )
)</f>
        <v>3433.8465000000001</v>
      </c>
      <c r="AP40" s="32">
        <f t="array" ref="AP40">IF(COLUMN() - ($E40 + 5) &lt; 0, 0,
  IF(COLUMN() - ($E40 + 5) = 0, $F40,
    AO40 * (1 - IFERROR(INDEX('Inputs &amp; Assuptions'!$B$13:$B$72, COLUMN() - ($E40 + 5)), 0))
  )
)</f>
        <v>3159.1387800000002</v>
      </c>
      <c r="AQ40" s="32">
        <f t="array" ref="AQ40">IF(COLUMN() - ($E40 + 5) &lt; 0, 0,
  IF(COLUMN() - ($E40 + 5) = 0, $F40,
    AP40 * (1 - IFERROR(INDEX('Inputs &amp; Assuptions'!$B$13:$B$72, COLUMN() - ($E40 + 5)), 0))
  )
)</f>
        <v>2985.3861471</v>
      </c>
      <c r="AR40" s="32">
        <f t="array" ref="AR40">IF(COLUMN() - ($E40 + 5) &lt; 0, 0,
  IF(COLUMN() - ($E40 + 5) = 0, $F40,
    AQ40 * (1 - IFERROR(INDEX('Inputs &amp; Assuptions'!$B$13:$B$72, COLUMN() - ($E40 + 5)), 0))
  )
)</f>
        <v>2836.1168397450001</v>
      </c>
      <c r="AS40" s="32">
        <f t="array" ref="AS40">IF(COLUMN() - ($E40 + 5) &lt; 0, 0,
  IF(COLUMN() - ($E40 + 5) = 0, $F40,
    AR40 * (1 - IFERROR(INDEX('Inputs &amp; Assuptions'!$B$13:$B$72, COLUMN() - ($E40 + 5)), 0))
  )
)</f>
        <v>2708.4915819564749</v>
      </c>
      <c r="AT40" s="32">
        <f t="array" ref="AT40">IF(COLUMN() - ($E40 + 5) &lt; 0, 0,
  IF(COLUMN() - ($E40 + 5) = 0, $F40,
    AS40 * (1 - IFERROR(INDEX('Inputs &amp; Assuptions'!$B$13:$B$72, COLUMN() - ($E40 + 5)), 0))
  )
)</f>
        <v>2600.1519186782157</v>
      </c>
      <c r="AU40" s="32">
        <f t="array" ref="AU40">IF(COLUMN() - ($E40 + 5) &lt; 0, 0,
  IF(COLUMN() - ($E40 + 5) = 0, $F40,
    AT40 * (1 - IFERROR(INDEX('Inputs &amp; Assuptions'!$B$13:$B$72, COLUMN() - ($E40 + 5)), 0))
  )
)</f>
        <v>2509.1466015244782</v>
      </c>
      <c r="AV40" s="32">
        <f t="array" ref="AV40">IF(COLUMN() - ($E40 + 5) &lt; 0, 0,
  IF(COLUMN() - ($E40 + 5) = 0, $F40,
    AU40 * (1 - IFERROR(INDEX('Inputs &amp; Assuptions'!$B$13:$B$72, COLUMN() - ($E40 + 5)), 0))
  )
)</f>
        <v>2433.8722034787438</v>
      </c>
      <c r="AW40" s="32">
        <f t="array" ref="AW40">IF(COLUMN() - ($E40 + 5) &lt; 0, 0,
  IF(COLUMN() - ($E40 + 5) = 0, $F40,
    AV40 * (1 - IFERROR(INDEX('Inputs &amp; Assuptions'!$B$13:$B$72, COLUMN() - ($E40 + 5)), 0))
  )
)</f>
        <v>2373.0253983917751</v>
      </c>
      <c r="AX40" s="32">
        <f t="array" ref="AX40">IF(COLUMN() - ($E40 + 5) &lt; 0, 0,
  IF(COLUMN() - ($E40 + 5) = 0, $F40,
    AW40 * (1 - IFERROR(INDEX('Inputs &amp; Assuptions'!$B$13:$B$72, COLUMN() - ($E40 + 5)), 0))
  )
)</f>
        <v>2325.5648904239397</v>
      </c>
      <c r="AY40" s="32">
        <f t="array" ref="AY40">IF(COLUMN() - ($E40 + 5) &lt; 0, 0,
  IF(COLUMN() - ($E40 + 5) = 0, $F40,
    AX40 * (1 - IFERROR(INDEX('Inputs &amp; Assuptions'!$B$13:$B$72, COLUMN() - ($E40 + 5)), 0))
  )
)</f>
        <v>2302.3092415197002</v>
      </c>
      <c r="AZ40" s="32">
        <f t="array" ref="AZ40">IF(COLUMN() - ($E40 + 5) &lt; 0, 0,
  IF(COLUMN() - ($E40 + 5) = 0, $F40,
    AY40 * (1 - IFERROR(INDEX('Inputs &amp; Assuptions'!$B$13:$B$72, COLUMN() - ($E40 + 5)), 0))
  )
)</f>
        <v>2279.2861491045032</v>
      </c>
      <c r="BA40" s="32">
        <f t="array" ref="BA40">IF(COLUMN() - ($E40 + 5) &lt; 0, 0,
  IF(COLUMN() - ($E40 + 5) = 0, $F40,
    AZ40 * (1 - IFERROR(INDEX('Inputs &amp; Assuptions'!$B$13:$B$72, COLUMN() - ($E40 + 5)), 0))
  )
)</f>
        <v>2256.4932876134581</v>
      </c>
      <c r="BB40" s="32">
        <f t="array" ref="BB40">IF(COLUMN() - ($E40 + 5) &lt; 0, 0,
  IF(COLUMN() - ($E40 + 5) = 0, $F40,
    BA40 * (1 - IFERROR(INDEX('Inputs &amp; Assuptions'!$B$13:$B$72, COLUMN() - ($E40 + 5)), 0))
  )
)</f>
        <v>2233.9283547373234</v>
      </c>
      <c r="BC40" s="32">
        <f t="array" ref="BC40">IF(COLUMN() - ($E40 + 5) &lt; 0, 0,
  IF(COLUMN() - ($E40 + 5) = 0, $F40,
    BB40 * (1 - IFERROR(INDEX('Inputs &amp; Assuptions'!$B$13:$B$72, COLUMN() - ($E40 + 5)), 0))
  )
)</f>
        <v>2211.5890711899501</v>
      </c>
      <c r="BD40" s="32">
        <f t="array" ref="BD40">IF(COLUMN() - ($E40 + 5) &lt; 0, 0,
  IF(COLUMN() - ($E40 + 5) = 0, $F40,
    BC40 * (1 - IFERROR(INDEX('Inputs &amp; Assuptions'!$B$13:$B$72, COLUMN() - ($E40 + 5)), 0))
  )
)</f>
        <v>2189.4731804780504</v>
      </c>
      <c r="BE40" s="32">
        <f t="array" ref="BE40">IF(COLUMN() - ($E40 + 5) &lt; 0, 0,
  IF(COLUMN() - ($E40 + 5) = 0, $F40,
    BD40 * (1 - IFERROR(INDEX('Inputs &amp; Assuptions'!$B$13:$B$72, COLUMN() - ($E40 + 5)), 0))
  )
)</f>
        <v>2167.57844867327</v>
      </c>
      <c r="BF40" s="32">
        <f t="array" ref="BF40">IF(COLUMN() - ($E40 + 5) &lt; 0, 0,
  IF(COLUMN() - ($E40 + 5) = 0, $F40,
    BE40 * (1 - IFERROR(INDEX('Inputs &amp; Assuptions'!$B$13:$B$72, COLUMN() - ($E40 + 5)), 0))
  )
)</f>
        <v>2145.9026641865371</v>
      </c>
      <c r="BG40" s="32">
        <f t="array" ref="BG40">IF(COLUMN() - ($E40 + 5) &lt; 0, 0,
  IF(COLUMN() - ($E40 + 5) = 0, $F40,
    BF40 * (1 - IFERROR(INDEX('Inputs &amp; Assuptions'!$B$13:$B$72, COLUMN() - ($E40 + 5)), 0))
  )
)</f>
        <v>2124.4436375446717</v>
      </c>
      <c r="BH40" s="32">
        <f t="array" ref="BH40">IF(COLUMN() - ($E40 + 5) &lt; 0, 0,
  IF(COLUMN() - ($E40 + 5) = 0, $F40,
    BG40 * (1 - IFERROR(INDEX('Inputs &amp; Assuptions'!$B$13:$B$72, COLUMN() - ($E40 + 5)), 0))
  )
)</f>
        <v>2103.199201169225</v>
      </c>
      <c r="BI40" s="32">
        <f t="array" ref="BI40">IF(COLUMN() - ($E40 + 5) &lt; 0, 0,
  IF(COLUMN() - ($E40 + 5) = 0, $F40,
    BH40 * (1 - IFERROR(INDEX('Inputs &amp; Assuptions'!$B$13:$B$72, COLUMN() - ($E40 + 5)), 0))
  )
)</f>
        <v>2082.1672091575329</v>
      </c>
      <c r="BJ40" s="32">
        <f t="array" ref="BJ40">IF(COLUMN() - ($E40 + 5) &lt; 0, 0,
  IF(COLUMN() - ($E40 + 5) = 0, $F40,
    BI40 * (1 - IFERROR(INDEX('Inputs &amp; Assuptions'!$B$13:$B$72, COLUMN() - ($E40 + 5)), 0))
  )
)</f>
        <v>2061.3455370659576</v>
      </c>
      <c r="BK40" s="32">
        <f t="array" ref="BK40">IF(COLUMN() - ($E40 + 5) &lt; 0, 0,
  IF(COLUMN() - ($E40 + 5) = 0, $F40,
    BJ40 * (1 - IFERROR(INDEX('Inputs &amp; Assuptions'!$B$13:$B$72, COLUMN() - ($E40 + 5)), 0))
  )
)</f>
        <v>2040.7320816952981</v>
      </c>
      <c r="BL40" s="32">
        <f t="array" ref="BL40">IF(COLUMN() - ($E40 + 5) &lt; 0, 0,
  IF(COLUMN() - ($E40 + 5) = 0, $F40,
    BK40 * (1 - IFERROR(INDEX('Inputs &amp; Assuptions'!$B$13:$B$72, COLUMN() - ($E40 + 5)), 0))
  )
)</f>
        <v>2020.3247608783452</v>
      </c>
      <c r="BM40" s="66">
        <f t="array" ref="BM40">IF(COLUMN() - ($E40 + 5) &lt; 0, 0,
  IF(COLUMN() - ($E40 + 5) = 0, $F40,
    BL40 * (1 - IFERROR(INDEX('Inputs &amp; Assuptions'!$B$13:$B$72, COLUMN() - ($E40 + 5)), 0))
  )
)</f>
        <v>2000.1215132695618</v>
      </c>
      <c r="BN40" s="33"/>
    </row>
    <row r="41" spans="1:66" x14ac:dyDescent="0.3">
      <c r="A41" s="71">
        <f t="shared" si="5"/>
        <v>36</v>
      </c>
      <c r="B41" s="75">
        <f t="shared" si="4"/>
        <v>6615</v>
      </c>
      <c r="C41" s="81">
        <f>$B41*(1-'Inputs &amp; Assuptions'!$B$12)</f>
        <v>3836.7000000000003</v>
      </c>
      <c r="E41" s="71">
        <f t="shared" si="6"/>
        <v>36</v>
      </c>
      <c r="F41" s="65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>
        <f>+$C41</f>
        <v>3836.7000000000003</v>
      </c>
      <c r="AP41" s="32">
        <f t="array" ref="AP41">IF(COLUMN() - ($E41 + 5) &lt; 0, 0,
  IF(COLUMN() - ($E41 + 5) = 0, $F41,
    AO41 * (1 - IFERROR(INDEX('Inputs &amp; Assuptions'!$B$13:$B$72, COLUMN() - ($E41 + 5)), 0))
  )
)</f>
        <v>3433.8465000000001</v>
      </c>
      <c r="AQ41" s="32">
        <f t="array" ref="AQ41">IF(COLUMN() - ($E41 + 5) &lt; 0, 0,
  IF(COLUMN() - ($E41 + 5) = 0, $F41,
    AP41 * (1 - IFERROR(INDEX('Inputs &amp; Assuptions'!$B$13:$B$72, COLUMN() - ($E41 + 5)), 0))
  )
)</f>
        <v>3159.1387800000002</v>
      </c>
      <c r="AR41" s="32">
        <f t="array" ref="AR41">IF(COLUMN() - ($E41 + 5) &lt; 0, 0,
  IF(COLUMN() - ($E41 + 5) = 0, $F41,
    AQ41 * (1 - IFERROR(INDEX('Inputs &amp; Assuptions'!$B$13:$B$72, COLUMN() - ($E41 + 5)), 0))
  )
)</f>
        <v>2985.3861471</v>
      </c>
      <c r="AS41" s="32">
        <f t="array" ref="AS41">IF(COLUMN() - ($E41 + 5) &lt; 0, 0,
  IF(COLUMN() - ($E41 + 5) = 0, $F41,
    AR41 * (1 - IFERROR(INDEX('Inputs &amp; Assuptions'!$B$13:$B$72, COLUMN() - ($E41 + 5)), 0))
  )
)</f>
        <v>2836.1168397450001</v>
      </c>
      <c r="AT41" s="32">
        <f t="array" ref="AT41">IF(COLUMN() - ($E41 + 5) &lt; 0, 0,
  IF(COLUMN() - ($E41 + 5) = 0, $F41,
    AS41 * (1 - IFERROR(INDEX('Inputs &amp; Assuptions'!$B$13:$B$72, COLUMN() - ($E41 + 5)), 0))
  )
)</f>
        <v>2708.4915819564749</v>
      </c>
      <c r="AU41" s="32">
        <f t="array" ref="AU41">IF(COLUMN() - ($E41 + 5) &lt; 0, 0,
  IF(COLUMN() - ($E41 + 5) = 0, $F41,
    AT41 * (1 - IFERROR(INDEX('Inputs &amp; Assuptions'!$B$13:$B$72, COLUMN() - ($E41 + 5)), 0))
  )
)</f>
        <v>2600.1519186782157</v>
      </c>
      <c r="AV41" s="32">
        <f t="array" ref="AV41">IF(COLUMN() - ($E41 + 5) &lt; 0, 0,
  IF(COLUMN() - ($E41 + 5) = 0, $F41,
    AU41 * (1 - IFERROR(INDEX('Inputs &amp; Assuptions'!$B$13:$B$72, COLUMN() - ($E41 + 5)), 0))
  )
)</f>
        <v>2509.1466015244782</v>
      </c>
      <c r="AW41" s="32">
        <f t="array" ref="AW41">IF(COLUMN() - ($E41 + 5) &lt; 0, 0,
  IF(COLUMN() - ($E41 + 5) = 0, $F41,
    AV41 * (1 - IFERROR(INDEX('Inputs &amp; Assuptions'!$B$13:$B$72, COLUMN() - ($E41 + 5)), 0))
  )
)</f>
        <v>2433.8722034787438</v>
      </c>
      <c r="AX41" s="32">
        <f t="array" ref="AX41">IF(COLUMN() - ($E41 + 5) &lt; 0, 0,
  IF(COLUMN() - ($E41 + 5) = 0, $F41,
    AW41 * (1 - IFERROR(INDEX('Inputs &amp; Assuptions'!$B$13:$B$72, COLUMN() - ($E41 + 5)), 0))
  )
)</f>
        <v>2373.0253983917751</v>
      </c>
      <c r="AY41" s="32">
        <f t="array" ref="AY41">IF(COLUMN() - ($E41 + 5) &lt; 0, 0,
  IF(COLUMN() - ($E41 + 5) = 0, $F41,
    AX41 * (1 - IFERROR(INDEX('Inputs &amp; Assuptions'!$B$13:$B$72, COLUMN() - ($E41 + 5)), 0))
  )
)</f>
        <v>2325.5648904239397</v>
      </c>
      <c r="AZ41" s="32">
        <f t="array" ref="AZ41">IF(COLUMN() - ($E41 + 5) &lt; 0, 0,
  IF(COLUMN() - ($E41 + 5) = 0, $F41,
    AY41 * (1 - IFERROR(INDEX('Inputs &amp; Assuptions'!$B$13:$B$72, COLUMN() - ($E41 + 5)), 0))
  )
)</f>
        <v>2302.3092415197002</v>
      </c>
      <c r="BA41" s="32">
        <f t="array" ref="BA41">IF(COLUMN() - ($E41 + 5) &lt; 0, 0,
  IF(COLUMN() - ($E41 + 5) = 0, $F41,
    AZ41 * (1 - IFERROR(INDEX('Inputs &amp; Assuptions'!$B$13:$B$72, COLUMN() - ($E41 + 5)), 0))
  )
)</f>
        <v>2279.2861491045032</v>
      </c>
      <c r="BB41" s="32">
        <f t="array" ref="BB41">IF(COLUMN() - ($E41 + 5) &lt; 0, 0,
  IF(COLUMN() - ($E41 + 5) = 0, $F41,
    BA41 * (1 - IFERROR(INDEX('Inputs &amp; Assuptions'!$B$13:$B$72, COLUMN() - ($E41 + 5)), 0))
  )
)</f>
        <v>2256.4932876134581</v>
      </c>
      <c r="BC41" s="32">
        <f t="array" ref="BC41">IF(COLUMN() - ($E41 + 5) &lt; 0, 0,
  IF(COLUMN() - ($E41 + 5) = 0, $F41,
    BB41 * (1 - IFERROR(INDEX('Inputs &amp; Assuptions'!$B$13:$B$72, COLUMN() - ($E41 + 5)), 0))
  )
)</f>
        <v>2233.9283547373234</v>
      </c>
      <c r="BD41" s="32">
        <f t="array" ref="BD41">IF(COLUMN() - ($E41 + 5) &lt; 0, 0,
  IF(COLUMN() - ($E41 + 5) = 0, $F41,
    BC41 * (1 - IFERROR(INDEX('Inputs &amp; Assuptions'!$B$13:$B$72, COLUMN() - ($E41 + 5)), 0))
  )
)</f>
        <v>2211.5890711899501</v>
      </c>
      <c r="BE41" s="32">
        <f t="array" ref="BE41">IF(COLUMN() - ($E41 + 5) &lt; 0, 0,
  IF(COLUMN() - ($E41 + 5) = 0, $F41,
    BD41 * (1 - IFERROR(INDEX('Inputs &amp; Assuptions'!$B$13:$B$72, COLUMN() - ($E41 + 5)), 0))
  )
)</f>
        <v>2189.4731804780504</v>
      </c>
      <c r="BF41" s="32">
        <f t="array" ref="BF41">IF(COLUMN() - ($E41 + 5) &lt; 0, 0,
  IF(COLUMN() - ($E41 + 5) = 0, $F41,
    BE41 * (1 - IFERROR(INDEX('Inputs &amp; Assuptions'!$B$13:$B$72, COLUMN() - ($E41 + 5)), 0))
  )
)</f>
        <v>2167.57844867327</v>
      </c>
      <c r="BG41" s="32">
        <f t="array" ref="BG41">IF(COLUMN() - ($E41 + 5) &lt; 0, 0,
  IF(COLUMN() - ($E41 + 5) = 0, $F41,
    BF41 * (1 - IFERROR(INDEX('Inputs &amp; Assuptions'!$B$13:$B$72, COLUMN() - ($E41 + 5)), 0))
  )
)</f>
        <v>2145.9026641865371</v>
      </c>
      <c r="BH41" s="32">
        <f t="array" ref="BH41">IF(COLUMN() - ($E41 + 5) &lt; 0, 0,
  IF(COLUMN() - ($E41 + 5) = 0, $F41,
    BG41 * (1 - IFERROR(INDEX('Inputs &amp; Assuptions'!$B$13:$B$72, COLUMN() - ($E41 + 5)), 0))
  )
)</f>
        <v>2124.4436375446717</v>
      </c>
      <c r="BI41" s="32">
        <f t="array" ref="BI41">IF(COLUMN() - ($E41 + 5) &lt; 0, 0,
  IF(COLUMN() - ($E41 + 5) = 0, $F41,
    BH41 * (1 - IFERROR(INDEX('Inputs &amp; Assuptions'!$B$13:$B$72, COLUMN() - ($E41 + 5)), 0))
  )
)</f>
        <v>2103.199201169225</v>
      </c>
      <c r="BJ41" s="32">
        <f t="array" ref="BJ41">IF(COLUMN() - ($E41 + 5) &lt; 0, 0,
  IF(COLUMN() - ($E41 + 5) = 0, $F41,
    BI41 * (1 - IFERROR(INDEX('Inputs &amp; Assuptions'!$B$13:$B$72, COLUMN() - ($E41 + 5)), 0))
  )
)</f>
        <v>2082.1672091575329</v>
      </c>
      <c r="BK41" s="32">
        <f t="array" ref="BK41">IF(COLUMN() - ($E41 + 5) &lt; 0, 0,
  IF(COLUMN() - ($E41 + 5) = 0, $F41,
    BJ41 * (1 - IFERROR(INDEX('Inputs &amp; Assuptions'!$B$13:$B$72, COLUMN() - ($E41 + 5)), 0))
  )
)</f>
        <v>2061.3455370659576</v>
      </c>
      <c r="BL41" s="32">
        <f t="array" ref="BL41">IF(COLUMN() - ($E41 + 5) &lt; 0, 0,
  IF(COLUMN() - ($E41 + 5) = 0, $F41,
    BK41 * (1 - IFERROR(INDEX('Inputs &amp; Assuptions'!$B$13:$B$72, COLUMN() - ($E41 + 5)), 0))
  )
)</f>
        <v>2040.7320816952981</v>
      </c>
      <c r="BM41" s="66">
        <f t="array" ref="BM41">IF(COLUMN() - ($E41 + 5) &lt; 0, 0,
  IF(COLUMN() - ($E41 + 5) = 0, $F41,
    BL41 * (1 - IFERROR(INDEX('Inputs &amp; Assuptions'!$B$13:$B$72, COLUMN() - ($E41 + 5)), 0))
  )
)</f>
        <v>2020.3247608783452</v>
      </c>
      <c r="BN41" s="33"/>
    </row>
    <row r="42" spans="1:66" x14ac:dyDescent="0.3">
      <c r="A42" s="71">
        <f t="shared" si="5"/>
        <v>37</v>
      </c>
      <c r="B42" s="75">
        <f t="shared" si="4"/>
        <v>6945.75</v>
      </c>
      <c r="C42" s="81">
        <f>$B42*(1-'Inputs &amp; Assuptions'!$B$12)</f>
        <v>4028.5350000000003</v>
      </c>
      <c r="E42" s="71">
        <f t="shared" si="6"/>
        <v>37</v>
      </c>
      <c r="F42" s="6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>
        <f>+$C42</f>
        <v>4028.5350000000003</v>
      </c>
      <c r="AQ42" s="32">
        <f t="array" ref="AQ42">IF(COLUMN() - ($E42 + 5) &lt; 0, 0,
  IF(COLUMN() - ($E42 + 5) = 0, $F42,
    AP42 * (1 - IFERROR(INDEX('Inputs &amp; Assuptions'!$B$13:$B$72, COLUMN() - ($E42 + 5)), 0))
  )
)</f>
        <v>3605.5388250000005</v>
      </c>
      <c r="AR42" s="32">
        <f t="array" ref="AR42">IF(COLUMN() - ($E42 + 5) &lt; 0, 0,
  IF(COLUMN() - ($E42 + 5) = 0, $F42,
    AQ42 * (1 - IFERROR(INDEX('Inputs &amp; Assuptions'!$B$13:$B$72, COLUMN() - ($E42 + 5)), 0))
  )
)</f>
        <v>3317.0957190000008</v>
      </c>
      <c r="AS42" s="32">
        <f t="array" ref="AS42">IF(COLUMN() - ($E42 + 5) &lt; 0, 0,
  IF(COLUMN() - ($E42 + 5) = 0, $F42,
    AR42 * (1 - IFERROR(INDEX('Inputs &amp; Assuptions'!$B$13:$B$72, COLUMN() - ($E42 + 5)), 0))
  )
)</f>
        <v>3134.6554544550008</v>
      </c>
      <c r="AT42" s="32">
        <f t="array" ref="AT42">IF(COLUMN() - ($E42 + 5) &lt; 0, 0,
  IF(COLUMN() - ($E42 + 5) = 0, $F42,
    AS42 * (1 - IFERROR(INDEX('Inputs &amp; Assuptions'!$B$13:$B$72, COLUMN() - ($E42 + 5)), 0))
  )
)</f>
        <v>2977.9226817322506</v>
      </c>
      <c r="AU42" s="32">
        <f t="array" ref="AU42">IF(COLUMN() - ($E42 + 5) &lt; 0, 0,
  IF(COLUMN() - ($E42 + 5) = 0, $F42,
    AT42 * (1 - IFERROR(INDEX('Inputs &amp; Assuptions'!$B$13:$B$72, COLUMN() - ($E42 + 5)), 0))
  )
)</f>
        <v>2843.9161610542992</v>
      </c>
      <c r="AV42" s="32">
        <f t="array" ref="AV42">IF(COLUMN() - ($E42 + 5) &lt; 0, 0,
  IF(COLUMN() - ($E42 + 5) = 0, $F42,
    AU42 * (1 - IFERROR(INDEX('Inputs &amp; Assuptions'!$B$13:$B$72, COLUMN() - ($E42 + 5)), 0))
  )
)</f>
        <v>2730.1595146121272</v>
      </c>
      <c r="AW42" s="32">
        <f t="array" ref="AW42">IF(COLUMN() - ($E42 + 5) &lt; 0, 0,
  IF(COLUMN() - ($E42 + 5) = 0, $F42,
    AV42 * (1 - IFERROR(INDEX('Inputs &amp; Assuptions'!$B$13:$B$72, COLUMN() - ($E42 + 5)), 0))
  )
)</f>
        <v>2634.6039316007027</v>
      </c>
      <c r="AX42" s="32">
        <f t="array" ref="AX42">IF(COLUMN() - ($E42 + 5) &lt; 0, 0,
  IF(COLUMN() - ($E42 + 5) = 0, $F42,
    AW42 * (1 - IFERROR(INDEX('Inputs &amp; Assuptions'!$B$13:$B$72, COLUMN() - ($E42 + 5)), 0))
  )
)</f>
        <v>2555.5658136526818</v>
      </c>
      <c r="AY42" s="32">
        <f t="array" ref="AY42">IF(COLUMN() - ($E42 + 5) &lt; 0, 0,
  IF(COLUMN() - ($E42 + 5) = 0, $F42,
    AX42 * (1 - IFERROR(INDEX('Inputs &amp; Assuptions'!$B$13:$B$72, COLUMN() - ($E42 + 5)), 0))
  )
)</f>
        <v>2491.6766683113647</v>
      </c>
      <c r="AZ42" s="32">
        <f t="array" ref="AZ42">IF(COLUMN() - ($E42 + 5) &lt; 0, 0,
  IF(COLUMN() - ($E42 + 5) = 0, $F42,
    AY42 * (1 - IFERROR(INDEX('Inputs &amp; Assuptions'!$B$13:$B$72, COLUMN() - ($E42 + 5)), 0))
  )
)</f>
        <v>2441.8431349451375</v>
      </c>
      <c r="BA42" s="32">
        <f t="array" ref="BA42">IF(COLUMN() - ($E42 + 5) &lt; 0, 0,
  IF(COLUMN() - ($E42 + 5) = 0, $F42,
    AZ42 * (1 - IFERROR(INDEX('Inputs &amp; Assuptions'!$B$13:$B$72, COLUMN() - ($E42 + 5)), 0))
  )
)</f>
        <v>2417.424703595686</v>
      </c>
      <c r="BB42" s="32">
        <f t="array" ref="BB42">IF(COLUMN() - ($E42 + 5) &lt; 0, 0,
  IF(COLUMN() - ($E42 + 5) = 0, $F42,
    BA42 * (1 - IFERROR(INDEX('Inputs &amp; Assuptions'!$B$13:$B$72, COLUMN() - ($E42 + 5)), 0))
  )
)</f>
        <v>2393.2504565597292</v>
      </c>
      <c r="BC42" s="32">
        <f t="array" ref="BC42">IF(COLUMN() - ($E42 + 5) &lt; 0, 0,
  IF(COLUMN() - ($E42 + 5) = 0, $F42,
    BB42 * (1 - IFERROR(INDEX('Inputs &amp; Assuptions'!$B$13:$B$72, COLUMN() - ($E42 + 5)), 0))
  )
)</f>
        <v>2369.3179519941318</v>
      </c>
      <c r="BD42" s="32">
        <f t="array" ref="BD42">IF(COLUMN() - ($E42 + 5) &lt; 0, 0,
  IF(COLUMN() - ($E42 + 5) = 0, $F42,
    BC42 * (1 - IFERROR(INDEX('Inputs &amp; Assuptions'!$B$13:$B$72, COLUMN() - ($E42 + 5)), 0))
  )
)</f>
        <v>2345.6247724741906</v>
      </c>
      <c r="BE42" s="32">
        <f t="array" ref="BE42">IF(COLUMN() - ($E42 + 5) &lt; 0, 0,
  IF(COLUMN() - ($E42 + 5) = 0, $F42,
    BD42 * (1 - IFERROR(INDEX('Inputs &amp; Assuptions'!$B$13:$B$72, COLUMN() - ($E42 + 5)), 0))
  )
)</f>
        <v>2322.1685247494488</v>
      </c>
      <c r="BF42" s="32">
        <f t="array" ref="BF42">IF(COLUMN() - ($E42 + 5) &lt; 0, 0,
  IF(COLUMN() - ($E42 + 5) = 0, $F42,
    BE42 * (1 - IFERROR(INDEX('Inputs &amp; Assuptions'!$B$13:$B$72, COLUMN() - ($E42 + 5)), 0))
  )
)</f>
        <v>2298.9468395019544</v>
      </c>
      <c r="BG42" s="32">
        <f t="array" ref="BG42">IF(COLUMN() - ($E42 + 5) &lt; 0, 0,
  IF(COLUMN() - ($E42 + 5) = 0, $F42,
    BF42 * (1 - IFERROR(INDEX('Inputs &amp; Assuptions'!$B$13:$B$72, COLUMN() - ($E42 + 5)), 0))
  )
)</f>
        <v>2275.9573711069347</v>
      </c>
      <c r="BH42" s="32">
        <f t="array" ref="BH42">IF(COLUMN() - ($E42 + 5) &lt; 0, 0,
  IF(COLUMN() - ($E42 + 5) = 0, $F42,
    BG42 * (1 - IFERROR(INDEX('Inputs &amp; Assuptions'!$B$13:$B$72, COLUMN() - ($E42 + 5)), 0))
  )
)</f>
        <v>2253.1977973958656</v>
      </c>
      <c r="BI42" s="32">
        <f t="array" ref="BI42">IF(COLUMN() - ($E42 + 5) &lt; 0, 0,
  IF(COLUMN() - ($E42 + 5) = 0, $F42,
    BH42 * (1 - IFERROR(INDEX('Inputs &amp; Assuptions'!$B$13:$B$72, COLUMN() - ($E42 + 5)), 0))
  )
)</f>
        <v>2230.6658194219067</v>
      </c>
      <c r="BJ42" s="32">
        <f t="array" ref="BJ42">IF(COLUMN() - ($E42 + 5) &lt; 0, 0,
  IF(COLUMN() - ($E42 + 5) = 0, $F42,
    BI42 * (1 - IFERROR(INDEX('Inputs &amp; Assuptions'!$B$13:$B$72, COLUMN() - ($E42 + 5)), 0))
  )
)</f>
        <v>2208.3591612276878</v>
      </c>
      <c r="BK42" s="32">
        <f t="array" ref="BK42">IF(COLUMN() - ($E42 + 5) &lt; 0, 0,
  IF(COLUMN() - ($E42 + 5) = 0, $F42,
    BJ42 * (1 - IFERROR(INDEX('Inputs &amp; Assuptions'!$B$13:$B$72, COLUMN() - ($E42 + 5)), 0))
  )
)</f>
        <v>2186.2755696154109</v>
      </c>
      <c r="BL42" s="32">
        <f t="array" ref="BL42">IF(COLUMN() - ($E42 + 5) &lt; 0, 0,
  IF(COLUMN() - ($E42 + 5) = 0, $F42,
    BK42 * (1 - IFERROR(INDEX('Inputs &amp; Assuptions'!$B$13:$B$72, COLUMN() - ($E42 + 5)), 0))
  )
)</f>
        <v>2164.4128139192567</v>
      </c>
      <c r="BM42" s="66">
        <f t="array" ref="BM42">IF(COLUMN() - ($E42 + 5) &lt; 0, 0,
  IF(COLUMN() - ($E42 + 5) = 0, $F42,
    BL42 * (1 - IFERROR(INDEX('Inputs &amp; Assuptions'!$B$13:$B$72, COLUMN() - ($E42 + 5)), 0))
  )
)</f>
        <v>2142.7686857800641</v>
      </c>
      <c r="BN42" s="33"/>
    </row>
    <row r="43" spans="1:66" x14ac:dyDescent="0.3">
      <c r="A43" s="71">
        <f t="shared" si="5"/>
        <v>38</v>
      </c>
      <c r="B43" s="75">
        <f t="shared" si="4"/>
        <v>6945.75</v>
      </c>
      <c r="C43" s="81">
        <f>$B43*(1-'Inputs &amp; Assuptions'!$B$12)</f>
        <v>4028.5350000000003</v>
      </c>
      <c r="E43" s="71">
        <f t="shared" si="6"/>
        <v>38</v>
      </c>
      <c r="F43" s="65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>
        <f>+$C43</f>
        <v>4028.5350000000003</v>
      </c>
      <c r="AR43" s="32">
        <f t="array" ref="AR43">IF(COLUMN() - ($E43 + 5) &lt; 0, 0,
  IF(COLUMN() - ($E43 + 5) = 0, $F43,
    AQ43 * (1 - IFERROR(INDEX('Inputs &amp; Assuptions'!$B$13:$B$72, COLUMN() - ($E43 + 5)), 0))
  )
)</f>
        <v>3605.5388250000005</v>
      </c>
      <c r="AS43" s="32">
        <f t="array" ref="AS43">IF(COLUMN() - ($E43 + 5) &lt; 0, 0,
  IF(COLUMN() - ($E43 + 5) = 0, $F43,
    AR43 * (1 - IFERROR(INDEX('Inputs &amp; Assuptions'!$B$13:$B$72, COLUMN() - ($E43 + 5)), 0))
  )
)</f>
        <v>3317.0957190000008</v>
      </c>
      <c r="AT43" s="32">
        <f t="array" ref="AT43">IF(COLUMN() - ($E43 + 5) &lt; 0, 0,
  IF(COLUMN() - ($E43 + 5) = 0, $F43,
    AS43 * (1 - IFERROR(INDEX('Inputs &amp; Assuptions'!$B$13:$B$72, COLUMN() - ($E43 + 5)), 0))
  )
)</f>
        <v>3134.6554544550008</v>
      </c>
      <c r="AU43" s="32">
        <f t="array" ref="AU43">IF(COLUMN() - ($E43 + 5) &lt; 0, 0,
  IF(COLUMN() - ($E43 + 5) = 0, $F43,
    AT43 * (1 - IFERROR(INDEX('Inputs &amp; Assuptions'!$B$13:$B$72, COLUMN() - ($E43 + 5)), 0))
  )
)</f>
        <v>2977.9226817322506</v>
      </c>
      <c r="AV43" s="32">
        <f t="array" ref="AV43">IF(COLUMN() - ($E43 + 5) &lt; 0, 0,
  IF(COLUMN() - ($E43 + 5) = 0, $F43,
    AU43 * (1 - IFERROR(INDEX('Inputs &amp; Assuptions'!$B$13:$B$72, COLUMN() - ($E43 + 5)), 0))
  )
)</f>
        <v>2843.9161610542992</v>
      </c>
      <c r="AW43" s="32">
        <f t="array" ref="AW43">IF(COLUMN() - ($E43 + 5) &lt; 0, 0,
  IF(COLUMN() - ($E43 + 5) = 0, $F43,
    AV43 * (1 - IFERROR(INDEX('Inputs &amp; Assuptions'!$B$13:$B$72, COLUMN() - ($E43 + 5)), 0))
  )
)</f>
        <v>2730.1595146121272</v>
      </c>
      <c r="AX43" s="32">
        <f t="array" ref="AX43">IF(COLUMN() - ($E43 + 5) &lt; 0, 0,
  IF(COLUMN() - ($E43 + 5) = 0, $F43,
    AW43 * (1 - IFERROR(INDEX('Inputs &amp; Assuptions'!$B$13:$B$72, COLUMN() - ($E43 + 5)), 0))
  )
)</f>
        <v>2634.6039316007027</v>
      </c>
      <c r="AY43" s="32">
        <f t="array" ref="AY43">IF(COLUMN() - ($E43 + 5) &lt; 0, 0,
  IF(COLUMN() - ($E43 + 5) = 0, $F43,
    AX43 * (1 - IFERROR(INDEX('Inputs &amp; Assuptions'!$B$13:$B$72, COLUMN() - ($E43 + 5)), 0))
  )
)</f>
        <v>2555.5658136526818</v>
      </c>
      <c r="AZ43" s="32">
        <f t="array" ref="AZ43">IF(COLUMN() - ($E43 + 5) &lt; 0, 0,
  IF(COLUMN() - ($E43 + 5) = 0, $F43,
    AY43 * (1 - IFERROR(INDEX('Inputs &amp; Assuptions'!$B$13:$B$72, COLUMN() - ($E43 + 5)), 0))
  )
)</f>
        <v>2491.6766683113647</v>
      </c>
      <c r="BA43" s="32">
        <f t="array" ref="BA43">IF(COLUMN() - ($E43 + 5) &lt; 0, 0,
  IF(COLUMN() - ($E43 + 5) = 0, $F43,
    AZ43 * (1 - IFERROR(INDEX('Inputs &amp; Assuptions'!$B$13:$B$72, COLUMN() - ($E43 + 5)), 0))
  )
)</f>
        <v>2441.8431349451375</v>
      </c>
      <c r="BB43" s="32">
        <f t="array" ref="BB43">IF(COLUMN() - ($E43 + 5) &lt; 0, 0,
  IF(COLUMN() - ($E43 + 5) = 0, $F43,
    BA43 * (1 - IFERROR(INDEX('Inputs &amp; Assuptions'!$B$13:$B$72, COLUMN() - ($E43 + 5)), 0))
  )
)</f>
        <v>2417.424703595686</v>
      </c>
      <c r="BC43" s="32">
        <f t="array" ref="BC43">IF(COLUMN() - ($E43 + 5) &lt; 0, 0,
  IF(COLUMN() - ($E43 + 5) = 0, $F43,
    BB43 * (1 - IFERROR(INDEX('Inputs &amp; Assuptions'!$B$13:$B$72, COLUMN() - ($E43 + 5)), 0))
  )
)</f>
        <v>2393.2504565597292</v>
      </c>
      <c r="BD43" s="32">
        <f t="array" ref="BD43">IF(COLUMN() - ($E43 + 5) &lt; 0, 0,
  IF(COLUMN() - ($E43 + 5) = 0, $F43,
    BC43 * (1 - IFERROR(INDEX('Inputs &amp; Assuptions'!$B$13:$B$72, COLUMN() - ($E43 + 5)), 0))
  )
)</f>
        <v>2369.3179519941318</v>
      </c>
      <c r="BE43" s="32">
        <f t="array" ref="BE43">IF(COLUMN() - ($E43 + 5) &lt; 0, 0,
  IF(COLUMN() - ($E43 + 5) = 0, $F43,
    BD43 * (1 - IFERROR(INDEX('Inputs &amp; Assuptions'!$B$13:$B$72, COLUMN() - ($E43 + 5)), 0))
  )
)</f>
        <v>2345.6247724741906</v>
      </c>
      <c r="BF43" s="32">
        <f t="array" ref="BF43">IF(COLUMN() - ($E43 + 5) &lt; 0, 0,
  IF(COLUMN() - ($E43 + 5) = 0, $F43,
    BE43 * (1 - IFERROR(INDEX('Inputs &amp; Assuptions'!$B$13:$B$72, COLUMN() - ($E43 + 5)), 0))
  )
)</f>
        <v>2322.1685247494488</v>
      </c>
      <c r="BG43" s="32">
        <f t="array" ref="BG43">IF(COLUMN() - ($E43 + 5) &lt; 0, 0,
  IF(COLUMN() - ($E43 + 5) = 0, $F43,
    BF43 * (1 - IFERROR(INDEX('Inputs &amp; Assuptions'!$B$13:$B$72, COLUMN() - ($E43 + 5)), 0))
  )
)</f>
        <v>2298.9468395019544</v>
      </c>
      <c r="BH43" s="32">
        <f t="array" ref="BH43">IF(COLUMN() - ($E43 + 5) &lt; 0, 0,
  IF(COLUMN() - ($E43 + 5) = 0, $F43,
    BG43 * (1 - IFERROR(INDEX('Inputs &amp; Assuptions'!$B$13:$B$72, COLUMN() - ($E43 + 5)), 0))
  )
)</f>
        <v>2275.9573711069347</v>
      </c>
      <c r="BI43" s="32">
        <f t="array" ref="BI43">IF(COLUMN() - ($E43 + 5) &lt; 0, 0,
  IF(COLUMN() - ($E43 + 5) = 0, $F43,
    BH43 * (1 - IFERROR(INDEX('Inputs &amp; Assuptions'!$B$13:$B$72, COLUMN() - ($E43 + 5)), 0))
  )
)</f>
        <v>2253.1977973958656</v>
      </c>
      <c r="BJ43" s="32">
        <f t="array" ref="BJ43">IF(COLUMN() - ($E43 + 5) &lt; 0, 0,
  IF(COLUMN() - ($E43 + 5) = 0, $F43,
    BI43 * (1 - IFERROR(INDEX('Inputs &amp; Assuptions'!$B$13:$B$72, COLUMN() - ($E43 + 5)), 0))
  )
)</f>
        <v>2230.6658194219067</v>
      </c>
      <c r="BK43" s="32">
        <f t="array" ref="BK43">IF(COLUMN() - ($E43 + 5) &lt; 0, 0,
  IF(COLUMN() - ($E43 + 5) = 0, $F43,
    BJ43 * (1 - IFERROR(INDEX('Inputs &amp; Assuptions'!$B$13:$B$72, COLUMN() - ($E43 + 5)), 0))
  )
)</f>
        <v>2208.3591612276878</v>
      </c>
      <c r="BL43" s="32">
        <f t="array" ref="BL43">IF(COLUMN() - ($E43 + 5) &lt; 0, 0,
  IF(COLUMN() - ($E43 + 5) = 0, $F43,
    BK43 * (1 - IFERROR(INDEX('Inputs &amp; Assuptions'!$B$13:$B$72, COLUMN() - ($E43 + 5)), 0))
  )
)</f>
        <v>2186.2755696154109</v>
      </c>
      <c r="BM43" s="66">
        <f t="array" ref="BM43">IF(COLUMN() - ($E43 + 5) &lt; 0, 0,
  IF(COLUMN() - ($E43 + 5) = 0, $F43,
    BL43 * (1 - IFERROR(INDEX('Inputs &amp; Assuptions'!$B$13:$B$72, COLUMN() - ($E43 + 5)), 0))
  )
)</f>
        <v>2164.4128139192567</v>
      </c>
      <c r="BN43" s="33"/>
    </row>
    <row r="44" spans="1:66" x14ac:dyDescent="0.3">
      <c r="A44" s="71">
        <f t="shared" si="5"/>
        <v>39</v>
      </c>
      <c r="B44" s="75">
        <f t="shared" si="4"/>
        <v>6945.75</v>
      </c>
      <c r="C44" s="81">
        <f>$B44*(1-'Inputs &amp; Assuptions'!$B$12)</f>
        <v>4028.5350000000003</v>
      </c>
      <c r="E44" s="71">
        <f t="shared" si="6"/>
        <v>39</v>
      </c>
      <c r="F44" s="65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>
        <f>+$C44</f>
        <v>4028.5350000000003</v>
      </c>
      <c r="AS44" s="32">
        <f t="array" ref="AS44">IF(COLUMN() - ($E44 + 5) &lt; 0, 0,
  IF(COLUMN() - ($E44 + 5) = 0, $F44,
    AR44 * (1 - IFERROR(INDEX('Inputs &amp; Assuptions'!$B$13:$B$72, COLUMN() - ($E44 + 5)), 0))
  )
)</f>
        <v>3605.5388250000005</v>
      </c>
      <c r="AT44" s="32">
        <f t="array" ref="AT44">IF(COLUMN() - ($E44 + 5) &lt; 0, 0,
  IF(COLUMN() - ($E44 + 5) = 0, $F44,
    AS44 * (1 - IFERROR(INDEX('Inputs &amp; Assuptions'!$B$13:$B$72, COLUMN() - ($E44 + 5)), 0))
  )
)</f>
        <v>3317.0957190000008</v>
      </c>
      <c r="AU44" s="32">
        <f t="array" ref="AU44">IF(COLUMN() - ($E44 + 5) &lt; 0, 0,
  IF(COLUMN() - ($E44 + 5) = 0, $F44,
    AT44 * (1 - IFERROR(INDEX('Inputs &amp; Assuptions'!$B$13:$B$72, COLUMN() - ($E44 + 5)), 0))
  )
)</f>
        <v>3134.6554544550008</v>
      </c>
      <c r="AV44" s="32">
        <f t="array" ref="AV44">IF(COLUMN() - ($E44 + 5) &lt; 0, 0,
  IF(COLUMN() - ($E44 + 5) = 0, $F44,
    AU44 * (1 - IFERROR(INDEX('Inputs &amp; Assuptions'!$B$13:$B$72, COLUMN() - ($E44 + 5)), 0))
  )
)</f>
        <v>2977.9226817322506</v>
      </c>
      <c r="AW44" s="32">
        <f t="array" ref="AW44">IF(COLUMN() - ($E44 + 5) &lt; 0, 0,
  IF(COLUMN() - ($E44 + 5) = 0, $F44,
    AV44 * (1 - IFERROR(INDEX('Inputs &amp; Assuptions'!$B$13:$B$72, COLUMN() - ($E44 + 5)), 0))
  )
)</f>
        <v>2843.9161610542992</v>
      </c>
      <c r="AX44" s="32">
        <f t="array" ref="AX44">IF(COLUMN() - ($E44 + 5) &lt; 0, 0,
  IF(COLUMN() - ($E44 + 5) = 0, $F44,
    AW44 * (1 - IFERROR(INDEX('Inputs &amp; Assuptions'!$B$13:$B$72, COLUMN() - ($E44 + 5)), 0))
  )
)</f>
        <v>2730.1595146121272</v>
      </c>
      <c r="AY44" s="32">
        <f t="array" ref="AY44">IF(COLUMN() - ($E44 + 5) &lt; 0, 0,
  IF(COLUMN() - ($E44 + 5) = 0, $F44,
    AX44 * (1 - IFERROR(INDEX('Inputs &amp; Assuptions'!$B$13:$B$72, COLUMN() - ($E44 + 5)), 0))
  )
)</f>
        <v>2634.6039316007027</v>
      </c>
      <c r="AZ44" s="32">
        <f t="array" ref="AZ44">IF(COLUMN() - ($E44 + 5) &lt; 0, 0,
  IF(COLUMN() - ($E44 + 5) = 0, $F44,
    AY44 * (1 - IFERROR(INDEX('Inputs &amp; Assuptions'!$B$13:$B$72, COLUMN() - ($E44 + 5)), 0))
  )
)</f>
        <v>2555.5658136526818</v>
      </c>
      <c r="BA44" s="32">
        <f t="array" ref="BA44">IF(COLUMN() - ($E44 + 5) &lt; 0, 0,
  IF(COLUMN() - ($E44 + 5) = 0, $F44,
    AZ44 * (1 - IFERROR(INDEX('Inputs &amp; Assuptions'!$B$13:$B$72, COLUMN() - ($E44 + 5)), 0))
  )
)</f>
        <v>2491.6766683113647</v>
      </c>
      <c r="BB44" s="32">
        <f t="array" ref="BB44">IF(COLUMN() - ($E44 + 5) &lt; 0, 0,
  IF(COLUMN() - ($E44 + 5) = 0, $F44,
    BA44 * (1 - IFERROR(INDEX('Inputs &amp; Assuptions'!$B$13:$B$72, COLUMN() - ($E44 + 5)), 0))
  )
)</f>
        <v>2441.8431349451375</v>
      </c>
      <c r="BC44" s="32">
        <f t="array" ref="BC44">IF(COLUMN() - ($E44 + 5) &lt; 0, 0,
  IF(COLUMN() - ($E44 + 5) = 0, $F44,
    BB44 * (1 - IFERROR(INDEX('Inputs &amp; Assuptions'!$B$13:$B$72, COLUMN() - ($E44 + 5)), 0))
  )
)</f>
        <v>2417.424703595686</v>
      </c>
      <c r="BD44" s="32">
        <f t="array" ref="BD44">IF(COLUMN() - ($E44 + 5) &lt; 0, 0,
  IF(COLUMN() - ($E44 + 5) = 0, $F44,
    BC44 * (1 - IFERROR(INDEX('Inputs &amp; Assuptions'!$B$13:$B$72, COLUMN() - ($E44 + 5)), 0))
  )
)</f>
        <v>2393.2504565597292</v>
      </c>
      <c r="BE44" s="32">
        <f t="array" ref="BE44">IF(COLUMN() - ($E44 + 5) &lt; 0, 0,
  IF(COLUMN() - ($E44 + 5) = 0, $F44,
    BD44 * (1 - IFERROR(INDEX('Inputs &amp; Assuptions'!$B$13:$B$72, COLUMN() - ($E44 + 5)), 0))
  )
)</f>
        <v>2369.3179519941318</v>
      </c>
      <c r="BF44" s="32">
        <f t="array" ref="BF44">IF(COLUMN() - ($E44 + 5) &lt; 0, 0,
  IF(COLUMN() - ($E44 + 5) = 0, $F44,
    BE44 * (1 - IFERROR(INDEX('Inputs &amp; Assuptions'!$B$13:$B$72, COLUMN() - ($E44 + 5)), 0))
  )
)</f>
        <v>2345.6247724741906</v>
      </c>
      <c r="BG44" s="32">
        <f t="array" ref="BG44">IF(COLUMN() - ($E44 + 5) &lt; 0, 0,
  IF(COLUMN() - ($E44 + 5) = 0, $F44,
    BF44 * (1 - IFERROR(INDEX('Inputs &amp; Assuptions'!$B$13:$B$72, COLUMN() - ($E44 + 5)), 0))
  )
)</f>
        <v>2322.1685247494488</v>
      </c>
      <c r="BH44" s="32">
        <f t="array" ref="BH44">IF(COLUMN() - ($E44 + 5) &lt; 0, 0,
  IF(COLUMN() - ($E44 + 5) = 0, $F44,
    BG44 * (1 - IFERROR(INDEX('Inputs &amp; Assuptions'!$B$13:$B$72, COLUMN() - ($E44 + 5)), 0))
  )
)</f>
        <v>2298.9468395019544</v>
      </c>
      <c r="BI44" s="32">
        <f t="array" ref="BI44">IF(COLUMN() - ($E44 + 5) &lt; 0, 0,
  IF(COLUMN() - ($E44 + 5) = 0, $F44,
    BH44 * (1 - IFERROR(INDEX('Inputs &amp; Assuptions'!$B$13:$B$72, COLUMN() - ($E44 + 5)), 0))
  )
)</f>
        <v>2275.9573711069347</v>
      </c>
      <c r="BJ44" s="32">
        <f t="array" ref="BJ44">IF(COLUMN() - ($E44 + 5) &lt; 0, 0,
  IF(COLUMN() - ($E44 + 5) = 0, $F44,
    BI44 * (1 - IFERROR(INDEX('Inputs &amp; Assuptions'!$B$13:$B$72, COLUMN() - ($E44 + 5)), 0))
  )
)</f>
        <v>2253.1977973958656</v>
      </c>
      <c r="BK44" s="32">
        <f t="array" ref="BK44">IF(COLUMN() - ($E44 + 5) &lt; 0, 0,
  IF(COLUMN() - ($E44 + 5) = 0, $F44,
    BJ44 * (1 - IFERROR(INDEX('Inputs &amp; Assuptions'!$B$13:$B$72, COLUMN() - ($E44 + 5)), 0))
  )
)</f>
        <v>2230.6658194219067</v>
      </c>
      <c r="BL44" s="32">
        <f t="array" ref="BL44">IF(COLUMN() - ($E44 + 5) &lt; 0, 0,
  IF(COLUMN() - ($E44 + 5) = 0, $F44,
    BK44 * (1 - IFERROR(INDEX('Inputs &amp; Assuptions'!$B$13:$B$72, COLUMN() - ($E44 + 5)), 0))
  )
)</f>
        <v>2208.3591612276878</v>
      </c>
      <c r="BM44" s="66">
        <f t="array" ref="BM44">IF(COLUMN() - ($E44 + 5) &lt; 0, 0,
  IF(COLUMN() - ($E44 + 5) = 0, $F44,
    BL44 * (1 - IFERROR(INDEX('Inputs &amp; Assuptions'!$B$13:$B$72, COLUMN() - ($E44 + 5)), 0))
  )
)</f>
        <v>2186.2755696154109</v>
      </c>
      <c r="BN44" s="33"/>
    </row>
    <row r="45" spans="1:66" x14ac:dyDescent="0.3">
      <c r="A45" s="71">
        <f t="shared" si="5"/>
        <v>40</v>
      </c>
      <c r="B45" s="75">
        <f t="shared" si="4"/>
        <v>6945.75</v>
      </c>
      <c r="C45" s="81">
        <f>$B45*(1-'Inputs &amp; Assuptions'!$B$12)</f>
        <v>4028.5350000000003</v>
      </c>
      <c r="E45" s="71">
        <f t="shared" si="6"/>
        <v>40</v>
      </c>
      <c r="F45" s="65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>
        <f>+$C45</f>
        <v>4028.5350000000003</v>
      </c>
      <c r="AT45" s="32">
        <f t="array" ref="AT45">IF(COLUMN() - ($E45 + 5) &lt; 0, 0,
  IF(COLUMN() - ($E45 + 5) = 0, $F45,
    AS45 * (1 - IFERROR(INDEX('Inputs &amp; Assuptions'!$B$13:$B$72, COLUMN() - ($E45 + 5)), 0))
  )
)</f>
        <v>3605.5388250000005</v>
      </c>
      <c r="AU45" s="32">
        <f t="array" ref="AU45">IF(COLUMN() - ($E45 + 5) &lt; 0, 0,
  IF(COLUMN() - ($E45 + 5) = 0, $F45,
    AT45 * (1 - IFERROR(INDEX('Inputs &amp; Assuptions'!$B$13:$B$72, COLUMN() - ($E45 + 5)), 0))
  )
)</f>
        <v>3317.0957190000008</v>
      </c>
      <c r="AV45" s="32">
        <f t="array" ref="AV45">IF(COLUMN() - ($E45 + 5) &lt; 0, 0,
  IF(COLUMN() - ($E45 + 5) = 0, $F45,
    AU45 * (1 - IFERROR(INDEX('Inputs &amp; Assuptions'!$B$13:$B$72, COLUMN() - ($E45 + 5)), 0))
  )
)</f>
        <v>3134.6554544550008</v>
      </c>
      <c r="AW45" s="32">
        <f t="array" ref="AW45">IF(COLUMN() - ($E45 + 5) &lt; 0, 0,
  IF(COLUMN() - ($E45 + 5) = 0, $F45,
    AV45 * (1 - IFERROR(INDEX('Inputs &amp; Assuptions'!$B$13:$B$72, COLUMN() - ($E45 + 5)), 0))
  )
)</f>
        <v>2977.9226817322506</v>
      </c>
      <c r="AX45" s="32">
        <f t="array" ref="AX45">IF(COLUMN() - ($E45 + 5) &lt; 0, 0,
  IF(COLUMN() - ($E45 + 5) = 0, $F45,
    AW45 * (1 - IFERROR(INDEX('Inputs &amp; Assuptions'!$B$13:$B$72, COLUMN() - ($E45 + 5)), 0))
  )
)</f>
        <v>2843.9161610542992</v>
      </c>
      <c r="AY45" s="32">
        <f t="array" ref="AY45">IF(COLUMN() - ($E45 + 5) &lt; 0, 0,
  IF(COLUMN() - ($E45 + 5) = 0, $F45,
    AX45 * (1 - IFERROR(INDEX('Inputs &amp; Assuptions'!$B$13:$B$72, COLUMN() - ($E45 + 5)), 0))
  )
)</f>
        <v>2730.1595146121272</v>
      </c>
      <c r="AZ45" s="32">
        <f t="array" ref="AZ45">IF(COLUMN() - ($E45 + 5) &lt; 0, 0,
  IF(COLUMN() - ($E45 + 5) = 0, $F45,
    AY45 * (1 - IFERROR(INDEX('Inputs &amp; Assuptions'!$B$13:$B$72, COLUMN() - ($E45 + 5)), 0))
  )
)</f>
        <v>2634.6039316007027</v>
      </c>
      <c r="BA45" s="32">
        <f t="array" ref="BA45">IF(COLUMN() - ($E45 + 5) &lt; 0, 0,
  IF(COLUMN() - ($E45 + 5) = 0, $F45,
    AZ45 * (1 - IFERROR(INDEX('Inputs &amp; Assuptions'!$B$13:$B$72, COLUMN() - ($E45 + 5)), 0))
  )
)</f>
        <v>2555.5658136526818</v>
      </c>
      <c r="BB45" s="32">
        <f t="array" ref="BB45">IF(COLUMN() - ($E45 + 5) &lt; 0, 0,
  IF(COLUMN() - ($E45 + 5) = 0, $F45,
    BA45 * (1 - IFERROR(INDEX('Inputs &amp; Assuptions'!$B$13:$B$72, COLUMN() - ($E45 + 5)), 0))
  )
)</f>
        <v>2491.6766683113647</v>
      </c>
      <c r="BC45" s="32">
        <f t="array" ref="BC45">IF(COLUMN() - ($E45 + 5) &lt; 0, 0,
  IF(COLUMN() - ($E45 + 5) = 0, $F45,
    BB45 * (1 - IFERROR(INDEX('Inputs &amp; Assuptions'!$B$13:$B$72, COLUMN() - ($E45 + 5)), 0))
  )
)</f>
        <v>2441.8431349451375</v>
      </c>
      <c r="BD45" s="32">
        <f t="array" ref="BD45">IF(COLUMN() - ($E45 + 5) &lt; 0, 0,
  IF(COLUMN() - ($E45 + 5) = 0, $F45,
    BC45 * (1 - IFERROR(INDEX('Inputs &amp; Assuptions'!$B$13:$B$72, COLUMN() - ($E45 + 5)), 0))
  )
)</f>
        <v>2417.424703595686</v>
      </c>
      <c r="BE45" s="32">
        <f t="array" ref="BE45">IF(COLUMN() - ($E45 + 5) &lt; 0, 0,
  IF(COLUMN() - ($E45 + 5) = 0, $F45,
    BD45 * (1 - IFERROR(INDEX('Inputs &amp; Assuptions'!$B$13:$B$72, COLUMN() - ($E45 + 5)), 0))
  )
)</f>
        <v>2393.2504565597292</v>
      </c>
      <c r="BF45" s="32">
        <f t="array" ref="BF45">IF(COLUMN() - ($E45 + 5) &lt; 0, 0,
  IF(COLUMN() - ($E45 + 5) = 0, $F45,
    BE45 * (1 - IFERROR(INDEX('Inputs &amp; Assuptions'!$B$13:$B$72, COLUMN() - ($E45 + 5)), 0))
  )
)</f>
        <v>2369.3179519941318</v>
      </c>
      <c r="BG45" s="32">
        <f t="array" ref="BG45">IF(COLUMN() - ($E45 + 5) &lt; 0, 0,
  IF(COLUMN() - ($E45 + 5) = 0, $F45,
    BF45 * (1 - IFERROR(INDEX('Inputs &amp; Assuptions'!$B$13:$B$72, COLUMN() - ($E45 + 5)), 0))
  )
)</f>
        <v>2345.6247724741906</v>
      </c>
      <c r="BH45" s="32">
        <f t="array" ref="BH45">IF(COLUMN() - ($E45 + 5) &lt; 0, 0,
  IF(COLUMN() - ($E45 + 5) = 0, $F45,
    BG45 * (1 - IFERROR(INDEX('Inputs &amp; Assuptions'!$B$13:$B$72, COLUMN() - ($E45 + 5)), 0))
  )
)</f>
        <v>2322.1685247494488</v>
      </c>
      <c r="BI45" s="32">
        <f t="array" ref="BI45">IF(COLUMN() - ($E45 + 5) &lt; 0, 0,
  IF(COLUMN() - ($E45 + 5) = 0, $F45,
    BH45 * (1 - IFERROR(INDEX('Inputs &amp; Assuptions'!$B$13:$B$72, COLUMN() - ($E45 + 5)), 0))
  )
)</f>
        <v>2298.9468395019544</v>
      </c>
      <c r="BJ45" s="32">
        <f t="array" ref="BJ45">IF(COLUMN() - ($E45 + 5) &lt; 0, 0,
  IF(COLUMN() - ($E45 + 5) = 0, $F45,
    BI45 * (1 - IFERROR(INDEX('Inputs &amp; Assuptions'!$B$13:$B$72, COLUMN() - ($E45 + 5)), 0))
  )
)</f>
        <v>2275.9573711069347</v>
      </c>
      <c r="BK45" s="32">
        <f t="array" ref="BK45">IF(COLUMN() - ($E45 + 5) &lt; 0, 0,
  IF(COLUMN() - ($E45 + 5) = 0, $F45,
    BJ45 * (1 - IFERROR(INDEX('Inputs &amp; Assuptions'!$B$13:$B$72, COLUMN() - ($E45 + 5)), 0))
  )
)</f>
        <v>2253.1977973958656</v>
      </c>
      <c r="BL45" s="32">
        <f t="array" ref="BL45">IF(COLUMN() - ($E45 + 5) &lt; 0, 0,
  IF(COLUMN() - ($E45 + 5) = 0, $F45,
    BK45 * (1 - IFERROR(INDEX('Inputs &amp; Assuptions'!$B$13:$B$72, COLUMN() - ($E45 + 5)), 0))
  )
)</f>
        <v>2230.6658194219067</v>
      </c>
      <c r="BM45" s="66">
        <f t="array" ref="BM45">IF(COLUMN() - ($E45 + 5) &lt; 0, 0,
  IF(COLUMN() - ($E45 + 5) = 0, $F45,
    BL45 * (1 - IFERROR(INDEX('Inputs &amp; Assuptions'!$B$13:$B$72, COLUMN() - ($E45 + 5)), 0))
  )
)</f>
        <v>2208.3591612276878</v>
      </c>
      <c r="BN45" s="33"/>
    </row>
    <row r="46" spans="1:66" x14ac:dyDescent="0.3">
      <c r="A46" s="71">
        <f t="shared" si="5"/>
        <v>41</v>
      </c>
      <c r="B46" s="75">
        <f t="shared" si="4"/>
        <v>6945.75</v>
      </c>
      <c r="C46" s="81">
        <f>$B46*(1-'Inputs &amp; Assuptions'!$B$12)</f>
        <v>4028.5350000000003</v>
      </c>
      <c r="E46" s="71">
        <f t="shared" si="6"/>
        <v>41</v>
      </c>
      <c r="F46" s="65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>
        <f>+$C46</f>
        <v>4028.5350000000003</v>
      </c>
      <c r="AU46" s="32">
        <f t="array" ref="AU46">IF(COLUMN() - ($E46 + 5) &lt; 0, 0,
  IF(COLUMN() - ($E46 + 5) = 0, $F46,
    AT46 * (1 - IFERROR(INDEX('Inputs &amp; Assuptions'!$B$13:$B$72, COLUMN() - ($E46 + 5)), 0))
  )
)</f>
        <v>3605.5388250000005</v>
      </c>
      <c r="AV46" s="32">
        <f t="array" ref="AV46">IF(COLUMN() - ($E46 + 5) &lt; 0, 0,
  IF(COLUMN() - ($E46 + 5) = 0, $F46,
    AU46 * (1 - IFERROR(INDEX('Inputs &amp; Assuptions'!$B$13:$B$72, COLUMN() - ($E46 + 5)), 0))
  )
)</f>
        <v>3317.0957190000008</v>
      </c>
      <c r="AW46" s="32">
        <f t="array" ref="AW46">IF(COLUMN() - ($E46 + 5) &lt; 0, 0,
  IF(COLUMN() - ($E46 + 5) = 0, $F46,
    AV46 * (1 - IFERROR(INDEX('Inputs &amp; Assuptions'!$B$13:$B$72, COLUMN() - ($E46 + 5)), 0))
  )
)</f>
        <v>3134.6554544550008</v>
      </c>
      <c r="AX46" s="32">
        <f t="array" ref="AX46">IF(COLUMN() - ($E46 + 5) &lt; 0, 0,
  IF(COLUMN() - ($E46 + 5) = 0, $F46,
    AW46 * (1 - IFERROR(INDEX('Inputs &amp; Assuptions'!$B$13:$B$72, COLUMN() - ($E46 + 5)), 0))
  )
)</f>
        <v>2977.9226817322506</v>
      </c>
      <c r="AY46" s="32">
        <f t="array" ref="AY46">IF(COLUMN() - ($E46 + 5) &lt; 0, 0,
  IF(COLUMN() - ($E46 + 5) = 0, $F46,
    AX46 * (1 - IFERROR(INDEX('Inputs &amp; Assuptions'!$B$13:$B$72, COLUMN() - ($E46 + 5)), 0))
  )
)</f>
        <v>2843.9161610542992</v>
      </c>
      <c r="AZ46" s="32">
        <f t="array" ref="AZ46">IF(COLUMN() - ($E46 + 5) &lt; 0, 0,
  IF(COLUMN() - ($E46 + 5) = 0, $F46,
    AY46 * (1 - IFERROR(INDEX('Inputs &amp; Assuptions'!$B$13:$B$72, COLUMN() - ($E46 + 5)), 0))
  )
)</f>
        <v>2730.1595146121272</v>
      </c>
      <c r="BA46" s="32">
        <f t="array" ref="BA46">IF(COLUMN() - ($E46 + 5) &lt; 0, 0,
  IF(COLUMN() - ($E46 + 5) = 0, $F46,
    AZ46 * (1 - IFERROR(INDEX('Inputs &amp; Assuptions'!$B$13:$B$72, COLUMN() - ($E46 + 5)), 0))
  )
)</f>
        <v>2634.6039316007027</v>
      </c>
      <c r="BB46" s="32">
        <f t="array" ref="BB46">IF(COLUMN() - ($E46 + 5) &lt; 0, 0,
  IF(COLUMN() - ($E46 + 5) = 0, $F46,
    BA46 * (1 - IFERROR(INDEX('Inputs &amp; Assuptions'!$B$13:$B$72, COLUMN() - ($E46 + 5)), 0))
  )
)</f>
        <v>2555.5658136526818</v>
      </c>
      <c r="BC46" s="32">
        <f t="array" ref="BC46">IF(COLUMN() - ($E46 + 5) &lt; 0, 0,
  IF(COLUMN() - ($E46 + 5) = 0, $F46,
    BB46 * (1 - IFERROR(INDEX('Inputs &amp; Assuptions'!$B$13:$B$72, COLUMN() - ($E46 + 5)), 0))
  )
)</f>
        <v>2491.6766683113647</v>
      </c>
      <c r="BD46" s="32">
        <f t="array" ref="BD46">IF(COLUMN() - ($E46 + 5) &lt; 0, 0,
  IF(COLUMN() - ($E46 + 5) = 0, $F46,
    BC46 * (1 - IFERROR(INDEX('Inputs &amp; Assuptions'!$B$13:$B$72, COLUMN() - ($E46 + 5)), 0))
  )
)</f>
        <v>2441.8431349451375</v>
      </c>
      <c r="BE46" s="32">
        <f t="array" ref="BE46">IF(COLUMN() - ($E46 + 5) &lt; 0, 0,
  IF(COLUMN() - ($E46 + 5) = 0, $F46,
    BD46 * (1 - IFERROR(INDEX('Inputs &amp; Assuptions'!$B$13:$B$72, COLUMN() - ($E46 + 5)), 0))
  )
)</f>
        <v>2417.424703595686</v>
      </c>
      <c r="BF46" s="32">
        <f t="array" ref="BF46">IF(COLUMN() - ($E46 + 5) &lt; 0, 0,
  IF(COLUMN() - ($E46 + 5) = 0, $F46,
    BE46 * (1 - IFERROR(INDEX('Inputs &amp; Assuptions'!$B$13:$B$72, COLUMN() - ($E46 + 5)), 0))
  )
)</f>
        <v>2393.2504565597292</v>
      </c>
      <c r="BG46" s="32">
        <f t="array" ref="BG46">IF(COLUMN() - ($E46 + 5) &lt; 0, 0,
  IF(COLUMN() - ($E46 + 5) = 0, $F46,
    BF46 * (1 - IFERROR(INDEX('Inputs &amp; Assuptions'!$B$13:$B$72, COLUMN() - ($E46 + 5)), 0))
  )
)</f>
        <v>2369.3179519941318</v>
      </c>
      <c r="BH46" s="32">
        <f t="array" ref="BH46">IF(COLUMN() - ($E46 + 5) &lt; 0, 0,
  IF(COLUMN() - ($E46 + 5) = 0, $F46,
    BG46 * (1 - IFERROR(INDEX('Inputs &amp; Assuptions'!$B$13:$B$72, COLUMN() - ($E46 + 5)), 0))
  )
)</f>
        <v>2345.6247724741906</v>
      </c>
      <c r="BI46" s="32">
        <f t="array" ref="BI46">IF(COLUMN() - ($E46 + 5) &lt; 0, 0,
  IF(COLUMN() - ($E46 + 5) = 0, $F46,
    BH46 * (1 - IFERROR(INDEX('Inputs &amp; Assuptions'!$B$13:$B$72, COLUMN() - ($E46 + 5)), 0))
  )
)</f>
        <v>2322.1685247494488</v>
      </c>
      <c r="BJ46" s="32">
        <f t="array" ref="BJ46">IF(COLUMN() - ($E46 + 5) &lt; 0, 0,
  IF(COLUMN() - ($E46 + 5) = 0, $F46,
    BI46 * (1 - IFERROR(INDEX('Inputs &amp; Assuptions'!$B$13:$B$72, COLUMN() - ($E46 + 5)), 0))
  )
)</f>
        <v>2298.9468395019544</v>
      </c>
      <c r="BK46" s="32">
        <f t="array" ref="BK46">IF(COLUMN() - ($E46 + 5) &lt; 0, 0,
  IF(COLUMN() - ($E46 + 5) = 0, $F46,
    BJ46 * (1 - IFERROR(INDEX('Inputs &amp; Assuptions'!$B$13:$B$72, COLUMN() - ($E46 + 5)), 0))
  )
)</f>
        <v>2275.9573711069347</v>
      </c>
      <c r="BL46" s="32">
        <f t="array" ref="BL46">IF(COLUMN() - ($E46 + 5) &lt; 0, 0,
  IF(COLUMN() - ($E46 + 5) = 0, $F46,
    BK46 * (1 - IFERROR(INDEX('Inputs &amp; Assuptions'!$B$13:$B$72, COLUMN() - ($E46 + 5)), 0))
  )
)</f>
        <v>2253.1977973958656</v>
      </c>
      <c r="BM46" s="66">
        <f t="array" ref="BM46">IF(COLUMN() - ($E46 + 5) &lt; 0, 0,
  IF(COLUMN() - ($E46 + 5) = 0, $F46,
    BL46 * (1 - IFERROR(INDEX('Inputs &amp; Assuptions'!$B$13:$B$72, COLUMN() - ($E46 + 5)), 0))
  )
)</f>
        <v>2230.6658194219067</v>
      </c>
      <c r="BN46" s="33"/>
    </row>
    <row r="47" spans="1:66" x14ac:dyDescent="0.3">
      <c r="A47" s="71">
        <f t="shared" si="5"/>
        <v>42</v>
      </c>
      <c r="B47" s="75">
        <f t="shared" si="4"/>
        <v>6945.75</v>
      </c>
      <c r="C47" s="81">
        <f>$B47*(1-'Inputs &amp; Assuptions'!$B$12)</f>
        <v>4028.5350000000003</v>
      </c>
      <c r="E47" s="71">
        <f t="shared" si="6"/>
        <v>42</v>
      </c>
      <c r="F47" s="65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>
        <f>+$C47</f>
        <v>4028.5350000000003</v>
      </c>
      <c r="AV47" s="32">
        <f t="array" ref="AV47">IF(COLUMN() - ($E47 + 5) &lt; 0, 0,
  IF(COLUMN() - ($E47 + 5) = 0, $F47,
    AU47 * (1 - IFERROR(INDEX('Inputs &amp; Assuptions'!$B$13:$B$72, COLUMN() - ($E47 + 5)), 0))
  )
)</f>
        <v>3605.5388250000005</v>
      </c>
      <c r="AW47" s="32">
        <f t="array" ref="AW47">IF(COLUMN() - ($E47 + 5) &lt; 0, 0,
  IF(COLUMN() - ($E47 + 5) = 0, $F47,
    AV47 * (1 - IFERROR(INDEX('Inputs &amp; Assuptions'!$B$13:$B$72, COLUMN() - ($E47 + 5)), 0))
  )
)</f>
        <v>3317.0957190000008</v>
      </c>
      <c r="AX47" s="32">
        <f t="array" ref="AX47">IF(COLUMN() - ($E47 + 5) &lt; 0, 0,
  IF(COLUMN() - ($E47 + 5) = 0, $F47,
    AW47 * (1 - IFERROR(INDEX('Inputs &amp; Assuptions'!$B$13:$B$72, COLUMN() - ($E47 + 5)), 0))
  )
)</f>
        <v>3134.6554544550008</v>
      </c>
      <c r="AY47" s="32">
        <f t="array" ref="AY47">IF(COLUMN() - ($E47 + 5) &lt; 0, 0,
  IF(COLUMN() - ($E47 + 5) = 0, $F47,
    AX47 * (1 - IFERROR(INDEX('Inputs &amp; Assuptions'!$B$13:$B$72, COLUMN() - ($E47 + 5)), 0))
  )
)</f>
        <v>2977.9226817322506</v>
      </c>
      <c r="AZ47" s="32">
        <f t="array" ref="AZ47">IF(COLUMN() - ($E47 + 5) &lt; 0, 0,
  IF(COLUMN() - ($E47 + 5) = 0, $F47,
    AY47 * (1 - IFERROR(INDEX('Inputs &amp; Assuptions'!$B$13:$B$72, COLUMN() - ($E47 + 5)), 0))
  )
)</f>
        <v>2843.9161610542992</v>
      </c>
      <c r="BA47" s="32">
        <f t="array" ref="BA47">IF(COLUMN() - ($E47 + 5) &lt; 0, 0,
  IF(COLUMN() - ($E47 + 5) = 0, $F47,
    AZ47 * (1 - IFERROR(INDEX('Inputs &amp; Assuptions'!$B$13:$B$72, COLUMN() - ($E47 + 5)), 0))
  )
)</f>
        <v>2730.1595146121272</v>
      </c>
      <c r="BB47" s="32">
        <f t="array" ref="BB47">IF(COLUMN() - ($E47 + 5) &lt; 0, 0,
  IF(COLUMN() - ($E47 + 5) = 0, $F47,
    BA47 * (1 - IFERROR(INDEX('Inputs &amp; Assuptions'!$B$13:$B$72, COLUMN() - ($E47 + 5)), 0))
  )
)</f>
        <v>2634.6039316007027</v>
      </c>
      <c r="BC47" s="32">
        <f t="array" ref="BC47">IF(COLUMN() - ($E47 + 5) &lt; 0, 0,
  IF(COLUMN() - ($E47 + 5) = 0, $F47,
    BB47 * (1 - IFERROR(INDEX('Inputs &amp; Assuptions'!$B$13:$B$72, COLUMN() - ($E47 + 5)), 0))
  )
)</f>
        <v>2555.5658136526818</v>
      </c>
      <c r="BD47" s="32">
        <f t="array" ref="BD47">IF(COLUMN() - ($E47 + 5) &lt; 0, 0,
  IF(COLUMN() - ($E47 + 5) = 0, $F47,
    BC47 * (1 - IFERROR(INDEX('Inputs &amp; Assuptions'!$B$13:$B$72, COLUMN() - ($E47 + 5)), 0))
  )
)</f>
        <v>2491.6766683113647</v>
      </c>
      <c r="BE47" s="32">
        <f t="array" ref="BE47">IF(COLUMN() - ($E47 + 5) &lt; 0, 0,
  IF(COLUMN() - ($E47 + 5) = 0, $F47,
    BD47 * (1 - IFERROR(INDEX('Inputs &amp; Assuptions'!$B$13:$B$72, COLUMN() - ($E47 + 5)), 0))
  )
)</f>
        <v>2441.8431349451375</v>
      </c>
      <c r="BF47" s="32">
        <f t="array" ref="BF47">IF(COLUMN() - ($E47 + 5) &lt; 0, 0,
  IF(COLUMN() - ($E47 + 5) = 0, $F47,
    BE47 * (1 - IFERROR(INDEX('Inputs &amp; Assuptions'!$B$13:$B$72, COLUMN() - ($E47 + 5)), 0))
  )
)</f>
        <v>2417.424703595686</v>
      </c>
      <c r="BG47" s="32">
        <f t="array" ref="BG47">IF(COLUMN() - ($E47 + 5) &lt; 0, 0,
  IF(COLUMN() - ($E47 + 5) = 0, $F47,
    BF47 * (1 - IFERROR(INDEX('Inputs &amp; Assuptions'!$B$13:$B$72, COLUMN() - ($E47 + 5)), 0))
  )
)</f>
        <v>2393.2504565597292</v>
      </c>
      <c r="BH47" s="32">
        <f t="array" ref="BH47">IF(COLUMN() - ($E47 + 5) &lt; 0, 0,
  IF(COLUMN() - ($E47 + 5) = 0, $F47,
    BG47 * (1 - IFERROR(INDEX('Inputs &amp; Assuptions'!$B$13:$B$72, COLUMN() - ($E47 + 5)), 0))
  )
)</f>
        <v>2369.3179519941318</v>
      </c>
      <c r="BI47" s="32">
        <f t="array" ref="BI47">IF(COLUMN() - ($E47 + 5) &lt; 0, 0,
  IF(COLUMN() - ($E47 + 5) = 0, $F47,
    BH47 * (1 - IFERROR(INDEX('Inputs &amp; Assuptions'!$B$13:$B$72, COLUMN() - ($E47 + 5)), 0))
  )
)</f>
        <v>2345.6247724741906</v>
      </c>
      <c r="BJ47" s="32">
        <f t="array" ref="BJ47">IF(COLUMN() - ($E47 + 5) &lt; 0, 0,
  IF(COLUMN() - ($E47 + 5) = 0, $F47,
    BI47 * (1 - IFERROR(INDEX('Inputs &amp; Assuptions'!$B$13:$B$72, COLUMN() - ($E47 + 5)), 0))
  )
)</f>
        <v>2322.1685247494488</v>
      </c>
      <c r="BK47" s="32">
        <f t="array" ref="BK47">IF(COLUMN() - ($E47 + 5) &lt; 0, 0,
  IF(COLUMN() - ($E47 + 5) = 0, $F47,
    BJ47 * (1 - IFERROR(INDEX('Inputs &amp; Assuptions'!$B$13:$B$72, COLUMN() - ($E47 + 5)), 0))
  )
)</f>
        <v>2298.9468395019544</v>
      </c>
      <c r="BL47" s="32">
        <f t="array" ref="BL47">IF(COLUMN() - ($E47 + 5) &lt; 0, 0,
  IF(COLUMN() - ($E47 + 5) = 0, $F47,
    BK47 * (1 - IFERROR(INDEX('Inputs &amp; Assuptions'!$B$13:$B$72, COLUMN() - ($E47 + 5)), 0))
  )
)</f>
        <v>2275.9573711069347</v>
      </c>
      <c r="BM47" s="66">
        <f t="array" ref="BM47">IF(COLUMN() - ($E47 + 5) &lt; 0, 0,
  IF(COLUMN() - ($E47 + 5) = 0, $F47,
    BL47 * (1 - IFERROR(INDEX('Inputs &amp; Assuptions'!$B$13:$B$72, COLUMN() - ($E47 + 5)), 0))
  )
)</f>
        <v>2253.1977973958656</v>
      </c>
      <c r="BN47" s="33"/>
    </row>
    <row r="48" spans="1:66" x14ac:dyDescent="0.3">
      <c r="A48" s="71">
        <f t="shared" si="5"/>
        <v>43</v>
      </c>
      <c r="B48" s="75">
        <f t="shared" si="4"/>
        <v>6945.75</v>
      </c>
      <c r="C48" s="81">
        <f>$B48*(1-'Inputs &amp; Assuptions'!$B$12)</f>
        <v>4028.5350000000003</v>
      </c>
      <c r="E48" s="71">
        <f t="shared" si="6"/>
        <v>43</v>
      </c>
      <c r="F48" s="65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>
        <f>+$C48</f>
        <v>4028.5350000000003</v>
      </c>
      <c r="AW48" s="32">
        <f t="array" ref="AW48">IF(COLUMN() - ($E48 + 5) &lt; 0, 0,
  IF(COLUMN() - ($E48 + 5) = 0, $F48,
    AV48 * (1 - IFERROR(INDEX('Inputs &amp; Assuptions'!$B$13:$B$72, COLUMN() - ($E48 + 5)), 0))
  )
)</f>
        <v>3605.5388250000005</v>
      </c>
      <c r="AX48" s="32">
        <f t="array" ref="AX48">IF(COLUMN() - ($E48 + 5) &lt; 0, 0,
  IF(COLUMN() - ($E48 + 5) = 0, $F48,
    AW48 * (1 - IFERROR(INDEX('Inputs &amp; Assuptions'!$B$13:$B$72, COLUMN() - ($E48 + 5)), 0))
  )
)</f>
        <v>3317.0957190000008</v>
      </c>
      <c r="AY48" s="32">
        <f t="array" ref="AY48">IF(COLUMN() - ($E48 + 5) &lt; 0, 0,
  IF(COLUMN() - ($E48 + 5) = 0, $F48,
    AX48 * (1 - IFERROR(INDEX('Inputs &amp; Assuptions'!$B$13:$B$72, COLUMN() - ($E48 + 5)), 0))
  )
)</f>
        <v>3134.6554544550008</v>
      </c>
      <c r="AZ48" s="32">
        <f t="array" ref="AZ48">IF(COLUMN() - ($E48 + 5) &lt; 0, 0,
  IF(COLUMN() - ($E48 + 5) = 0, $F48,
    AY48 * (1 - IFERROR(INDEX('Inputs &amp; Assuptions'!$B$13:$B$72, COLUMN() - ($E48 + 5)), 0))
  )
)</f>
        <v>2977.9226817322506</v>
      </c>
      <c r="BA48" s="32">
        <f t="array" ref="BA48">IF(COLUMN() - ($E48 + 5) &lt; 0, 0,
  IF(COLUMN() - ($E48 + 5) = 0, $F48,
    AZ48 * (1 - IFERROR(INDEX('Inputs &amp; Assuptions'!$B$13:$B$72, COLUMN() - ($E48 + 5)), 0))
  )
)</f>
        <v>2843.9161610542992</v>
      </c>
      <c r="BB48" s="32">
        <f t="array" ref="BB48">IF(COLUMN() - ($E48 + 5) &lt; 0, 0,
  IF(COLUMN() - ($E48 + 5) = 0, $F48,
    BA48 * (1 - IFERROR(INDEX('Inputs &amp; Assuptions'!$B$13:$B$72, COLUMN() - ($E48 + 5)), 0))
  )
)</f>
        <v>2730.1595146121272</v>
      </c>
      <c r="BC48" s="32">
        <f t="array" ref="BC48">IF(COLUMN() - ($E48 + 5) &lt; 0, 0,
  IF(COLUMN() - ($E48 + 5) = 0, $F48,
    BB48 * (1 - IFERROR(INDEX('Inputs &amp; Assuptions'!$B$13:$B$72, COLUMN() - ($E48 + 5)), 0))
  )
)</f>
        <v>2634.6039316007027</v>
      </c>
      <c r="BD48" s="32">
        <f t="array" ref="BD48">IF(COLUMN() - ($E48 + 5) &lt; 0, 0,
  IF(COLUMN() - ($E48 + 5) = 0, $F48,
    BC48 * (1 - IFERROR(INDEX('Inputs &amp; Assuptions'!$B$13:$B$72, COLUMN() - ($E48 + 5)), 0))
  )
)</f>
        <v>2555.5658136526818</v>
      </c>
      <c r="BE48" s="32">
        <f t="array" ref="BE48">IF(COLUMN() - ($E48 + 5) &lt; 0, 0,
  IF(COLUMN() - ($E48 + 5) = 0, $F48,
    BD48 * (1 - IFERROR(INDEX('Inputs &amp; Assuptions'!$B$13:$B$72, COLUMN() - ($E48 + 5)), 0))
  )
)</f>
        <v>2491.6766683113647</v>
      </c>
      <c r="BF48" s="32">
        <f t="array" ref="BF48">IF(COLUMN() - ($E48 + 5) &lt; 0, 0,
  IF(COLUMN() - ($E48 + 5) = 0, $F48,
    BE48 * (1 - IFERROR(INDEX('Inputs &amp; Assuptions'!$B$13:$B$72, COLUMN() - ($E48 + 5)), 0))
  )
)</f>
        <v>2441.8431349451375</v>
      </c>
      <c r="BG48" s="32">
        <f t="array" ref="BG48">IF(COLUMN() - ($E48 + 5) &lt; 0, 0,
  IF(COLUMN() - ($E48 + 5) = 0, $F48,
    BF48 * (1 - IFERROR(INDEX('Inputs &amp; Assuptions'!$B$13:$B$72, COLUMN() - ($E48 + 5)), 0))
  )
)</f>
        <v>2417.424703595686</v>
      </c>
      <c r="BH48" s="32">
        <f t="array" ref="BH48">IF(COLUMN() - ($E48 + 5) &lt; 0, 0,
  IF(COLUMN() - ($E48 + 5) = 0, $F48,
    BG48 * (1 - IFERROR(INDEX('Inputs &amp; Assuptions'!$B$13:$B$72, COLUMN() - ($E48 + 5)), 0))
  )
)</f>
        <v>2393.2504565597292</v>
      </c>
      <c r="BI48" s="32">
        <f t="array" ref="BI48">IF(COLUMN() - ($E48 + 5) &lt; 0, 0,
  IF(COLUMN() - ($E48 + 5) = 0, $F48,
    BH48 * (1 - IFERROR(INDEX('Inputs &amp; Assuptions'!$B$13:$B$72, COLUMN() - ($E48 + 5)), 0))
  )
)</f>
        <v>2369.3179519941318</v>
      </c>
      <c r="BJ48" s="32">
        <f t="array" ref="BJ48">IF(COLUMN() - ($E48 + 5) &lt; 0, 0,
  IF(COLUMN() - ($E48 + 5) = 0, $F48,
    BI48 * (1 - IFERROR(INDEX('Inputs &amp; Assuptions'!$B$13:$B$72, COLUMN() - ($E48 + 5)), 0))
  )
)</f>
        <v>2345.6247724741906</v>
      </c>
      <c r="BK48" s="32">
        <f t="array" ref="BK48">IF(COLUMN() - ($E48 + 5) &lt; 0, 0,
  IF(COLUMN() - ($E48 + 5) = 0, $F48,
    BJ48 * (1 - IFERROR(INDEX('Inputs &amp; Assuptions'!$B$13:$B$72, COLUMN() - ($E48 + 5)), 0))
  )
)</f>
        <v>2322.1685247494488</v>
      </c>
      <c r="BL48" s="32">
        <f t="array" ref="BL48">IF(COLUMN() - ($E48 + 5) &lt; 0, 0,
  IF(COLUMN() - ($E48 + 5) = 0, $F48,
    BK48 * (1 - IFERROR(INDEX('Inputs &amp; Assuptions'!$B$13:$B$72, COLUMN() - ($E48 + 5)), 0))
  )
)</f>
        <v>2298.9468395019544</v>
      </c>
      <c r="BM48" s="66">
        <f t="array" ref="BM48">IF(COLUMN() - ($E48 + 5) &lt; 0, 0,
  IF(COLUMN() - ($E48 + 5) = 0, $F48,
    BL48 * (1 - IFERROR(INDEX('Inputs &amp; Assuptions'!$B$13:$B$72, COLUMN() - ($E48 + 5)), 0))
  )
)</f>
        <v>2275.9573711069347</v>
      </c>
      <c r="BN48" s="33"/>
    </row>
    <row r="49" spans="1:66" x14ac:dyDescent="0.3">
      <c r="A49" s="71">
        <f t="shared" si="5"/>
        <v>44</v>
      </c>
      <c r="B49" s="75">
        <f t="shared" si="4"/>
        <v>6945.75</v>
      </c>
      <c r="C49" s="81">
        <f>$B49*(1-'Inputs &amp; Assuptions'!$B$12)</f>
        <v>4028.5350000000003</v>
      </c>
      <c r="E49" s="71">
        <f t="shared" si="6"/>
        <v>44</v>
      </c>
      <c r="F49" s="6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>
        <f>+$C49</f>
        <v>4028.5350000000003</v>
      </c>
      <c r="AX49" s="32">
        <f t="array" ref="AX49">IF(COLUMN() - ($E49 + 5) &lt; 0, 0,
  IF(COLUMN() - ($E49 + 5) = 0, $F49,
    AW49 * (1 - IFERROR(INDEX('Inputs &amp; Assuptions'!$B$13:$B$72, COLUMN() - ($E49 + 5)), 0))
  )
)</f>
        <v>3605.5388250000005</v>
      </c>
      <c r="AY49" s="32">
        <f t="array" ref="AY49">IF(COLUMN() - ($E49 + 5) &lt; 0, 0,
  IF(COLUMN() - ($E49 + 5) = 0, $F49,
    AX49 * (1 - IFERROR(INDEX('Inputs &amp; Assuptions'!$B$13:$B$72, COLUMN() - ($E49 + 5)), 0))
  )
)</f>
        <v>3317.0957190000008</v>
      </c>
      <c r="AZ49" s="32">
        <f t="array" ref="AZ49">IF(COLUMN() - ($E49 + 5) &lt; 0, 0,
  IF(COLUMN() - ($E49 + 5) = 0, $F49,
    AY49 * (1 - IFERROR(INDEX('Inputs &amp; Assuptions'!$B$13:$B$72, COLUMN() - ($E49 + 5)), 0))
  )
)</f>
        <v>3134.6554544550008</v>
      </c>
      <c r="BA49" s="32">
        <f t="array" ref="BA49">IF(COLUMN() - ($E49 + 5) &lt; 0, 0,
  IF(COLUMN() - ($E49 + 5) = 0, $F49,
    AZ49 * (1 - IFERROR(INDEX('Inputs &amp; Assuptions'!$B$13:$B$72, COLUMN() - ($E49 + 5)), 0))
  )
)</f>
        <v>2977.9226817322506</v>
      </c>
      <c r="BB49" s="32">
        <f t="array" ref="BB49">IF(COLUMN() - ($E49 + 5) &lt; 0, 0,
  IF(COLUMN() - ($E49 + 5) = 0, $F49,
    BA49 * (1 - IFERROR(INDEX('Inputs &amp; Assuptions'!$B$13:$B$72, COLUMN() - ($E49 + 5)), 0))
  )
)</f>
        <v>2843.9161610542992</v>
      </c>
      <c r="BC49" s="32">
        <f t="array" ref="BC49">IF(COLUMN() - ($E49 + 5) &lt; 0, 0,
  IF(COLUMN() - ($E49 + 5) = 0, $F49,
    BB49 * (1 - IFERROR(INDEX('Inputs &amp; Assuptions'!$B$13:$B$72, COLUMN() - ($E49 + 5)), 0))
  )
)</f>
        <v>2730.1595146121272</v>
      </c>
      <c r="BD49" s="32">
        <f t="array" ref="BD49">IF(COLUMN() - ($E49 + 5) &lt; 0, 0,
  IF(COLUMN() - ($E49 + 5) = 0, $F49,
    BC49 * (1 - IFERROR(INDEX('Inputs &amp; Assuptions'!$B$13:$B$72, COLUMN() - ($E49 + 5)), 0))
  )
)</f>
        <v>2634.6039316007027</v>
      </c>
      <c r="BE49" s="32">
        <f t="array" ref="BE49">IF(COLUMN() - ($E49 + 5) &lt; 0, 0,
  IF(COLUMN() - ($E49 + 5) = 0, $F49,
    BD49 * (1 - IFERROR(INDEX('Inputs &amp; Assuptions'!$B$13:$B$72, COLUMN() - ($E49 + 5)), 0))
  )
)</f>
        <v>2555.5658136526818</v>
      </c>
      <c r="BF49" s="32">
        <f t="array" ref="BF49">IF(COLUMN() - ($E49 + 5) &lt; 0, 0,
  IF(COLUMN() - ($E49 + 5) = 0, $F49,
    BE49 * (1 - IFERROR(INDEX('Inputs &amp; Assuptions'!$B$13:$B$72, COLUMN() - ($E49 + 5)), 0))
  )
)</f>
        <v>2491.6766683113647</v>
      </c>
      <c r="BG49" s="32">
        <f t="array" ref="BG49">IF(COLUMN() - ($E49 + 5) &lt; 0, 0,
  IF(COLUMN() - ($E49 + 5) = 0, $F49,
    BF49 * (1 - IFERROR(INDEX('Inputs &amp; Assuptions'!$B$13:$B$72, COLUMN() - ($E49 + 5)), 0))
  )
)</f>
        <v>2441.8431349451375</v>
      </c>
      <c r="BH49" s="32">
        <f t="array" ref="BH49">IF(COLUMN() - ($E49 + 5) &lt; 0, 0,
  IF(COLUMN() - ($E49 + 5) = 0, $F49,
    BG49 * (1 - IFERROR(INDEX('Inputs &amp; Assuptions'!$B$13:$B$72, COLUMN() - ($E49 + 5)), 0))
  )
)</f>
        <v>2417.424703595686</v>
      </c>
      <c r="BI49" s="32">
        <f t="array" ref="BI49">IF(COLUMN() - ($E49 + 5) &lt; 0, 0,
  IF(COLUMN() - ($E49 + 5) = 0, $F49,
    BH49 * (1 - IFERROR(INDEX('Inputs &amp; Assuptions'!$B$13:$B$72, COLUMN() - ($E49 + 5)), 0))
  )
)</f>
        <v>2393.2504565597292</v>
      </c>
      <c r="BJ49" s="32">
        <f t="array" ref="BJ49">IF(COLUMN() - ($E49 + 5) &lt; 0, 0,
  IF(COLUMN() - ($E49 + 5) = 0, $F49,
    BI49 * (1 - IFERROR(INDEX('Inputs &amp; Assuptions'!$B$13:$B$72, COLUMN() - ($E49 + 5)), 0))
  )
)</f>
        <v>2369.3179519941318</v>
      </c>
      <c r="BK49" s="32">
        <f t="array" ref="BK49">IF(COLUMN() - ($E49 + 5) &lt; 0, 0,
  IF(COLUMN() - ($E49 + 5) = 0, $F49,
    BJ49 * (1 - IFERROR(INDEX('Inputs &amp; Assuptions'!$B$13:$B$72, COLUMN() - ($E49 + 5)), 0))
  )
)</f>
        <v>2345.6247724741906</v>
      </c>
      <c r="BL49" s="32">
        <f t="array" ref="BL49">IF(COLUMN() - ($E49 + 5) &lt; 0, 0,
  IF(COLUMN() - ($E49 + 5) = 0, $F49,
    BK49 * (1 - IFERROR(INDEX('Inputs &amp; Assuptions'!$B$13:$B$72, COLUMN() - ($E49 + 5)), 0))
  )
)</f>
        <v>2322.1685247494488</v>
      </c>
      <c r="BM49" s="66">
        <f t="array" ref="BM49">IF(COLUMN() - ($E49 + 5) &lt; 0, 0,
  IF(COLUMN() - ($E49 + 5) = 0, $F49,
    BL49 * (1 - IFERROR(INDEX('Inputs &amp; Assuptions'!$B$13:$B$72, COLUMN() - ($E49 + 5)), 0))
  )
)</f>
        <v>2298.9468395019544</v>
      </c>
      <c r="BN49" s="33"/>
    </row>
    <row r="50" spans="1:66" x14ac:dyDescent="0.3">
      <c r="A50" s="71">
        <f t="shared" si="5"/>
        <v>45</v>
      </c>
      <c r="B50" s="75">
        <f t="shared" si="4"/>
        <v>6945.75</v>
      </c>
      <c r="C50" s="81">
        <f>$B50*(1-'Inputs &amp; Assuptions'!$B$12)</f>
        <v>4028.5350000000003</v>
      </c>
      <c r="E50" s="71">
        <f t="shared" si="6"/>
        <v>45</v>
      </c>
      <c r="F50" s="65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>
        <f>+$C50</f>
        <v>4028.5350000000003</v>
      </c>
      <c r="AY50" s="32">
        <f t="array" ref="AY50">IF(COLUMN() - ($E50 + 5) &lt; 0, 0,
  IF(COLUMN() - ($E50 + 5) = 0, $F50,
    AX50 * (1 - IFERROR(INDEX('Inputs &amp; Assuptions'!$B$13:$B$72, COLUMN() - ($E50 + 5)), 0))
  )
)</f>
        <v>3605.5388250000005</v>
      </c>
      <c r="AZ50" s="32">
        <f t="array" ref="AZ50">IF(COLUMN() - ($E50 + 5) &lt; 0, 0,
  IF(COLUMN() - ($E50 + 5) = 0, $F50,
    AY50 * (1 - IFERROR(INDEX('Inputs &amp; Assuptions'!$B$13:$B$72, COLUMN() - ($E50 + 5)), 0))
  )
)</f>
        <v>3317.0957190000008</v>
      </c>
      <c r="BA50" s="32">
        <f t="array" ref="BA50">IF(COLUMN() - ($E50 + 5) &lt; 0, 0,
  IF(COLUMN() - ($E50 + 5) = 0, $F50,
    AZ50 * (1 - IFERROR(INDEX('Inputs &amp; Assuptions'!$B$13:$B$72, COLUMN() - ($E50 + 5)), 0))
  )
)</f>
        <v>3134.6554544550008</v>
      </c>
      <c r="BB50" s="32">
        <f t="array" ref="BB50">IF(COLUMN() - ($E50 + 5) &lt; 0, 0,
  IF(COLUMN() - ($E50 + 5) = 0, $F50,
    BA50 * (1 - IFERROR(INDEX('Inputs &amp; Assuptions'!$B$13:$B$72, COLUMN() - ($E50 + 5)), 0))
  )
)</f>
        <v>2977.9226817322506</v>
      </c>
      <c r="BC50" s="32">
        <f t="array" ref="BC50">IF(COLUMN() - ($E50 + 5) &lt; 0, 0,
  IF(COLUMN() - ($E50 + 5) = 0, $F50,
    BB50 * (1 - IFERROR(INDEX('Inputs &amp; Assuptions'!$B$13:$B$72, COLUMN() - ($E50 + 5)), 0))
  )
)</f>
        <v>2843.9161610542992</v>
      </c>
      <c r="BD50" s="32">
        <f t="array" ref="BD50">IF(COLUMN() - ($E50 + 5) &lt; 0, 0,
  IF(COLUMN() - ($E50 + 5) = 0, $F50,
    BC50 * (1 - IFERROR(INDEX('Inputs &amp; Assuptions'!$B$13:$B$72, COLUMN() - ($E50 + 5)), 0))
  )
)</f>
        <v>2730.1595146121272</v>
      </c>
      <c r="BE50" s="32">
        <f t="array" ref="BE50">IF(COLUMN() - ($E50 + 5) &lt; 0, 0,
  IF(COLUMN() - ($E50 + 5) = 0, $F50,
    BD50 * (1 - IFERROR(INDEX('Inputs &amp; Assuptions'!$B$13:$B$72, COLUMN() - ($E50 + 5)), 0))
  )
)</f>
        <v>2634.6039316007027</v>
      </c>
      <c r="BF50" s="32">
        <f t="array" ref="BF50">IF(COLUMN() - ($E50 + 5) &lt; 0, 0,
  IF(COLUMN() - ($E50 + 5) = 0, $F50,
    BE50 * (1 - IFERROR(INDEX('Inputs &amp; Assuptions'!$B$13:$B$72, COLUMN() - ($E50 + 5)), 0))
  )
)</f>
        <v>2555.5658136526818</v>
      </c>
      <c r="BG50" s="32">
        <f t="array" ref="BG50">IF(COLUMN() - ($E50 + 5) &lt; 0, 0,
  IF(COLUMN() - ($E50 + 5) = 0, $F50,
    BF50 * (1 - IFERROR(INDEX('Inputs &amp; Assuptions'!$B$13:$B$72, COLUMN() - ($E50 + 5)), 0))
  )
)</f>
        <v>2491.6766683113647</v>
      </c>
      <c r="BH50" s="32">
        <f t="array" ref="BH50">IF(COLUMN() - ($E50 + 5) &lt; 0, 0,
  IF(COLUMN() - ($E50 + 5) = 0, $F50,
    BG50 * (1 - IFERROR(INDEX('Inputs &amp; Assuptions'!$B$13:$B$72, COLUMN() - ($E50 + 5)), 0))
  )
)</f>
        <v>2441.8431349451375</v>
      </c>
      <c r="BI50" s="32">
        <f t="array" ref="BI50">IF(COLUMN() - ($E50 + 5) &lt; 0, 0,
  IF(COLUMN() - ($E50 + 5) = 0, $F50,
    BH50 * (1 - IFERROR(INDEX('Inputs &amp; Assuptions'!$B$13:$B$72, COLUMN() - ($E50 + 5)), 0))
  )
)</f>
        <v>2417.424703595686</v>
      </c>
      <c r="BJ50" s="32">
        <f t="array" ref="BJ50">IF(COLUMN() - ($E50 + 5) &lt; 0, 0,
  IF(COLUMN() - ($E50 + 5) = 0, $F50,
    BI50 * (1 - IFERROR(INDEX('Inputs &amp; Assuptions'!$B$13:$B$72, COLUMN() - ($E50 + 5)), 0))
  )
)</f>
        <v>2393.2504565597292</v>
      </c>
      <c r="BK50" s="32">
        <f t="array" ref="BK50">IF(COLUMN() - ($E50 + 5) &lt; 0, 0,
  IF(COLUMN() - ($E50 + 5) = 0, $F50,
    BJ50 * (1 - IFERROR(INDEX('Inputs &amp; Assuptions'!$B$13:$B$72, COLUMN() - ($E50 + 5)), 0))
  )
)</f>
        <v>2369.3179519941318</v>
      </c>
      <c r="BL50" s="32">
        <f t="array" ref="BL50">IF(COLUMN() - ($E50 + 5) &lt; 0, 0,
  IF(COLUMN() - ($E50 + 5) = 0, $F50,
    BK50 * (1 - IFERROR(INDEX('Inputs &amp; Assuptions'!$B$13:$B$72, COLUMN() - ($E50 + 5)), 0))
  )
)</f>
        <v>2345.6247724741906</v>
      </c>
      <c r="BM50" s="66">
        <f t="array" ref="BM50">IF(COLUMN() - ($E50 + 5) &lt; 0, 0,
  IF(COLUMN() - ($E50 + 5) = 0, $F50,
    BL50 * (1 - IFERROR(INDEX('Inputs &amp; Assuptions'!$B$13:$B$72, COLUMN() - ($E50 + 5)), 0))
  )
)</f>
        <v>2322.1685247494488</v>
      </c>
      <c r="BN50" s="33"/>
    </row>
    <row r="51" spans="1:66" x14ac:dyDescent="0.3">
      <c r="A51" s="71">
        <f t="shared" si="5"/>
        <v>46</v>
      </c>
      <c r="B51" s="75">
        <f t="shared" si="4"/>
        <v>6945.75</v>
      </c>
      <c r="C51" s="81">
        <f>$B51*(1-'Inputs &amp; Assuptions'!$B$12)</f>
        <v>4028.5350000000003</v>
      </c>
      <c r="E51" s="71">
        <f t="shared" si="6"/>
        <v>46</v>
      </c>
      <c r="F51" s="65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>
        <f>+$C51</f>
        <v>4028.5350000000003</v>
      </c>
      <c r="AZ51" s="32">
        <f t="array" ref="AZ51">IF(COLUMN() - ($E51 + 5) &lt; 0, 0,
  IF(COLUMN() - ($E51 + 5) = 0, $F51,
    AY51 * (1 - IFERROR(INDEX('Inputs &amp; Assuptions'!$B$13:$B$72, COLUMN() - ($E51 + 5)), 0))
  )
)</f>
        <v>3605.5388250000005</v>
      </c>
      <c r="BA51" s="32">
        <f t="array" ref="BA51">IF(COLUMN() - ($E51 + 5) &lt; 0, 0,
  IF(COLUMN() - ($E51 + 5) = 0, $F51,
    AZ51 * (1 - IFERROR(INDEX('Inputs &amp; Assuptions'!$B$13:$B$72, COLUMN() - ($E51 + 5)), 0))
  )
)</f>
        <v>3317.0957190000008</v>
      </c>
      <c r="BB51" s="32">
        <f t="array" ref="BB51">IF(COLUMN() - ($E51 + 5) &lt; 0, 0,
  IF(COLUMN() - ($E51 + 5) = 0, $F51,
    BA51 * (1 - IFERROR(INDEX('Inputs &amp; Assuptions'!$B$13:$B$72, COLUMN() - ($E51 + 5)), 0))
  )
)</f>
        <v>3134.6554544550008</v>
      </c>
      <c r="BC51" s="32">
        <f t="array" ref="BC51">IF(COLUMN() - ($E51 + 5) &lt; 0, 0,
  IF(COLUMN() - ($E51 + 5) = 0, $F51,
    BB51 * (1 - IFERROR(INDEX('Inputs &amp; Assuptions'!$B$13:$B$72, COLUMN() - ($E51 + 5)), 0))
  )
)</f>
        <v>2977.9226817322506</v>
      </c>
      <c r="BD51" s="32">
        <f t="array" ref="BD51">IF(COLUMN() - ($E51 + 5) &lt; 0, 0,
  IF(COLUMN() - ($E51 + 5) = 0, $F51,
    BC51 * (1 - IFERROR(INDEX('Inputs &amp; Assuptions'!$B$13:$B$72, COLUMN() - ($E51 + 5)), 0))
  )
)</f>
        <v>2843.9161610542992</v>
      </c>
      <c r="BE51" s="32">
        <f t="array" ref="BE51">IF(COLUMN() - ($E51 + 5) &lt; 0, 0,
  IF(COLUMN() - ($E51 + 5) = 0, $F51,
    BD51 * (1 - IFERROR(INDEX('Inputs &amp; Assuptions'!$B$13:$B$72, COLUMN() - ($E51 + 5)), 0))
  )
)</f>
        <v>2730.1595146121272</v>
      </c>
      <c r="BF51" s="32">
        <f t="array" ref="BF51">IF(COLUMN() - ($E51 + 5) &lt; 0, 0,
  IF(COLUMN() - ($E51 + 5) = 0, $F51,
    BE51 * (1 - IFERROR(INDEX('Inputs &amp; Assuptions'!$B$13:$B$72, COLUMN() - ($E51 + 5)), 0))
  )
)</f>
        <v>2634.6039316007027</v>
      </c>
      <c r="BG51" s="32">
        <f t="array" ref="BG51">IF(COLUMN() - ($E51 + 5) &lt; 0, 0,
  IF(COLUMN() - ($E51 + 5) = 0, $F51,
    BF51 * (1 - IFERROR(INDEX('Inputs &amp; Assuptions'!$B$13:$B$72, COLUMN() - ($E51 + 5)), 0))
  )
)</f>
        <v>2555.5658136526818</v>
      </c>
      <c r="BH51" s="32">
        <f t="array" ref="BH51">IF(COLUMN() - ($E51 + 5) &lt; 0, 0,
  IF(COLUMN() - ($E51 + 5) = 0, $F51,
    BG51 * (1 - IFERROR(INDEX('Inputs &amp; Assuptions'!$B$13:$B$72, COLUMN() - ($E51 + 5)), 0))
  )
)</f>
        <v>2491.6766683113647</v>
      </c>
      <c r="BI51" s="32">
        <f t="array" ref="BI51">IF(COLUMN() - ($E51 + 5) &lt; 0, 0,
  IF(COLUMN() - ($E51 + 5) = 0, $F51,
    BH51 * (1 - IFERROR(INDEX('Inputs &amp; Assuptions'!$B$13:$B$72, COLUMN() - ($E51 + 5)), 0))
  )
)</f>
        <v>2441.8431349451375</v>
      </c>
      <c r="BJ51" s="32">
        <f t="array" ref="BJ51">IF(COLUMN() - ($E51 + 5) &lt; 0, 0,
  IF(COLUMN() - ($E51 + 5) = 0, $F51,
    BI51 * (1 - IFERROR(INDEX('Inputs &amp; Assuptions'!$B$13:$B$72, COLUMN() - ($E51 + 5)), 0))
  )
)</f>
        <v>2417.424703595686</v>
      </c>
      <c r="BK51" s="32">
        <f t="array" ref="BK51">IF(COLUMN() - ($E51 + 5) &lt; 0, 0,
  IF(COLUMN() - ($E51 + 5) = 0, $F51,
    BJ51 * (1 - IFERROR(INDEX('Inputs &amp; Assuptions'!$B$13:$B$72, COLUMN() - ($E51 + 5)), 0))
  )
)</f>
        <v>2393.2504565597292</v>
      </c>
      <c r="BL51" s="32">
        <f t="array" ref="BL51">IF(COLUMN() - ($E51 + 5) &lt; 0, 0,
  IF(COLUMN() - ($E51 + 5) = 0, $F51,
    BK51 * (1 - IFERROR(INDEX('Inputs &amp; Assuptions'!$B$13:$B$72, COLUMN() - ($E51 + 5)), 0))
  )
)</f>
        <v>2369.3179519941318</v>
      </c>
      <c r="BM51" s="66">
        <f t="array" ref="BM51">IF(COLUMN() - ($E51 + 5) &lt; 0, 0,
  IF(COLUMN() - ($E51 + 5) = 0, $F51,
    BL51 * (1 - IFERROR(INDEX('Inputs &amp; Assuptions'!$B$13:$B$72, COLUMN() - ($E51 + 5)), 0))
  )
)</f>
        <v>2345.6247724741906</v>
      </c>
      <c r="BN51" s="33"/>
    </row>
    <row r="52" spans="1:66" x14ac:dyDescent="0.3">
      <c r="A52" s="71">
        <f t="shared" si="5"/>
        <v>47</v>
      </c>
      <c r="B52" s="75">
        <f t="shared" si="4"/>
        <v>6945.75</v>
      </c>
      <c r="C52" s="81">
        <f>$B52*(1-'Inputs &amp; Assuptions'!$B$12)</f>
        <v>4028.5350000000003</v>
      </c>
      <c r="E52" s="71">
        <f t="shared" si="6"/>
        <v>47</v>
      </c>
      <c r="F52" s="65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>
        <f>+$C52</f>
        <v>4028.5350000000003</v>
      </c>
      <c r="BA52" s="32">
        <f t="array" ref="BA52">IF(COLUMN() - ($E52 + 5) &lt; 0, 0,
  IF(COLUMN() - ($E52 + 5) = 0, $F52,
    AZ52 * (1 - IFERROR(INDEX('Inputs &amp; Assuptions'!$B$13:$B$72, COLUMN() - ($E52 + 5)), 0))
  )
)</f>
        <v>3605.5388250000005</v>
      </c>
      <c r="BB52" s="32">
        <f t="array" ref="BB52">IF(COLUMN() - ($E52 + 5) &lt; 0, 0,
  IF(COLUMN() - ($E52 + 5) = 0, $F52,
    BA52 * (1 - IFERROR(INDEX('Inputs &amp; Assuptions'!$B$13:$B$72, COLUMN() - ($E52 + 5)), 0))
  )
)</f>
        <v>3317.0957190000008</v>
      </c>
      <c r="BC52" s="32">
        <f t="array" ref="BC52">IF(COLUMN() - ($E52 + 5) &lt; 0, 0,
  IF(COLUMN() - ($E52 + 5) = 0, $F52,
    BB52 * (1 - IFERROR(INDEX('Inputs &amp; Assuptions'!$B$13:$B$72, COLUMN() - ($E52 + 5)), 0))
  )
)</f>
        <v>3134.6554544550008</v>
      </c>
      <c r="BD52" s="32">
        <f t="array" ref="BD52">IF(COLUMN() - ($E52 + 5) &lt; 0, 0,
  IF(COLUMN() - ($E52 + 5) = 0, $F52,
    BC52 * (1 - IFERROR(INDEX('Inputs &amp; Assuptions'!$B$13:$B$72, COLUMN() - ($E52 + 5)), 0))
  )
)</f>
        <v>2977.9226817322506</v>
      </c>
      <c r="BE52" s="32">
        <f t="array" ref="BE52">IF(COLUMN() - ($E52 + 5) &lt; 0, 0,
  IF(COLUMN() - ($E52 + 5) = 0, $F52,
    BD52 * (1 - IFERROR(INDEX('Inputs &amp; Assuptions'!$B$13:$B$72, COLUMN() - ($E52 + 5)), 0))
  )
)</f>
        <v>2843.9161610542992</v>
      </c>
      <c r="BF52" s="32">
        <f t="array" ref="BF52">IF(COLUMN() - ($E52 + 5) &lt; 0, 0,
  IF(COLUMN() - ($E52 + 5) = 0, $F52,
    BE52 * (1 - IFERROR(INDEX('Inputs &amp; Assuptions'!$B$13:$B$72, COLUMN() - ($E52 + 5)), 0))
  )
)</f>
        <v>2730.1595146121272</v>
      </c>
      <c r="BG52" s="32">
        <f t="array" ref="BG52">IF(COLUMN() - ($E52 + 5) &lt; 0, 0,
  IF(COLUMN() - ($E52 + 5) = 0, $F52,
    BF52 * (1 - IFERROR(INDEX('Inputs &amp; Assuptions'!$B$13:$B$72, COLUMN() - ($E52 + 5)), 0))
  )
)</f>
        <v>2634.6039316007027</v>
      </c>
      <c r="BH52" s="32">
        <f t="array" ref="BH52">IF(COLUMN() - ($E52 + 5) &lt; 0, 0,
  IF(COLUMN() - ($E52 + 5) = 0, $F52,
    BG52 * (1 - IFERROR(INDEX('Inputs &amp; Assuptions'!$B$13:$B$72, COLUMN() - ($E52 + 5)), 0))
  )
)</f>
        <v>2555.5658136526818</v>
      </c>
      <c r="BI52" s="32">
        <f t="array" ref="BI52">IF(COLUMN() - ($E52 + 5) &lt; 0, 0,
  IF(COLUMN() - ($E52 + 5) = 0, $F52,
    BH52 * (1 - IFERROR(INDEX('Inputs &amp; Assuptions'!$B$13:$B$72, COLUMN() - ($E52 + 5)), 0))
  )
)</f>
        <v>2491.6766683113647</v>
      </c>
      <c r="BJ52" s="32">
        <f t="array" ref="BJ52">IF(COLUMN() - ($E52 + 5) &lt; 0, 0,
  IF(COLUMN() - ($E52 + 5) = 0, $F52,
    BI52 * (1 - IFERROR(INDEX('Inputs &amp; Assuptions'!$B$13:$B$72, COLUMN() - ($E52 + 5)), 0))
  )
)</f>
        <v>2441.8431349451375</v>
      </c>
      <c r="BK52" s="32">
        <f t="array" ref="BK52">IF(COLUMN() - ($E52 + 5) &lt; 0, 0,
  IF(COLUMN() - ($E52 + 5) = 0, $F52,
    BJ52 * (1 - IFERROR(INDEX('Inputs &amp; Assuptions'!$B$13:$B$72, COLUMN() - ($E52 + 5)), 0))
  )
)</f>
        <v>2417.424703595686</v>
      </c>
      <c r="BL52" s="32">
        <f t="array" ref="BL52">IF(COLUMN() - ($E52 + 5) &lt; 0, 0,
  IF(COLUMN() - ($E52 + 5) = 0, $F52,
    BK52 * (1 - IFERROR(INDEX('Inputs &amp; Assuptions'!$B$13:$B$72, COLUMN() - ($E52 + 5)), 0))
  )
)</f>
        <v>2393.2504565597292</v>
      </c>
      <c r="BM52" s="66">
        <f t="array" ref="BM52">IF(COLUMN() - ($E52 + 5) &lt; 0, 0,
  IF(COLUMN() - ($E52 + 5) = 0, $F52,
    BL52 * (1 - IFERROR(INDEX('Inputs &amp; Assuptions'!$B$13:$B$72, COLUMN() - ($E52 + 5)), 0))
  )
)</f>
        <v>2369.3179519941318</v>
      </c>
      <c r="BN52" s="33"/>
    </row>
    <row r="53" spans="1:66" x14ac:dyDescent="0.3">
      <c r="A53" s="71">
        <f t="shared" si="5"/>
        <v>48</v>
      </c>
      <c r="B53" s="75">
        <f t="shared" si="4"/>
        <v>6945.75</v>
      </c>
      <c r="C53" s="81">
        <f>$B53*(1-'Inputs &amp; Assuptions'!$B$12)</f>
        <v>4028.5350000000003</v>
      </c>
      <c r="E53" s="71">
        <f t="shared" si="6"/>
        <v>48</v>
      </c>
      <c r="F53" s="6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>
        <f>+$C53</f>
        <v>4028.5350000000003</v>
      </c>
      <c r="BB53" s="32">
        <f t="array" ref="BB53">IF(COLUMN() - ($E53 + 5) &lt; 0, 0,
  IF(COLUMN() - ($E53 + 5) = 0, $F53,
    BA53 * (1 - IFERROR(INDEX('Inputs &amp; Assuptions'!$B$13:$B$72, COLUMN() - ($E53 + 5)), 0))
  )
)</f>
        <v>3605.5388250000005</v>
      </c>
      <c r="BC53" s="32">
        <f t="array" ref="BC53">IF(COLUMN() - ($E53 + 5) &lt; 0, 0,
  IF(COLUMN() - ($E53 + 5) = 0, $F53,
    BB53 * (1 - IFERROR(INDEX('Inputs &amp; Assuptions'!$B$13:$B$72, COLUMN() - ($E53 + 5)), 0))
  )
)</f>
        <v>3317.0957190000008</v>
      </c>
      <c r="BD53" s="32">
        <f t="array" ref="BD53">IF(COLUMN() - ($E53 + 5) &lt; 0, 0,
  IF(COLUMN() - ($E53 + 5) = 0, $F53,
    BC53 * (1 - IFERROR(INDEX('Inputs &amp; Assuptions'!$B$13:$B$72, COLUMN() - ($E53 + 5)), 0))
  )
)</f>
        <v>3134.6554544550008</v>
      </c>
      <c r="BE53" s="32">
        <f t="array" ref="BE53">IF(COLUMN() - ($E53 + 5) &lt; 0, 0,
  IF(COLUMN() - ($E53 + 5) = 0, $F53,
    BD53 * (1 - IFERROR(INDEX('Inputs &amp; Assuptions'!$B$13:$B$72, COLUMN() - ($E53 + 5)), 0))
  )
)</f>
        <v>2977.9226817322506</v>
      </c>
      <c r="BF53" s="32">
        <f t="array" ref="BF53">IF(COLUMN() - ($E53 + 5) &lt; 0, 0,
  IF(COLUMN() - ($E53 + 5) = 0, $F53,
    BE53 * (1 - IFERROR(INDEX('Inputs &amp; Assuptions'!$B$13:$B$72, COLUMN() - ($E53 + 5)), 0))
  )
)</f>
        <v>2843.9161610542992</v>
      </c>
      <c r="BG53" s="32">
        <f t="array" ref="BG53">IF(COLUMN() - ($E53 + 5) &lt; 0, 0,
  IF(COLUMN() - ($E53 + 5) = 0, $F53,
    BF53 * (1 - IFERROR(INDEX('Inputs &amp; Assuptions'!$B$13:$B$72, COLUMN() - ($E53 + 5)), 0))
  )
)</f>
        <v>2730.1595146121272</v>
      </c>
      <c r="BH53" s="32">
        <f t="array" ref="BH53">IF(COLUMN() - ($E53 + 5) &lt; 0, 0,
  IF(COLUMN() - ($E53 + 5) = 0, $F53,
    BG53 * (1 - IFERROR(INDEX('Inputs &amp; Assuptions'!$B$13:$B$72, COLUMN() - ($E53 + 5)), 0))
  )
)</f>
        <v>2634.6039316007027</v>
      </c>
      <c r="BI53" s="32">
        <f t="array" ref="BI53">IF(COLUMN() - ($E53 + 5) &lt; 0, 0,
  IF(COLUMN() - ($E53 + 5) = 0, $F53,
    BH53 * (1 - IFERROR(INDEX('Inputs &amp; Assuptions'!$B$13:$B$72, COLUMN() - ($E53 + 5)), 0))
  )
)</f>
        <v>2555.5658136526818</v>
      </c>
      <c r="BJ53" s="32">
        <f t="array" ref="BJ53">IF(COLUMN() - ($E53 + 5) &lt; 0, 0,
  IF(COLUMN() - ($E53 + 5) = 0, $F53,
    BI53 * (1 - IFERROR(INDEX('Inputs &amp; Assuptions'!$B$13:$B$72, COLUMN() - ($E53 + 5)), 0))
  )
)</f>
        <v>2491.6766683113647</v>
      </c>
      <c r="BK53" s="32">
        <f t="array" ref="BK53">IF(COLUMN() - ($E53 + 5) &lt; 0, 0,
  IF(COLUMN() - ($E53 + 5) = 0, $F53,
    BJ53 * (1 - IFERROR(INDEX('Inputs &amp; Assuptions'!$B$13:$B$72, COLUMN() - ($E53 + 5)), 0))
  )
)</f>
        <v>2441.8431349451375</v>
      </c>
      <c r="BL53" s="32">
        <f t="array" ref="BL53">IF(COLUMN() - ($E53 + 5) &lt; 0, 0,
  IF(COLUMN() - ($E53 + 5) = 0, $F53,
    BK53 * (1 - IFERROR(INDEX('Inputs &amp; Assuptions'!$B$13:$B$72, COLUMN() - ($E53 + 5)), 0))
  )
)</f>
        <v>2417.424703595686</v>
      </c>
      <c r="BM53" s="66">
        <f t="array" ref="BM53">IF(COLUMN() - ($E53 + 5) &lt; 0, 0,
  IF(COLUMN() - ($E53 + 5) = 0, $F53,
    BL53 * (1 - IFERROR(INDEX('Inputs &amp; Assuptions'!$B$13:$B$72, COLUMN() - ($E53 + 5)), 0))
  )
)</f>
        <v>2393.2504565597292</v>
      </c>
      <c r="BN53" s="33"/>
    </row>
    <row r="54" spans="1:66" x14ac:dyDescent="0.3">
      <c r="A54" s="71">
        <f t="shared" si="5"/>
        <v>49</v>
      </c>
      <c r="B54" s="75">
        <f t="shared" si="4"/>
        <v>7293.0375000000004</v>
      </c>
      <c r="C54" s="81">
        <f>$B54*(1-'Inputs &amp; Assuptions'!$B$12)</f>
        <v>4229.9617500000004</v>
      </c>
      <c r="E54" s="71">
        <f t="shared" si="6"/>
        <v>49</v>
      </c>
      <c r="F54" s="65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>
        <f>+$C54</f>
        <v>4229.9617500000004</v>
      </c>
      <c r="BC54" s="32">
        <f t="array" ref="BC54">IF(COLUMN() - ($E54 + 5) &lt; 0, 0,
  IF(COLUMN() - ($E54 + 5) = 0, $F54,
    BB54 * (1 - IFERROR(INDEX('Inputs &amp; Assuptions'!$B$13:$B$72, COLUMN() - ($E54 + 5)), 0))
  )
)</f>
        <v>3785.8157662500003</v>
      </c>
      <c r="BD54" s="32">
        <f t="array" ref="BD54">IF(COLUMN() - ($E54 + 5) &lt; 0, 0,
  IF(COLUMN() - ($E54 + 5) = 0, $F54,
    BC54 * (1 - IFERROR(INDEX('Inputs &amp; Assuptions'!$B$13:$B$72, COLUMN() - ($E54 + 5)), 0))
  )
)</f>
        <v>3482.9505049500003</v>
      </c>
      <c r="BE54" s="32">
        <f t="array" ref="BE54">IF(COLUMN() - ($E54 + 5) &lt; 0, 0,
  IF(COLUMN() - ($E54 + 5) = 0, $F54,
    BD54 * (1 - IFERROR(INDEX('Inputs &amp; Assuptions'!$B$13:$B$72, COLUMN() - ($E54 + 5)), 0))
  )
)</f>
        <v>3291.3882271777502</v>
      </c>
      <c r="BF54" s="32">
        <f t="array" ref="BF54">IF(COLUMN() - ($E54 + 5) &lt; 0, 0,
  IF(COLUMN() - ($E54 + 5) = 0, $F54,
    BE54 * (1 - IFERROR(INDEX('Inputs &amp; Assuptions'!$B$13:$B$72, COLUMN() - ($E54 + 5)), 0))
  )
)</f>
        <v>3126.8188158188627</v>
      </c>
      <c r="BG54" s="32">
        <f t="array" ref="BG54">IF(COLUMN() - ($E54 + 5) &lt; 0, 0,
  IF(COLUMN() - ($E54 + 5) = 0, $F54,
    BF54 * (1 - IFERROR(INDEX('Inputs &amp; Assuptions'!$B$13:$B$72, COLUMN() - ($E54 + 5)), 0))
  )
)</f>
        <v>2986.1119691070139</v>
      </c>
      <c r="BH54" s="32">
        <f t="array" ref="BH54">IF(COLUMN() - ($E54 + 5) &lt; 0, 0,
  IF(COLUMN() - ($E54 + 5) = 0, $F54,
    BG54 * (1 - IFERROR(INDEX('Inputs &amp; Assuptions'!$B$13:$B$72, COLUMN() - ($E54 + 5)), 0))
  )
)</f>
        <v>2866.6674903427333</v>
      </c>
      <c r="BI54" s="32">
        <f t="array" ref="BI54">IF(COLUMN() - ($E54 + 5) &lt; 0, 0,
  IF(COLUMN() - ($E54 + 5) = 0, $F54,
    BH54 * (1 - IFERROR(INDEX('Inputs &amp; Assuptions'!$B$13:$B$72, COLUMN() - ($E54 + 5)), 0))
  )
)</f>
        <v>2766.3341281807375</v>
      </c>
      <c r="BJ54" s="32">
        <f t="array" ref="BJ54">IF(COLUMN() - ($E54 + 5) &lt; 0, 0,
  IF(COLUMN() - ($E54 + 5) = 0, $F54,
    BI54 * (1 - IFERROR(INDEX('Inputs &amp; Assuptions'!$B$13:$B$72, COLUMN() - ($E54 + 5)), 0))
  )
)</f>
        <v>2683.3441043353155</v>
      </c>
      <c r="BK54" s="32">
        <f t="array" ref="BK54">IF(COLUMN() - ($E54 + 5) &lt; 0, 0,
  IF(COLUMN() - ($E54 + 5) = 0, $F54,
    BJ54 * (1 - IFERROR(INDEX('Inputs &amp; Assuptions'!$B$13:$B$72, COLUMN() - ($E54 + 5)), 0))
  )
)</f>
        <v>2616.2605017269325</v>
      </c>
      <c r="BL54" s="32">
        <f t="array" ref="BL54">IF(COLUMN() - ($E54 + 5) &lt; 0, 0,
  IF(COLUMN() - ($E54 + 5) = 0, $F54,
    BK54 * (1 - IFERROR(INDEX('Inputs &amp; Assuptions'!$B$13:$B$72, COLUMN() - ($E54 + 5)), 0))
  )
)</f>
        <v>2563.935291692394</v>
      </c>
      <c r="BM54" s="66">
        <f t="array" ref="BM54">IF(COLUMN() - ($E54 + 5) &lt; 0, 0,
  IF(COLUMN() - ($E54 + 5) = 0, $F54,
    BL54 * (1 - IFERROR(INDEX('Inputs &amp; Assuptions'!$B$13:$B$72, COLUMN() - ($E54 + 5)), 0))
  )
)</f>
        <v>2538.2959387754699</v>
      </c>
      <c r="BN54" s="33"/>
    </row>
    <row r="55" spans="1:66" x14ac:dyDescent="0.3">
      <c r="A55" s="71">
        <f t="shared" si="5"/>
        <v>50</v>
      </c>
      <c r="B55" s="75">
        <f t="shared" si="4"/>
        <v>7293.0375000000004</v>
      </c>
      <c r="C55" s="81">
        <f>$B55*(1-'Inputs &amp; Assuptions'!$B$12)</f>
        <v>4229.9617500000004</v>
      </c>
      <c r="E55" s="71">
        <f t="shared" si="6"/>
        <v>50</v>
      </c>
      <c r="F55" s="65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>
        <f>+$C55</f>
        <v>4229.9617500000004</v>
      </c>
      <c r="BD55" s="32">
        <f t="array" ref="BD55">IF(COLUMN() - ($E55 + 5) &lt; 0, 0,
  IF(COLUMN() - ($E55 + 5) = 0, $F55,
    BC55 * (1 - IFERROR(INDEX('Inputs &amp; Assuptions'!$B$13:$B$72, COLUMN() - ($E55 + 5)), 0))
  )
)</f>
        <v>3785.8157662500003</v>
      </c>
      <c r="BE55" s="32">
        <f t="array" ref="BE55">IF(COLUMN() - ($E55 + 5) &lt; 0, 0,
  IF(COLUMN() - ($E55 + 5) = 0, $F55,
    BD55 * (1 - IFERROR(INDEX('Inputs &amp; Assuptions'!$B$13:$B$72, COLUMN() - ($E55 + 5)), 0))
  )
)</f>
        <v>3482.9505049500003</v>
      </c>
      <c r="BF55" s="32">
        <f t="array" ref="BF55">IF(COLUMN() - ($E55 + 5) &lt; 0, 0,
  IF(COLUMN() - ($E55 + 5) = 0, $F55,
    BE55 * (1 - IFERROR(INDEX('Inputs &amp; Assuptions'!$B$13:$B$72, COLUMN() - ($E55 + 5)), 0))
  )
)</f>
        <v>3291.3882271777502</v>
      </c>
      <c r="BG55" s="32">
        <f t="array" ref="BG55">IF(COLUMN() - ($E55 + 5) &lt; 0, 0,
  IF(COLUMN() - ($E55 + 5) = 0, $F55,
    BF55 * (1 - IFERROR(INDEX('Inputs &amp; Assuptions'!$B$13:$B$72, COLUMN() - ($E55 + 5)), 0))
  )
)</f>
        <v>3126.8188158188627</v>
      </c>
      <c r="BH55" s="32">
        <f t="array" ref="BH55">IF(COLUMN() - ($E55 + 5) &lt; 0, 0,
  IF(COLUMN() - ($E55 + 5) = 0, $F55,
    BG55 * (1 - IFERROR(INDEX('Inputs &amp; Assuptions'!$B$13:$B$72, COLUMN() - ($E55 + 5)), 0))
  )
)</f>
        <v>2986.1119691070139</v>
      </c>
      <c r="BI55" s="32">
        <f t="array" ref="BI55">IF(COLUMN() - ($E55 + 5) &lt; 0, 0,
  IF(COLUMN() - ($E55 + 5) = 0, $F55,
    BH55 * (1 - IFERROR(INDEX('Inputs &amp; Assuptions'!$B$13:$B$72, COLUMN() - ($E55 + 5)), 0))
  )
)</f>
        <v>2866.6674903427333</v>
      </c>
      <c r="BJ55" s="32">
        <f t="array" ref="BJ55">IF(COLUMN() - ($E55 + 5) &lt; 0, 0,
  IF(COLUMN() - ($E55 + 5) = 0, $F55,
    BI55 * (1 - IFERROR(INDEX('Inputs &amp; Assuptions'!$B$13:$B$72, COLUMN() - ($E55 + 5)), 0))
  )
)</f>
        <v>2766.3341281807375</v>
      </c>
      <c r="BK55" s="32">
        <f t="array" ref="BK55">IF(COLUMN() - ($E55 + 5) &lt; 0, 0,
  IF(COLUMN() - ($E55 + 5) = 0, $F55,
    BJ55 * (1 - IFERROR(INDEX('Inputs &amp; Assuptions'!$B$13:$B$72, COLUMN() - ($E55 + 5)), 0))
  )
)</f>
        <v>2683.3441043353155</v>
      </c>
      <c r="BL55" s="32">
        <f t="array" ref="BL55">IF(COLUMN() - ($E55 + 5) &lt; 0, 0,
  IF(COLUMN() - ($E55 + 5) = 0, $F55,
    BK55 * (1 - IFERROR(INDEX('Inputs &amp; Assuptions'!$B$13:$B$72, COLUMN() - ($E55 + 5)), 0))
  )
)</f>
        <v>2616.2605017269325</v>
      </c>
      <c r="BM55" s="66">
        <f t="array" ref="BM55">IF(COLUMN() - ($E55 + 5) &lt; 0, 0,
  IF(COLUMN() - ($E55 + 5) = 0, $F55,
    BL55 * (1 - IFERROR(INDEX('Inputs &amp; Assuptions'!$B$13:$B$72, COLUMN() - ($E55 + 5)), 0))
  )
)</f>
        <v>2563.935291692394</v>
      </c>
      <c r="BN55" s="33"/>
    </row>
    <row r="56" spans="1:66" x14ac:dyDescent="0.3">
      <c r="A56" s="71">
        <f t="shared" si="5"/>
        <v>51</v>
      </c>
      <c r="B56" s="75">
        <f t="shared" si="4"/>
        <v>7293.0375000000004</v>
      </c>
      <c r="C56" s="81">
        <f>$B56*(1-'Inputs &amp; Assuptions'!$B$12)</f>
        <v>4229.9617500000004</v>
      </c>
      <c r="E56" s="71">
        <f t="shared" si="6"/>
        <v>51</v>
      </c>
      <c r="F56" s="65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>
        <f>+$C56</f>
        <v>4229.9617500000004</v>
      </c>
      <c r="BE56" s="32">
        <f t="array" ref="BE56">IF(COLUMN() - ($E56 + 5) &lt; 0, 0,
  IF(COLUMN() - ($E56 + 5) = 0, $F56,
    BD56 * (1 - IFERROR(INDEX('Inputs &amp; Assuptions'!$B$13:$B$72, COLUMN() - ($E56 + 5)), 0))
  )
)</f>
        <v>3785.8157662500003</v>
      </c>
      <c r="BF56" s="32">
        <f t="array" ref="BF56">IF(COLUMN() - ($E56 + 5) &lt; 0, 0,
  IF(COLUMN() - ($E56 + 5) = 0, $F56,
    BE56 * (1 - IFERROR(INDEX('Inputs &amp; Assuptions'!$B$13:$B$72, COLUMN() - ($E56 + 5)), 0))
  )
)</f>
        <v>3482.9505049500003</v>
      </c>
      <c r="BG56" s="32">
        <f t="array" ref="BG56">IF(COLUMN() - ($E56 + 5) &lt; 0, 0,
  IF(COLUMN() - ($E56 + 5) = 0, $F56,
    BF56 * (1 - IFERROR(INDEX('Inputs &amp; Assuptions'!$B$13:$B$72, COLUMN() - ($E56 + 5)), 0))
  )
)</f>
        <v>3291.3882271777502</v>
      </c>
      <c r="BH56" s="32">
        <f t="array" ref="BH56">IF(COLUMN() - ($E56 + 5) &lt; 0, 0,
  IF(COLUMN() - ($E56 + 5) = 0, $F56,
    BG56 * (1 - IFERROR(INDEX('Inputs &amp; Assuptions'!$B$13:$B$72, COLUMN() - ($E56 + 5)), 0))
  )
)</f>
        <v>3126.8188158188627</v>
      </c>
      <c r="BI56" s="32">
        <f t="array" ref="BI56">IF(COLUMN() - ($E56 + 5) &lt; 0, 0,
  IF(COLUMN() - ($E56 + 5) = 0, $F56,
    BH56 * (1 - IFERROR(INDEX('Inputs &amp; Assuptions'!$B$13:$B$72, COLUMN() - ($E56 + 5)), 0))
  )
)</f>
        <v>2986.1119691070139</v>
      </c>
      <c r="BJ56" s="32">
        <f t="array" ref="BJ56">IF(COLUMN() - ($E56 + 5) &lt; 0, 0,
  IF(COLUMN() - ($E56 + 5) = 0, $F56,
    BI56 * (1 - IFERROR(INDEX('Inputs &amp; Assuptions'!$B$13:$B$72, COLUMN() - ($E56 + 5)), 0))
  )
)</f>
        <v>2866.6674903427333</v>
      </c>
      <c r="BK56" s="32">
        <f t="array" ref="BK56">IF(COLUMN() - ($E56 + 5) &lt; 0, 0,
  IF(COLUMN() - ($E56 + 5) = 0, $F56,
    BJ56 * (1 - IFERROR(INDEX('Inputs &amp; Assuptions'!$B$13:$B$72, COLUMN() - ($E56 + 5)), 0))
  )
)</f>
        <v>2766.3341281807375</v>
      </c>
      <c r="BL56" s="32">
        <f t="array" ref="BL56">IF(COLUMN() - ($E56 + 5) &lt; 0, 0,
  IF(COLUMN() - ($E56 + 5) = 0, $F56,
    BK56 * (1 - IFERROR(INDEX('Inputs &amp; Assuptions'!$B$13:$B$72, COLUMN() - ($E56 + 5)), 0))
  )
)</f>
        <v>2683.3441043353155</v>
      </c>
      <c r="BM56" s="66">
        <f t="array" ref="BM56">IF(COLUMN() - ($E56 + 5) &lt; 0, 0,
  IF(COLUMN() - ($E56 + 5) = 0, $F56,
    BL56 * (1 - IFERROR(INDEX('Inputs &amp; Assuptions'!$B$13:$B$72, COLUMN() - ($E56 + 5)), 0))
  )
)</f>
        <v>2616.2605017269325</v>
      </c>
      <c r="BN56" s="33"/>
    </row>
    <row r="57" spans="1:66" x14ac:dyDescent="0.3">
      <c r="A57" s="71">
        <f t="shared" si="5"/>
        <v>52</v>
      </c>
      <c r="B57" s="75">
        <f t="shared" si="4"/>
        <v>7293.0375000000004</v>
      </c>
      <c r="C57" s="81">
        <f>$B57*(1-'Inputs &amp; Assuptions'!$B$12)</f>
        <v>4229.9617500000004</v>
      </c>
      <c r="E57" s="71">
        <f t="shared" si="6"/>
        <v>52</v>
      </c>
      <c r="F57" s="6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>
        <f>+$C57</f>
        <v>4229.9617500000004</v>
      </c>
      <c r="BF57" s="32">
        <f t="array" ref="BF57">IF(COLUMN() - ($E57 + 5) &lt; 0, 0,
  IF(COLUMN() - ($E57 + 5) = 0, $F57,
    BE57 * (1 - IFERROR(INDEX('Inputs &amp; Assuptions'!$B$13:$B$72, COLUMN() - ($E57 + 5)), 0))
  )
)</f>
        <v>3785.8157662500003</v>
      </c>
      <c r="BG57" s="32">
        <f t="array" ref="BG57">IF(COLUMN() - ($E57 + 5) &lt; 0, 0,
  IF(COLUMN() - ($E57 + 5) = 0, $F57,
    BF57 * (1 - IFERROR(INDEX('Inputs &amp; Assuptions'!$B$13:$B$72, COLUMN() - ($E57 + 5)), 0))
  )
)</f>
        <v>3482.9505049500003</v>
      </c>
      <c r="BH57" s="32">
        <f t="array" ref="BH57">IF(COLUMN() - ($E57 + 5) &lt; 0, 0,
  IF(COLUMN() - ($E57 + 5) = 0, $F57,
    BG57 * (1 - IFERROR(INDEX('Inputs &amp; Assuptions'!$B$13:$B$72, COLUMN() - ($E57 + 5)), 0))
  )
)</f>
        <v>3291.3882271777502</v>
      </c>
      <c r="BI57" s="32">
        <f t="array" ref="BI57">IF(COLUMN() - ($E57 + 5) &lt; 0, 0,
  IF(COLUMN() - ($E57 + 5) = 0, $F57,
    BH57 * (1 - IFERROR(INDEX('Inputs &amp; Assuptions'!$B$13:$B$72, COLUMN() - ($E57 + 5)), 0))
  )
)</f>
        <v>3126.8188158188627</v>
      </c>
      <c r="BJ57" s="32">
        <f t="array" ref="BJ57">IF(COLUMN() - ($E57 + 5) &lt; 0, 0,
  IF(COLUMN() - ($E57 + 5) = 0, $F57,
    BI57 * (1 - IFERROR(INDEX('Inputs &amp; Assuptions'!$B$13:$B$72, COLUMN() - ($E57 + 5)), 0))
  )
)</f>
        <v>2986.1119691070139</v>
      </c>
      <c r="BK57" s="32">
        <f t="array" ref="BK57">IF(COLUMN() - ($E57 + 5) &lt; 0, 0,
  IF(COLUMN() - ($E57 + 5) = 0, $F57,
    BJ57 * (1 - IFERROR(INDEX('Inputs &amp; Assuptions'!$B$13:$B$72, COLUMN() - ($E57 + 5)), 0))
  )
)</f>
        <v>2866.6674903427333</v>
      </c>
      <c r="BL57" s="32">
        <f t="array" ref="BL57">IF(COLUMN() - ($E57 + 5) &lt; 0, 0,
  IF(COLUMN() - ($E57 + 5) = 0, $F57,
    BK57 * (1 - IFERROR(INDEX('Inputs &amp; Assuptions'!$B$13:$B$72, COLUMN() - ($E57 + 5)), 0))
  )
)</f>
        <v>2766.3341281807375</v>
      </c>
      <c r="BM57" s="66">
        <f t="array" ref="BM57">IF(COLUMN() - ($E57 + 5) &lt; 0, 0,
  IF(COLUMN() - ($E57 + 5) = 0, $F57,
    BL57 * (1 - IFERROR(INDEX('Inputs &amp; Assuptions'!$B$13:$B$72, COLUMN() - ($E57 + 5)), 0))
  )
)</f>
        <v>2683.3441043353155</v>
      </c>
      <c r="BN57" s="33"/>
    </row>
    <row r="58" spans="1:66" x14ac:dyDescent="0.3">
      <c r="A58" s="71">
        <f t="shared" si="5"/>
        <v>53</v>
      </c>
      <c r="B58" s="75">
        <f t="shared" si="4"/>
        <v>7293.0375000000004</v>
      </c>
      <c r="C58" s="81">
        <f>$B58*(1-'Inputs &amp; Assuptions'!$B$12)</f>
        <v>4229.9617500000004</v>
      </c>
      <c r="E58" s="71">
        <f t="shared" si="6"/>
        <v>53</v>
      </c>
      <c r="F58" s="65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>
        <f>+$C58</f>
        <v>4229.9617500000004</v>
      </c>
      <c r="BG58" s="32">
        <f t="array" ref="BG58">IF(COLUMN() - ($E58 + 5) &lt; 0, 0,
  IF(COLUMN() - ($E58 + 5) = 0, $F58,
    BF58 * (1 - IFERROR(INDEX('Inputs &amp; Assuptions'!$B$13:$B$72, COLUMN() - ($E58 + 5)), 0))
  )
)</f>
        <v>3785.8157662500003</v>
      </c>
      <c r="BH58" s="32">
        <f t="array" ref="BH58">IF(COLUMN() - ($E58 + 5) &lt; 0, 0,
  IF(COLUMN() - ($E58 + 5) = 0, $F58,
    BG58 * (1 - IFERROR(INDEX('Inputs &amp; Assuptions'!$B$13:$B$72, COLUMN() - ($E58 + 5)), 0))
  )
)</f>
        <v>3482.9505049500003</v>
      </c>
      <c r="BI58" s="32">
        <f t="array" ref="BI58">IF(COLUMN() - ($E58 + 5) &lt; 0, 0,
  IF(COLUMN() - ($E58 + 5) = 0, $F58,
    BH58 * (1 - IFERROR(INDEX('Inputs &amp; Assuptions'!$B$13:$B$72, COLUMN() - ($E58 + 5)), 0))
  )
)</f>
        <v>3291.3882271777502</v>
      </c>
      <c r="BJ58" s="32">
        <f t="array" ref="BJ58">IF(COLUMN() - ($E58 + 5) &lt; 0, 0,
  IF(COLUMN() - ($E58 + 5) = 0, $F58,
    BI58 * (1 - IFERROR(INDEX('Inputs &amp; Assuptions'!$B$13:$B$72, COLUMN() - ($E58 + 5)), 0))
  )
)</f>
        <v>3126.8188158188627</v>
      </c>
      <c r="BK58" s="32">
        <f t="array" ref="BK58">IF(COLUMN() - ($E58 + 5) &lt; 0, 0,
  IF(COLUMN() - ($E58 + 5) = 0, $F58,
    BJ58 * (1 - IFERROR(INDEX('Inputs &amp; Assuptions'!$B$13:$B$72, COLUMN() - ($E58 + 5)), 0))
  )
)</f>
        <v>2986.1119691070139</v>
      </c>
      <c r="BL58" s="32">
        <f t="array" ref="BL58">IF(COLUMN() - ($E58 + 5) &lt; 0, 0,
  IF(COLUMN() - ($E58 + 5) = 0, $F58,
    BK58 * (1 - IFERROR(INDEX('Inputs &amp; Assuptions'!$B$13:$B$72, COLUMN() - ($E58 + 5)), 0))
  )
)</f>
        <v>2866.6674903427333</v>
      </c>
      <c r="BM58" s="66">
        <f t="array" ref="BM58">IF(COLUMN() - ($E58 + 5) &lt; 0, 0,
  IF(COLUMN() - ($E58 + 5) = 0, $F58,
    BL58 * (1 - IFERROR(INDEX('Inputs &amp; Assuptions'!$B$13:$B$72, COLUMN() - ($E58 + 5)), 0))
  )
)</f>
        <v>2766.3341281807375</v>
      </c>
      <c r="BN58" s="33"/>
    </row>
    <row r="59" spans="1:66" x14ac:dyDescent="0.3">
      <c r="A59" s="71">
        <f t="shared" si="5"/>
        <v>54</v>
      </c>
      <c r="B59" s="75">
        <f t="shared" si="4"/>
        <v>7293.0375000000004</v>
      </c>
      <c r="C59" s="81">
        <f>$B59*(1-'Inputs &amp; Assuptions'!$B$12)</f>
        <v>4229.9617500000004</v>
      </c>
      <c r="E59" s="71">
        <f t="shared" si="6"/>
        <v>54</v>
      </c>
      <c r="F59" s="65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>
        <f>+$C59</f>
        <v>4229.9617500000004</v>
      </c>
      <c r="BH59" s="32">
        <f t="array" ref="BH59">IF(COLUMN() - ($E59 + 5) &lt; 0, 0,
  IF(COLUMN() - ($E59 + 5) = 0, $F59,
    BG59 * (1 - IFERROR(INDEX('Inputs &amp; Assuptions'!$B$13:$B$72, COLUMN() - ($E59 + 5)), 0))
  )
)</f>
        <v>3785.8157662500003</v>
      </c>
      <c r="BI59" s="32">
        <f t="array" ref="BI59">IF(COLUMN() - ($E59 + 5) &lt; 0, 0,
  IF(COLUMN() - ($E59 + 5) = 0, $F59,
    BH59 * (1 - IFERROR(INDEX('Inputs &amp; Assuptions'!$B$13:$B$72, COLUMN() - ($E59 + 5)), 0))
  )
)</f>
        <v>3482.9505049500003</v>
      </c>
      <c r="BJ59" s="32">
        <f t="array" ref="BJ59">IF(COLUMN() - ($E59 + 5) &lt; 0, 0,
  IF(COLUMN() - ($E59 + 5) = 0, $F59,
    BI59 * (1 - IFERROR(INDEX('Inputs &amp; Assuptions'!$B$13:$B$72, COLUMN() - ($E59 + 5)), 0))
  )
)</f>
        <v>3291.3882271777502</v>
      </c>
      <c r="BK59" s="32">
        <f t="array" ref="BK59">IF(COLUMN() - ($E59 + 5) &lt; 0, 0,
  IF(COLUMN() - ($E59 + 5) = 0, $F59,
    BJ59 * (1 - IFERROR(INDEX('Inputs &amp; Assuptions'!$B$13:$B$72, COLUMN() - ($E59 + 5)), 0))
  )
)</f>
        <v>3126.8188158188627</v>
      </c>
      <c r="BL59" s="32">
        <f t="array" ref="BL59">IF(COLUMN() - ($E59 + 5) &lt; 0, 0,
  IF(COLUMN() - ($E59 + 5) = 0, $F59,
    BK59 * (1 - IFERROR(INDEX('Inputs &amp; Assuptions'!$B$13:$B$72, COLUMN() - ($E59 + 5)), 0))
  )
)</f>
        <v>2986.1119691070139</v>
      </c>
      <c r="BM59" s="66">
        <f t="array" ref="BM59">IF(COLUMN() - ($E59 + 5) &lt; 0, 0,
  IF(COLUMN() - ($E59 + 5) = 0, $F59,
    BL59 * (1 - IFERROR(INDEX('Inputs &amp; Assuptions'!$B$13:$B$72, COLUMN() - ($E59 + 5)), 0))
  )
)</f>
        <v>2866.6674903427333</v>
      </c>
      <c r="BN59" s="33"/>
    </row>
    <row r="60" spans="1:66" x14ac:dyDescent="0.3">
      <c r="A60" s="71">
        <f t="shared" si="5"/>
        <v>55</v>
      </c>
      <c r="B60" s="75">
        <f t="shared" si="4"/>
        <v>7293.0375000000004</v>
      </c>
      <c r="C60" s="81">
        <f>$B60*(1-'Inputs &amp; Assuptions'!$B$12)</f>
        <v>4229.9617500000004</v>
      </c>
      <c r="E60" s="71">
        <f t="shared" si="6"/>
        <v>55</v>
      </c>
      <c r="F60" s="65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>
        <f>+$C60</f>
        <v>4229.9617500000004</v>
      </c>
      <c r="BI60" s="32">
        <f t="array" ref="BI60">IF(COLUMN() - ($E60 + 5) &lt; 0, 0,
  IF(COLUMN() - ($E60 + 5) = 0, $F60,
    BH60 * (1 - IFERROR(INDEX('Inputs &amp; Assuptions'!$B$13:$B$72, COLUMN() - ($E60 + 5)), 0))
  )
)</f>
        <v>3785.8157662500003</v>
      </c>
      <c r="BJ60" s="32">
        <f t="array" ref="BJ60">IF(COLUMN() - ($E60 + 5) &lt; 0, 0,
  IF(COLUMN() - ($E60 + 5) = 0, $F60,
    BI60 * (1 - IFERROR(INDEX('Inputs &amp; Assuptions'!$B$13:$B$72, COLUMN() - ($E60 + 5)), 0))
  )
)</f>
        <v>3482.9505049500003</v>
      </c>
      <c r="BK60" s="32">
        <f t="array" ref="BK60">IF(COLUMN() - ($E60 + 5) &lt; 0, 0,
  IF(COLUMN() - ($E60 + 5) = 0, $F60,
    BJ60 * (1 - IFERROR(INDEX('Inputs &amp; Assuptions'!$B$13:$B$72, COLUMN() - ($E60 + 5)), 0))
  )
)</f>
        <v>3291.3882271777502</v>
      </c>
      <c r="BL60" s="32">
        <f t="array" ref="BL60">IF(COLUMN() - ($E60 + 5) &lt; 0, 0,
  IF(COLUMN() - ($E60 + 5) = 0, $F60,
    BK60 * (1 - IFERROR(INDEX('Inputs &amp; Assuptions'!$B$13:$B$72, COLUMN() - ($E60 + 5)), 0))
  )
)</f>
        <v>3126.8188158188627</v>
      </c>
      <c r="BM60" s="66">
        <f t="array" ref="BM60">IF(COLUMN() - ($E60 + 5) &lt; 0, 0,
  IF(COLUMN() - ($E60 + 5) = 0, $F60,
    BL60 * (1 - IFERROR(INDEX('Inputs &amp; Assuptions'!$B$13:$B$72, COLUMN() - ($E60 + 5)), 0))
  )
)</f>
        <v>2986.1119691070139</v>
      </c>
      <c r="BN60" s="33"/>
    </row>
    <row r="61" spans="1:66" x14ac:dyDescent="0.3">
      <c r="A61" s="71">
        <f t="shared" si="5"/>
        <v>56</v>
      </c>
      <c r="B61" s="75">
        <f t="shared" si="4"/>
        <v>7293.0375000000004</v>
      </c>
      <c r="C61" s="81">
        <f>$B61*(1-'Inputs &amp; Assuptions'!$B$12)</f>
        <v>4229.9617500000004</v>
      </c>
      <c r="E61" s="71">
        <f t="shared" si="6"/>
        <v>56</v>
      </c>
      <c r="F61" s="65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>
        <f>+$C61</f>
        <v>4229.9617500000004</v>
      </c>
      <c r="BJ61" s="32">
        <f t="array" ref="BJ61">IF(COLUMN() - ($E61 + 5) &lt; 0, 0,
  IF(COLUMN() - ($E61 + 5) = 0, $F61,
    BI61 * (1 - IFERROR(INDEX('Inputs &amp; Assuptions'!$B$13:$B$72, COLUMN() - ($E61 + 5)), 0))
  )
)</f>
        <v>3785.8157662500003</v>
      </c>
      <c r="BK61" s="32">
        <f t="array" ref="BK61">IF(COLUMN() - ($E61 + 5) &lt; 0, 0,
  IF(COLUMN() - ($E61 + 5) = 0, $F61,
    BJ61 * (1 - IFERROR(INDEX('Inputs &amp; Assuptions'!$B$13:$B$72, COLUMN() - ($E61 + 5)), 0))
  )
)</f>
        <v>3482.9505049500003</v>
      </c>
      <c r="BL61" s="32">
        <f t="array" ref="BL61">IF(COLUMN() - ($E61 + 5) &lt; 0, 0,
  IF(COLUMN() - ($E61 + 5) = 0, $F61,
    BK61 * (1 - IFERROR(INDEX('Inputs &amp; Assuptions'!$B$13:$B$72, COLUMN() - ($E61 + 5)), 0))
  )
)</f>
        <v>3291.3882271777502</v>
      </c>
      <c r="BM61" s="66">
        <f t="array" ref="BM61">IF(COLUMN() - ($E61 + 5) &lt; 0, 0,
  IF(COLUMN() - ($E61 + 5) = 0, $F61,
    BL61 * (1 - IFERROR(INDEX('Inputs &amp; Assuptions'!$B$13:$B$72, COLUMN() - ($E61 + 5)), 0))
  )
)</f>
        <v>3126.8188158188627</v>
      </c>
      <c r="BN61" s="33"/>
    </row>
    <row r="62" spans="1:66" x14ac:dyDescent="0.3">
      <c r="A62" s="71">
        <f t="shared" si="5"/>
        <v>57</v>
      </c>
      <c r="B62" s="75">
        <f t="shared" si="4"/>
        <v>7293.0375000000004</v>
      </c>
      <c r="C62" s="81">
        <f>$B62*(1-'Inputs &amp; Assuptions'!$B$12)</f>
        <v>4229.9617500000004</v>
      </c>
      <c r="E62" s="71">
        <f t="shared" si="6"/>
        <v>57</v>
      </c>
      <c r="F62" s="65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>
        <f>+$C62</f>
        <v>4229.9617500000004</v>
      </c>
      <c r="BK62" s="32">
        <f t="array" ref="BK62">IF(COLUMN() - ($E62 + 5) &lt; 0, 0,
  IF(COLUMN() - ($E62 + 5) = 0, $F62,
    BJ62 * (1 - IFERROR(INDEX('Inputs &amp; Assuptions'!$B$13:$B$72, COLUMN() - ($E62 + 5)), 0))
  )
)</f>
        <v>3785.8157662500003</v>
      </c>
      <c r="BL62" s="32">
        <f t="array" ref="BL62">IF(COLUMN() - ($E62 + 5) &lt; 0, 0,
  IF(COLUMN() - ($E62 + 5) = 0, $F62,
    BK62 * (1 - IFERROR(INDEX('Inputs &amp; Assuptions'!$B$13:$B$72, COLUMN() - ($E62 + 5)), 0))
  )
)</f>
        <v>3482.9505049500003</v>
      </c>
      <c r="BM62" s="66">
        <f t="array" ref="BM62">IF(COLUMN() - ($E62 + 5) &lt; 0, 0,
  IF(COLUMN() - ($E62 + 5) = 0, $F62,
    BL62 * (1 - IFERROR(INDEX('Inputs &amp; Assuptions'!$B$13:$B$72, COLUMN() - ($E62 + 5)), 0))
  )
)</f>
        <v>3291.3882271777502</v>
      </c>
      <c r="BN62" s="33"/>
    </row>
    <row r="63" spans="1:66" x14ac:dyDescent="0.3">
      <c r="A63" s="71">
        <f t="shared" si="5"/>
        <v>58</v>
      </c>
      <c r="B63" s="75">
        <f t="shared" si="4"/>
        <v>7293.0375000000004</v>
      </c>
      <c r="C63" s="81">
        <f>$B63*(1-'Inputs &amp; Assuptions'!$B$12)</f>
        <v>4229.9617500000004</v>
      </c>
      <c r="E63" s="71">
        <f t="shared" si="6"/>
        <v>58</v>
      </c>
      <c r="F63" s="65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>
        <f>+$C63</f>
        <v>4229.9617500000004</v>
      </c>
      <c r="BL63" s="32">
        <f t="array" ref="BL63">IF(COLUMN() - ($E63 + 5) &lt; 0, 0,
  IF(COLUMN() - ($E63 + 5) = 0, $F63,
    BK63 * (1 - IFERROR(INDEX('Inputs &amp; Assuptions'!$B$13:$B$72, COLUMN() - ($E63 + 5)), 0))
  )
)</f>
        <v>3785.8157662500003</v>
      </c>
      <c r="BM63" s="66">
        <f t="array" ref="BM63">IF(COLUMN() - ($E63 + 5) &lt; 0, 0,
  IF(COLUMN() - ($E63 + 5) = 0, $F63,
    BL63 * (1 - IFERROR(INDEX('Inputs &amp; Assuptions'!$B$13:$B$72, COLUMN() - ($E63 + 5)), 0))
  )
)</f>
        <v>3482.9505049500003</v>
      </c>
      <c r="BN63" s="33"/>
    </row>
    <row r="64" spans="1:66" x14ac:dyDescent="0.3">
      <c r="A64" s="71">
        <f t="shared" si="5"/>
        <v>59</v>
      </c>
      <c r="B64" s="75">
        <f t="shared" si="4"/>
        <v>7293.0375000000004</v>
      </c>
      <c r="C64" s="81">
        <f>$B64*(1-'Inputs &amp; Assuptions'!$B$12)</f>
        <v>4229.9617500000004</v>
      </c>
      <c r="E64" s="71">
        <f t="shared" si="6"/>
        <v>59</v>
      </c>
      <c r="F64" s="65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>
        <f>+$C64</f>
        <v>4229.9617500000004</v>
      </c>
      <c r="BM64" s="66">
        <f t="array" ref="BM64">IF(COLUMN() - ($E64 + 5) &lt; 0, 0,
  IF(COLUMN() - ($E64 + 5) = 0, $F64,
    BL64 * (1 - IFERROR(INDEX('Inputs &amp; Assuptions'!$B$13:$B$72, COLUMN() - ($E64 + 5)), 0))
  )
)</f>
        <v>3785.8157662500003</v>
      </c>
      <c r="BN64" s="33"/>
    </row>
    <row r="65" spans="1:66" x14ac:dyDescent="0.3">
      <c r="A65" s="71">
        <f t="shared" si="5"/>
        <v>60</v>
      </c>
      <c r="B65" s="77">
        <f t="shared" si="4"/>
        <v>7293.0375000000004</v>
      </c>
      <c r="C65" s="82">
        <f>$B65*(1-'Inputs &amp; Assuptions'!$B$12)</f>
        <v>4229.9617500000004</v>
      </c>
      <c r="E65" s="71">
        <f t="shared" si="6"/>
        <v>60</v>
      </c>
      <c r="F65" s="68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0">
        <f>+$C65</f>
        <v>4229.9617500000004</v>
      </c>
    </row>
    <row r="66" spans="1:66" s="28" customFormat="1" x14ac:dyDescent="0.3">
      <c r="F66" s="34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4"/>
    </row>
    <row r="67" spans="1:66" x14ac:dyDescent="0.3">
      <c r="F67" s="32">
        <f t="shared" ref="F67:AK67" si="7">+SUM(F6:F65)</f>
        <v>3480.0000000000005</v>
      </c>
      <c r="G67" s="32">
        <f t="shared" si="7"/>
        <v>6594.6</v>
      </c>
      <c r="H67" s="32">
        <f t="shared" si="7"/>
        <v>9460.0320000000011</v>
      </c>
      <c r="I67" s="32">
        <f t="shared" si="7"/>
        <v>12167.865240000001</v>
      </c>
      <c r="J67" s="32">
        <f t="shared" si="7"/>
        <v>14740.306818000001</v>
      </c>
      <c r="K67" s="32">
        <f t="shared" si="7"/>
        <v>17196.98852499</v>
      </c>
      <c r="L67" s="32">
        <f t="shared" si="7"/>
        <v>19555.402963700402</v>
      </c>
      <c r="M67" s="32">
        <f t="shared" si="7"/>
        <v>21831.272897055933</v>
      </c>
      <c r="N67" s="32">
        <f t="shared" si="7"/>
        <v>24038.866732410803</v>
      </c>
      <c r="O67" s="32">
        <f t="shared" si="7"/>
        <v>26191.270721881803</v>
      </c>
      <c r="P67" s="32">
        <f t="shared" si="7"/>
        <v>28300.626631563377</v>
      </c>
      <c r="Q67" s="32">
        <f t="shared" si="7"/>
        <v>30388.888982148143</v>
      </c>
      <c r="R67" s="32">
        <f t="shared" si="7"/>
        <v>32630.268709227057</v>
      </c>
      <c r="S67" s="32">
        <f t="shared" si="7"/>
        <v>34832.704639035182</v>
      </c>
      <c r="T67" s="32">
        <f t="shared" si="7"/>
        <v>37002.215109545221</v>
      </c>
      <c r="U67" s="32">
        <f t="shared" si="7"/>
        <v>39143.583253350167</v>
      </c>
      <c r="V67" s="32">
        <f t="shared" si="7"/>
        <v>41258.122049237063</v>
      </c>
      <c r="W67" s="32">
        <f t="shared" si="7"/>
        <v>43347.013684403588</v>
      </c>
      <c r="X67" s="32">
        <f t="shared" si="7"/>
        <v>45411.331380657961</v>
      </c>
      <c r="Y67" s="32">
        <f t="shared" si="7"/>
        <v>47452.057881901404</v>
      </c>
      <c r="Z67" s="32">
        <f t="shared" si="7"/>
        <v>49470.101248199062</v>
      </c>
      <c r="AA67" s="32">
        <f t="shared" si="7"/>
        <v>51466.308485457223</v>
      </c>
      <c r="AB67" s="32">
        <f t="shared" si="7"/>
        <v>53441.477448348058</v>
      </c>
      <c r="AC67" s="32">
        <f t="shared" si="7"/>
        <v>55396.894721610006</v>
      </c>
      <c r="AD67" s="32">
        <f t="shared" si="7"/>
        <v>57515.457822139317</v>
      </c>
      <c r="AE67" s="32">
        <f t="shared" si="7"/>
        <v>59595.478791663336</v>
      </c>
      <c r="AF67" s="32">
        <f t="shared" si="7"/>
        <v>61643.253396492109</v>
      </c>
      <c r="AG67" s="32">
        <f t="shared" si="7"/>
        <v>63663.780672172601</v>
      </c>
      <c r="AH67" s="32">
        <f t="shared" si="7"/>
        <v>65658.416225292298</v>
      </c>
      <c r="AI67" s="32">
        <f t="shared" si="7"/>
        <v>67628.378561481208</v>
      </c>
      <c r="AJ67" s="32">
        <f t="shared" si="7"/>
        <v>69574.772000619734</v>
      </c>
      <c r="AK67" s="32">
        <f t="shared" si="7"/>
        <v>71498.606086416068</v>
      </c>
      <c r="AL67" s="32">
        <f t="shared" ref="AL67:BM67" si="8">+SUM(AL6:AL65)</f>
        <v>73400.812167924407</v>
      </c>
      <c r="AM67" s="32">
        <f t="shared" si="8"/>
        <v>75282.257708472316</v>
      </c>
      <c r="AN67" s="32">
        <f t="shared" si="8"/>
        <v>77143.758781520286</v>
      </c>
      <c r="AO67" s="32">
        <f t="shared" si="8"/>
        <v>78986.644843837756</v>
      </c>
      <c r="AP67" s="32">
        <f t="shared" si="8"/>
        <v>81002.937045532075</v>
      </c>
      <c r="AQ67" s="32">
        <f t="shared" si="8"/>
        <v>82980.842000209421</v>
      </c>
      <c r="AR67" s="32">
        <f t="shared" si="8"/>
        <v>84926.949442590019</v>
      </c>
      <c r="AS67" s="32">
        <f t="shared" si="8"/>
        <v>86846.487748291809</v>
      </c>
      <c r="AT67" s="32">
        <f t="shared" si="8"/>
        <v>88740.859898642389</v>
      </c>
      <c r="AU67" s="32">
        <f t="shared" si="8"/>
        <v>90611.325123019895</v>
      </c>
      <c r="AV67" s="32">
        <f t="shared" si="8"/>
        <v>92459.022957780689</v>
      </c>
      <c r="AW67" s="32">
        <f t="shared" si="8"/>
        <v>94284.993624295545</v>
      </c>
      <c r="AX67" s="32">
        <f t="shared" si="8"/>
        <v>96090.19543754372</v>
      </c>
      <c r="AY67" s="32">
        <f t="shared" si="8"/>
        <v>97875.519828506789</v>
      </c>
      <c r="AZ67" s="32">
        <f t="shared" si="8"/>
        <v>99641.804462861051</v>
      </c>
      <c r="BA67" s="32">
        <f t="shared" si="8"/>
        <v>101390.42625087175</v>
      </c>
      <c r="BB67" s="32">
        <f t="shared" si="8"/>
        <v>103322.98857100237</v>
      </c>
      <c r="BC67" s="32">
        <f t="shared" si="8"/>
        <v>105217.08972668168</v>
      </c>
      <c r="BD67" s="32">
        <f t="shared" si="8"/>
        <v>107079.63048491666</v>
      </c>
      <c r="BE67" s="32">
        <f t="shared" si="8"/>
        <v>108916.08237020158</v>
      </c>
      <c r="BF67" s="32">
        <f t="shared" si="8"/>
        <v>110727.90042572471</v>
      </c>
      <c r="BG67" s="32">
        <f t="shared" si="8"/>
        <v>112516.3889359996</v>
      </c>
      <c r="BH67" s="32">
        <f t="shared" si="8"/>
        <v>114282.72668693017</v>
      </c>
      <c r="BI67" s="32">
        <f t="shared" si="8"/>
        <v>116027.98836095814</v>
      </c>
      <c r="BJ67" s="32">
        <f t="shared" si="8"/>
        <v>117753.16281431424</v>
      </c>
      <c r="BK67" s="32">
        <f t="shared" si="8"/>
        <v>119459.16884877656</v>
      </c>
      <c r="BL67" s="32">
        <f t="shared" si="8"/>
        <v>121146.86898456007</v>
      </c>
      <c r="BM67" s="32">
        <f t="shared" si="8"/>
        <v>122817.69211898575</v>
      </c>
    </row>
  </sheetData>
  <conditionalFormatting sqref="A5:A65">
    <cfRule type="cellIs" dxfId="14" priority="4" operator="lessThan">
      <formula>0</formula>
    </cfRule>
  </conditionalFormatting>
  <conditionalFormatting sqref="B5:C5">
    <cfRule type="cellIs" dxfId="13" priority="6" operator="lessThan">
      <formula>0</formula>
    </cfRule>
  </conditionalFormatting>
  <conditionalFormatting sqref="E5:E65">
    <cfRule type="cellIs" dxfId="12" priority="3" operator="lessThan">
      <formula>0</formula>
    </cfRule>
  </conditionalFormatting>
  <conditionalFormatting sqref="F2:F3">
    <cfRule type="cellIs" dxfId="11" priority="1" operator="lessThan">
      <formula>0</formula>
    </cfRule>
  </conditionalFormatting>
  <conditionalFormatting sqref="F5:BM5">
    <cfRule type="cellIs" dxfId="10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67"/>
  <sheetViews>
    <sheetView zoomScale="120" zoomScaleNormal="120" workbookViewId="0">
      <selection activeCell="I60" sqref="I60"/>
    </sheetView>
  </sheetViews>
  <sheetFormatPr defaultColWidth="9.109375" defaultRowHeight="14.4" x14ac:dyDescent="0.3"/>
  <cols>
    <col min="1" max="1" width="9.109375" style="5"/>
    <col min="2" max="3" width="12.6640625" style="5" customWidth="1"/>
    <col min="4" max="5" width="9.109375" style="5"/>
    <col min="6" max="6" width="13.109375" style="5" customWidth="1"/>
    <col min="7" max="7" width="9.33203125" style="5" customWidth="1"/>
    <col min="8" max="9" width="10.44140625" style="5" customWidth="1"/>
    <col min="10" max="30" width="10.6640625" style="5" customWidth="1"/>
    <col min="31" max="31" width="15.6640625" style="5" customWidth="1"/>
    <col min="32" max="44" width="10.6640625" style="5" customWidth="1"/>
    <col min="45" max="66" width="11.6640625" style="5" customWidth="1"/>
    <col min="67" max="16384" width="9.109375" style="5"/>
  </cols>
  <sheetData>
    <row r="1" spans="1:67" ht="15.6" x14ac:dyDescent="0.3">
      <c r="I1" s="109"/>
      <c r="J1" s="109"/>
    </row>
    <row r="2" spans="1:67" x14ac:dyDescent="0.3">
      <c r="B2" s="31"/>
      <c r="F2" s="8" t="s">
        <v>106</v>
      </c>
      <c r="G2" s="4">
        <f>+'Inputs &amp; Assuptions'!$C$4</f>
        <v>1500</v>
      </c>
      <c r="BN2" s="30"/>
    </row>
    <row r="3" spans="1:67" x14ac:dyDescent="0.3">
      <c r="F3" s="8" t="s">
        <v>107</v>
      </c>
      <c r="G3" s="15">
        <f>+'Inputs &amp; Assuptions'!$C$5</f>
        <v>0.05</v>
      </c>
      <c r="BN3" s="30"/>
    </row>
    <row r="4" spans="1:67" x14ac:dyDescent="0.3">
      <c r="BN4" s="30"/>
    </row>
    <row r="5" spans="1:67" x14ac:dyDescent="0.3">
      <c r="A5" s="8"/>
      <c r="B5" s="8" t="s">
        <v>108</v>
      </c>
      <c r="C5" s="8" t="s">
        <v>109</v>
      </c>
      <c r="E5" s="8" t="s">
        <v>16</v>
      </c>
      <c r="F5" s="45">
        <v>1</v>
      </c>
      <c r="G5" s="45">
        <f t="shared" ref="G5:AL5" si="0">+F5+1</f>
        <v>2</v>
      </c>
      <c r="H5" s="45">
        <f t="shared" si="0"/>
        <v>3</v>
      </c>
      <c r="I5" s="45">
        <f t="shared" si="0"/>
        <v>4</v>
      </c>
      <c r="J5" s="45">
        <f t="shared" si="0"/>
        <v>5</v>
      </c>
      <c r="K5" s="45">
        <f t="shared" si="0"/>
        <v>6</v>
      </c>
      <c r="L5" s="45">
        <f t="shared" si="0"/>
        <v>7</v>
      </c>
      <c r="M5" s="45">
        <f t="shared" si="0"/>
        <v>8</v>
      </c>
      <c r="N5" s="45">
        <f t="shared" si="0"/>
        <v>9</v>
      </c>
      <c r="O5" s="45">
        <f t="shared" si="0"/>
        <v>10</v>
      </c>
      <c r="P5" s="45">
        <f t="shared" si="0"/>
        <v>11</v>
      </c>
      <c r="Q5" s="45">
        <f t="shared" si="0"/>
        <v>12</v>
      </c>
      <c r="R5" s="45">
        <f t="shared" si="0"/>
        <v>13</v>
      </c>
      <c r="S5" s="45">
        <f t="shared" si="0"/>
        <v>14</v>
      </c>
      <c r="T5" s="45">
        <f t="shared" si="0"/>
        <v>15</v>
      </c>
      <c r="U5" s="45">
        <f t="shared" si="0"/>
        <v>16</v>
      </c>
      <c r="V5" s="45">
        <f t="shared" si="0"/>
        <v>17</v>
      </c>
      <c r="W5" s="45">
        <f t="shared" si="0"/>
        <v>18</v>
      </c>
      <c r="X5" s="45">
        <f t="shared" si="0"/>
        <v>19</v>
      </c>
      <c r="Y5" s="45">
        <f t="shared" si="0"/>
        <v>20</v>
      </c>
      <c r="Z5" s="45">
        <f t="shared" si="0"/>
        <v>21</v>
      </c>
      <c r="AA5" s="45">
        <f t="shared" si="0"/>
        <v>22</v>
      </c>
      <c r="AB5" s="45">
        <f t="shared" si="0"/>
        <v>23</v>
      </c>
      <c r="AC5" s="45">
        <f t="shared" si="0"/>
        <v>24</v>
      </c>
      <c r="AD5" s="45">
        <f t="shared" si="0"/>
        <v>25</v>
      </c>
      <c r="AE5" s="45">
        <f t="shared" si="0"/>
        <v>26</v>
      </c>
      <c r="AF5" s="45">
        <f t="shared" si="0"/>
        <v>27</v>
      </c>
      <c r="AG5" s="45">
        <f t="shared" si="0"/>
        <v>28</v>
      </c>
      <c r="AH5" s="45">
        <f t="shared" si="0"/>
        <v>29</v>
      </c>
      <c r="AI5" s="45">
        <f t="shared" si="0"/>
        <v>30</v>
      </c>
      <c r="AJ5" s="45">
        <f t="shared" si="0"/>
        <v>31</v>
      </c>
      <c r="AK5" s="45">
        <f t="shared" si="0"/>
        <v>32</v>
      </c>
      <c r="AL5" s="45">
        <f t="shared" si="0"/>
        <v>33</v>
      </c>
      <c r="AM5" s="45">
        <f t="shared" ref="AM5:BM5" si="1">+AL5+1</f>
        <v>34</v>
      </c>
      <c r="AN5" s="45">
        <f t="shared" si="1"/>
        <v>35</v>
      </c>
      <c r="AO5" s="45">
        <f t="shared" si="1"/>
        <v>36</v>
      </c>
      <c r="AP5" s="45">
        <f t="shared" si="1"/>
        <v>37</v>
      </c>
      <c r="AQ5" s="45">
        <f t="shared" si="1"/>
        <v>38</v>
      </c>
      <c r="AR5" s="45">
        <f t="shared" si="1"/>
        <v>39</v>
      </c>
      <c r="AS5" s="45">
        <f t="shared" si="1"/>
        <v>40</v>
      </c>
      <c r="AT5" s="45">
        <f t="shared" si="1"/>
        <v>41</v>
      </c>
      <c r="AU5" s="45">
        <f t="shared" si="1"/>
        <v>42</v>
      </c>
      <c r="AV5" s="45">
        <f t="shared" si="1"/>
        <v>43</v>
      </c>
      <c r="AW5" s="45">
        <f t="shared" si="1"/>
        <v>44</v>
      </c>
      <c r="AX5" s="45">
        <f t="shared" si="1"/>
        <v>45</v>
      </c>
      <c r="AY5" s="45">
        <f t="shared" si="1"/>
        <v>46</v>
      </c>
      <c r="AZ5" s="45">
        <f t="shared" si="1"/>
        <v>47</v>
      </c>
      <c r="BA5" s="45">
        <f t="shared" si="1"/>
        <v>48</v>
      </c>
      <c r="BB5" s="45">
        <f t="shared" si="1"/>
        <v>49</v>
      </c>
      <c r="BC5" s="45">
        <f t="shared" si="1"/>
        <v>50</v>
      </c>
      <c r="BD5" s="45">
        <f t="shared" si="1"/>
        <v>51</v>
      </c>
      <c r="BE5" s="45">
        <f t="shared" si="1"/>
        <v>52</v>
      </c>
      <c r="BF5" s="45">
        <f t="shared" si="1"/>
        <v>53</v>
      </c>
      <c r="BG5" s="45">
        <f t="shared" si="1"/>
        <v>54</v>
      </c>
      <c r="BH5" s="45">
        <f t="shared" si="1"/>
        <v>55</v>
      </c>
      <c r="BI5" s="45">
        <f t="shared" si="1"/>
        <v>56</v>
      </c>
      <c r="BJ5" s="45">
        <f t="shared" si="1"/>
        <v>57</v>
      </c>
      <c r="BK5" s="45">
        <f t="shared" si="1"/>
        <v>58</v>
      </c>
      <c r="BL5" s="45">
        <f t="shared" si="1"/>
        <v>59</v>
      </c>
      <c r="BM5" s="45">
        <f t="shared" si="1"/>
        <v>60</v>
      </c>
    </row>
    <row r="6" spans="1:67" x14ac:dyDescent="0.3">
      <c r="A6" s="71">
        <v>1</v>
      </c>
      <c r="B6" s="79">
        <f>IF(MOD($A6, 12) = 0, $G$2 * 1.05, $G$2)</f>
        <v>1500</v>
      </c>
      <c r="C6" s="80">
        <f>$B6*(1-'Inputs &amp; Assuptions'!$C$12)</f>
        <v>1170</v>
      </c>
      <c r="E6" s="71">
        <v>1</v>
      </c>
      <c r="F6" s="62">
        <f>$C6</f>
        <v>1170</v>
      </c>
      <c r="G6" s="63">
        <f t="array" ref="G6">IF(COLUMN() - ($E6 + 5) &lt; 0, 0,
  IF(COLUMN() - ($E6 + 5) = 0, $F6,
    F6 * (1 - IFERROR(INDEX('Inputs &amp; Assuptions'!$C$13:$C$72, COLUMN() - ($E6 + 5)), 0))
  )
)</f>
        <v>1108.575</v>
      </c>
      <c r="H6" s="63">
        <f t="array" ref="H6">IF(COLUMN() - ($E6 + 5) &lt; 0, 0,
  IF(COLUMN() - ($E6 + 5) = 0, $F6,
    G6 * (1 - IFERROR(INDEX('Inputs &amp; Assuptions'!$C$13:$C$72, COLUMN() - ($E6 + 5)), 0))
  )
)</f>
        <v>1064.232</v>
      </c>
      <c r="I6" s="63">
        <f t="array" ref="I6">IF(COLUMN() - ($E6 + 5) &lt; 0, 0,
  IF(COLUMN() - ($E6 + 5) = 0, $F6,
    H6 * (1 - IFERROR(INDEX('Inputs &amp; Assuptions'!$C$13:$C$72, COLUMN() - ($E6 + 5)), 0))
  )
)</f>
        <v>1034.9656199999999</v>
      </c>
      <c r="J6" s="63">
        <f t="array" ref="J6">IF(COLUMN() - ($E6 + 5) &lt; 0, 0,
  IF(COLUMN() - ($E6 + 5) = 0, $F6,
    I6 * (1 - IFERROR(INDEX('Inputs &amp; Assuptions'!$C$13:$C$72, COLUMN() - ($E6 + 5)), 0))
  )
)</f>
        <v>1009.0914794999999</v>
      </c>
      <c r="K6" s="63">
        <f t="array" ref="K6">IF(COLUMN() - ($E6 + 5) &lt; 0, 0,
  IF(COLUMN() - ($E6 + 5) = 0, $F6,
    J6 * (1 - IFERROR(INDEX('Inputs &amp; Assuptions'!$C$13:$C$72, COLUMN() - ($E6 + 5)), 0))
  )
)</f>
        <v>986.38692121124996</v>
      </c>
      <c r="L6" s="63">
        <f t="array" ref="L6">IF(COLUMN() - ($E6 + 5) &lt; 0, 0,
  IF(COLUMN() - ($E6 + 5) = 0, $F6,
    K6 * (1 - IFERROR(INDEX('Inputs &amp; Assuptions'!$C$13:$C$72, COLUMN() - ($E6 + 5)), 0))
  )
)</f>
        <v>966.65918278702497</v>
      </c>
      <c r="M6" s="63">
        <f t="array" ref="M6">IF(COLUMN() - ($E6 + 5) &lt; 0, 0,
  IF(COLUMN() - ($E6 + 5) = 0, $F6,
    L6 * (1 - IFERROR(INDEX('Inputs &amp; Assuptions'!$C$13:$C$72, COLUMN() - ($E6 + 5)), 0))
  )
)</f>
        <v>949.74264708825206</v>
      </c>
      <c r="N6" s="63">
        <f t="array" ref="N6">IF(COLUMN() - ($E6 + 5) &lt; 0, 0,
  IF(COLUMN() - ($E6 + 5) = 0, $F6,
    M6 * (1 - IFERROR(INDEX('Inputs &amp; Assuptions'!$C$13:$C$72, COLUMN() - ($E6 + 5)), 0))
  )
)</f>
        <v>935.49650738192827</v>
      </c>
      <c r="O6" s="63">
        <f t="array" ref="O6">IF(COLUMN() - ($E6 + 5) &lt; 0, 0,
  IF(COLUMN() - ($E6 + 5) = 0, $F6,
    N6 * (1 - IFERROR(INDEX('Inputs &amp; Assuptions'!$C$13:$C$72, COLUMN() - ($E6 + 5)), 0))
  )
)</f>
        <v>923.80280103965424</v>
      </c>
      <c r="P6" s="63">
        <f t="array" ref="P6">IF(COLUMN() - ($E6 + 5) &lt; 0, 0,
  IF(COLUMN() - ($E6 + 5) = 0, $F6,
    O6 * (1 - IFERROR(INDEX('Inputs &amp; Assuptions'!$C$13:$C$72, COLUMN() - ($E6 + 5)), 0))
  )
)</f>
        <v>914.56477302925771</v>
      </c>
      <c r="Q6" s="63">
        <f t="array" ref="Q6">IF(COLUMN() - ($E6 + 5) &lt; 0, 0,
  IF(COLUMN() - ($E6 + 5) = 0, $F6,
    P6 * (1 - IFERROR(INDEX('Inputs &amp; Assuptions'!$C$13:$C$72, COLUMN() - ($E6 + 5)), 0))
  )
)</f>
        <v>909.99194916411136</v>
      </c>
      <c r="R6" s="63">
        <f t="array" ref="R6">IF(COLUMN() - ($E6 + 5) &lt; 0, 0,
  IF(COLUMN() - ($E6 + 5) = 0, $F6,
    Q6 * (1 - IFERROR(INDEX('Inputs &amp; Assuptions'!$C$13:$C$72, COLUMN() - ($E6 + 5)), 0))
  )
)</f>
        <v>905.44198941829075</v>
      </c>
      <c r="S6" s="63">
        <f t="array" ref="S6">IF(COLUMN() - ($E6 + 5) &lt; 0, 0,
  IF(COLUMN() - ($E6 + 5) = 0, $F6,
    R6 * (1 - IFERROR(INDEX('Inputs &amp; Assuptions'!$C$13:$C$72, COLUMN() - ($E6 + 5)), 0))
  )
)</f>
        <v>900.91477947119927</v>
      </c>
      <c r="T6" s="63">
        <f t="array" ref="T6">IF(COLUMN() - ($E6 + 5) &lt; 0, 0,
  IF(COLUMN() - ($E6 + 5) = 0, $F6,
    S6 * (1 - IFERROR(INDEX('Inputs &amp; Assuptions'!$C$13:$C$72, COLUMN() - ($E6 + 5)), 0))
  )
)</f>
        <v>896.41020557384331</v>
      </c>
      <c r="U6" s="63">
        <f t="array" ref="U6">IF(COLUMN() - ($E6 + 5) &lt; 0, 0,
  IF(COLUMN() - ($E6 + 5) = 0, $F6,
    T6 * (1 - IFERROR(INDEX('Inputs &amp; Assuptions'!$C$13:$C$72, COLUMN() - ($E6 + 5)), 0))
  )
)</f>
        <v>891.92815454597405</v>
      </c>
      <c r="V6" s="63">
        <f t="array" ref="V6">IF(COLUMN() - ($E6 + 5) &lt; 0, 0,
  IF(COLUMN() - ($E6 + 5) = 0, $F6,
    U6 * (1 - IFERROR(INDEX('Inputs &amp; Assuptions'!$C$13:$C$72, COLUMN() - ($E6 + 5)), 0))
  )
)</f>
        <v>887.46851377324413</v>
      </c>
      <c r="W6" s="63">
        <f t="array" ref="W6">IF(COLUMN() - ($E6 + 5) &lt; 0, 0,
  IF(COLUMN() - ($E6 + 5) = 0, $F6,
    V6 * (1 - IFERROR(INDEX('Inputs &amp; Assuptions'!$C$13:$C$72, COLUMN() - ($E6 + 5)), 0))
  )
)</f>
        <v>883.03117120437787</v>
      </c>
      <c r="X6" s="63">
        <f t="array" ref="X6">IF(COLUMN() - ($E6 + 5) &lt; 0, 0,
  IF(COLUMN() - ($E6 + 5) = 0, $F6,
    W6 * (1 - IFERROR(INDEX('Inputs &amp; Assuptions'!$C$13:$C$72, COLUMN() - ($E6 + 5)), 0))
  )
)</f>
        <v>878.61601534835597</v>
      </c>
      <c r="Y6" s="63">
        <f t="array" ref="Y6">IF(COLUMN() - ($E6 + 5) &lt; 0, 0,
  IF(COLUMN() - ($E6 + 5) = 0, $F6,
    X6 * (1 - IFERROR(INDEX('Inputs &amp; Assuptions'!$C$13:$C$72, COLUMN() - ($E6 + 5)), 0))
  )
)</f>
        <v>874.22293527161423</v>
      </c>
      <c r="Z6" s="63">
        <f t="array" ref="Z6">IF(COLUMN() - ($E6 + 5) &lt; 0, 0,
  IF(COLUMN() - ($E6 + 5) = 0, $F6,
    Y6 * (1 - IFERROR(INDEX('Inputs &amp; Assuptions'!$C$13:$C$72, COLUMN() - ($E6 + 5)), 0))
  )
)</f>
        <v>869.85182059525619</v>
      </c>
      <c r="AA6" s="63">
        <f t="array" ref="AA6">IF(COLUMN() - ($E6 + 5) &lt; 0, 0,
  IF(COLUMN() - ($E6 + 5) = 0, $F6,
    Z6 * (1 - IFERROR(INDEX('Inputs &amp; Assuptions'!$C$13:$C$72, COLUMN() - ($E6 + 5)), 0))
  )
)</f>
        <v>865.50256149227994</v>
      </c>
      <c r="AB6" s="63">
        <f t="array" ref="AB6">IF(COLUMN() - ($E6 + 5) &lt; 0, 0,
  IF(COLUMN() - ($E6 + 5) = 0, $F6,
    AA6 * (1 - IFERROR(INDEX('Inputs &amp; Assuptions'!$C$13:$C$72, COLUMN() - ($E6 + 5)), 0))
  )
)</f>
        <v>861.17504868481853</v>
      </c>
      <c r="AC6" s="63">
        <f t="array" ref="AC6">IF(COLUMN() - ($E6 + 5) &lt; 0, 0,
  IF(COLUMN() - ($E6 + 5) = 0, $F6,
    AB6 * (1 - IFERROR(INDEX('Inputs &amp; Assuptions'!$C$13:$C$72, COLUMN() - ($E6 + 5)), 0))
  )
)</f>
        <v>856.86917344139442</v>
      </c>
      <c r="AD6" s="63">
        <f t="array" ref="AD6">IF(COLUMN() - ($E6 + 5) &lt; 0, 0,
  IF(COLUMN() - ($E6 + 5) = 0, $F6,
    AC6 * (1 - IFERROR(INDEX('Inputs &amp; Assuptions'!$C$13:$C$72, COLUMN() - ($E6 + 5)), 0))
  )
)</f>
        <v>852.58482757418744</v>
      </c>
      <c r="AE6" s="63">
        <f t="array" ref="AE6">IF(COLUMN() - ($E6 + 5) &lt; 0, 0,
  IF(COLUMN() - ($E6 + 5) = 0, $F6,
    AD6 * (1 - IFERROR(INDEX('Inputs &amp; Assuptions'!$C$13:$C$72, COLUMN() - ($E6 + 5)), 0))
  )
)</f>
        <v>848.32190343631646</v>
      </c>
      <c r="AF6" s="63">
        <f t="array" ref="AF6">IF(COLUMN() - ($E6 + 5) &lt; 0, 0,
  IF(COLUMN() - ($E6 + 5) = 0, $F6,
    AE6 * (1 - IFERROR(INDEX('Inputs &amp; Assuptions'!$C$13:$C$72, COLUMN() - ($E6 + 5)), 0))
  )
)</f>
        <v>844.08029391913487</v>
      </c>
      <c r="AG6" s="63">
        <f t="array" ref="AG6">IF(COLUMN() - ($E6 + 5) &lt; 0, 0,
  IF(COLUMN() - ($E6 + 5) = 0, $F6,
    AF6 * (1 - IFERROR(INDEX('Inputs &amp; Assuptions'!$C$13:$C$72, COLUMN() - ($E6 + 5)), 0))
  )
)</f>
        <v>839.85989244953919</v>
      </c>
      <c r="AH6" s="63">
        <f t="array" ref="AH6">IF(COLUMN() - ($E6 + 5) &lt; 0, 0,
  IF(COLUMN() - ($E6 + 5) = 0, $F6,
    AG6 * (1 - IFERROR(INDEX('Inputs &amp; Assuptions'!$C$13:$C$72, COLUMN() - ($E6 + 5)), 0))
  )
)</f>
        <v>835.66059298729147</v>
      </c>
      <c r="AI6" s="63">
        <f t="array" ref="AI6">IF(COLUMN() - ($E6 + 5) &lt; 0, 0,
  IF(COLUMN() - ($E6 + 5) = 0, $F6,
    AH6 * (1 - IFERROR(INDEX('Inputs &amp; Assuptions'!$C$13:$C$72, COLUMN() - ($E6 + 5)), 0))
  )
)</f>
        <v>831.48229002235496</v>
      </c>
      <c r="AJ6" s="63">
        <f t="array" ref="AJ6">IF(COLUMN() - ($E6 + 5) &lt; 0, 0,
  IF(COLUMN() - ($E6 + 5) = 0, $F6,
    AI6 * (1 - IFERROR(INDEX('Inputs &amp; Assuptions'!$C$13:$C$72, COLUMN() - ($E6 + 5)), 0))
  )
)</f>
        <v>827.32487857224316</v>
      </c>
      <c r="AK6" s="63">
        <f t="array" ref="AK6">IF(COLUMN() - ($E6 + 5) &lt; 0, 0,
  IF(COLUMN() - ($E6 + 5) = 0, $F6,
    AJ6 * (1 - IFERROR(INDEX('Inputs &amp; Assuptions'!$C$13:$C$72, COLUMN() - ($E6 + 5)), 0))
  )
)</f>
        <v>823.18825417938194</v>
      </c>
      <c r="AL6" s="63">
        <f t="array" ref="AL6">IF(COLUMN() - ($E6 + 5) &lt; 0, 0,
  IF(COLUMN() - ($E6 + 5) = 0, $F6,
    AK6 * (1 - IFERROR(INDEX('Inputs &amp; Assuptions'!$C$13:$C$72, COLUMN() - ($E6 + 5)), 0))
  )
)</f>
        <v>819.07231290848506</v>
      </c>
      <c r="AM6" s="63">
        <f t="array" ref="AM6">IF(COLUMN() - ($E6 + 5) &lt; 0, 0,
  IF(COLUMN() - ($E6 + 5) = 0, $F6,
    AL6 * (1 - IFERROR(INDEX('Inputs &amp; Assuptions'!$C$13:$C$72, COLUMN() - ($E6 + 5)), 0))
  )
)</f>
        <v>814.97695134394269</v>
      </c>
      <c r="AN6" s="63">
        <f t="array" ref="AN6">IF(COLUMN() - ($E6 + 5) &lt; 0, 0,
  IF(COLUMN() - ($E6 + 5) = 0, $F6,
    AM6 * (1 - IFERROR(INDEX('Inputs &amp; Assuptions'!$C$13:$C$72, COLUMN() - ($E6 + 5)), 0))
  )
)</f>
        <v>810.90206658722298</v>
      </c>
      <c r="AO6" s="63">
        <f t="array" ref="AO6">IF(COLUMN() - ($E6 + 5) &lt; 0, 0,
  IF(COLUMN() - ($E6 + 5) = 0, $F6,
    AN6 * (1 - IFERROR(INDEX('Inputs &amp; Assuptions'!$C$13:$C$72, COLUMN() - ($E6 + 5)), 0))
  )
)</f>
        <v>806.84755625428681</v>
      </c>
      <c r="AP6" s="63">
        <f t="array" ref="AP6">IF(COLUMN() - ($E6 + 5) &lt; 0, 0,
  IF(COLUMN() - ($E6 + 5) = 0, $F6,
    AO6 * (1 - IFERROR(INDEX('Inputs &amp; Assuptions'!$C$13:$C$72, COLUMN() - ($E6 + 5)), 0))
  )
)</f>
        <v>802.81331847301533</v>
      </c>
      <c r="AQ6" s="63">
        <f t="array" ref="AQ6">IF(COLUMN() - ($E6 + 5) &lt; 0, 0,
  IF(COLUMN() - ($E6 + 5) = 0, $F6,
    AP6 * (1 - IFERROR(INDEX('Inputs &amp; Assuptions'!$C$13:$C$72, COLUMN() - ($E6 + 5)), 0))
  )
)</f>
        <v>798.79925188065022</v>
      </c>
      <c r="AR6" s="63">
        <f t="array" ref="AR6">IF(COLUMN() - ($E6 + 5) &lt; 0, 0,
  IF(COLUMN() - ($E6 + 5) = 0, $F6,
    AQ6 * (1 - IFERROR(INDEX('Inputs &amp; Assuptions'!$C$13:$C$72, COLUMN() - ($E6 + 5)), 0))
  )
)</f>
        <v>794.80525562124694</v>
      </c>
      <c r="AS6" s="63">
        <f t="array" ref="AS6">IF(COLUMN() - ($E6 + 5) &lt; 0, 0,
  IF(COLUMN() - ($E6 + 5) = 0, $F6,
    AR6 * (1 - IFERROR(INDEX('Inputs &amp; Assuptions'!$C$13:$C$72, COLUMN() - ($E6 + 5)), 0))
  )
)</f>
        <v>790.83122934314065</v>
      </c>
      <c r="AT6" s="63">
        <f t="array" ref="AT6">IF(COLUMN() - ($E6 + 5) &lt; 0, 0,
  IF(COLUMN() - ($E6 + 5) = 0, $F6,
    AS6 * (1 - IFERROR(INDEX('Inputs &amp; Assuptions'!$C$13:$C$72, COLUMN() - ($E6 + 5)), 0))
  )
)</f>
        <v>786.87707319642493</v>
      </c>
      <c r="AU6" s="63">
        <f t="array" ref="AU6">IF(COLUMN() - ($E6 + 5) &lt; 0, 0,
  IF(COLUMN() - ($E6 + 5) = 0, $F6,
    AT6 * (1 - IFERROR(INDEX('Inputs &amp; Assuptions'!$C$13:$C$72, COLUMN() - ($E6 + 5)), 0))
  )
)</f>
        <v>782.94268783044276</v>
      </c>
      <c r="AV6" s="63">
        <f t="array" ref="AV6">IF(COLUMN() - ($E6 + 5) &lt; 0, 0,
  IF(COLUMN() - ($E6 + 5) = 0, $F6,
    AU6 * (1 - IFERROR(INDEX('Inputs &amp; Assuptions'!$C$13:$C$72, COLUMN() - ($E6 + 5)), 0))
  )
)</f>
        <v>779.02797439129051</v>
      </c>
      <c r="AW6" s="63">
        <f t="array" ref="AW6">IF(COLUMN() - ($E6 + 5) &lt; 0, 0,
  IF(COLUMN() - ($E6 + 5) = 0, $F6,
    AV6 * (1 - IFERROR(INDEX('Inputs &amp; Assuptions'!$C$13:$C$72, COLUMN() - ($E6 + 5)), 0))
  )
)</f>
        <v>775.1328345193341</v>
      </c>
      <c r="AX6" s="63">
        <f t="array" ref="AX6">IF(COLUMN() - ($E6 + 5) &lt; 0, 0,
  IF(COLUMN() - ($E6 + 5) = 0, $F6,
    AW6 * (1 - IFERROR(INDEX('Inputs &amp; Assuptions'!$C$13:$C$72, COLUMN() - ($E6 + 5)), 0))
  )
)</f>
        <v>771.25717034673744</v>
      </c>
      <c r="AY6" s="63">
        <f t="array" ref="AY6">IF(COLUMN() - ($E6 + 5) &lt; 0, 0,
  IF(COLUMN() - ($E6 + 5) = 0, $F6,
    AX6 * (1 - IFERROR(INDEX('Inputs &amp; Assuptions'!$C$13:$C$72, COLUMN() - ($E6 + 5)), 0))
  )
)</f>
        <v>767.40088449500377</v>
      </c>
      <c r="AZ6" s="63">
        <f t="array" ref="AZ6">IF(COLUMN() - ($E6 + 5) &lt; 0, 0,
  IF(COLUMN() - ($E6 + 5) = 0, $F6,
    AY6 * (1 - IFERROR(INDEX('Inputs &amp; Assuptions'!$C$13:$C$72, COLUMN() - ($E6 + 5)), 0))
  )
)</f>
        <v>763.56388007252872</v>
      </c>
      <c r="BA6" s="63">
        <f t="array" ref="BA6">IF(COLUMN() - ($E6 + 5) &lt; 0, 0,
  IF(COLUMN() - ($E6 + 5) = 0, $F6,
    AZ6 * (1 - IFERROR(INDEX('Inputs &amp; Assuptions'!$C$13:$C$72, COLUMN() - ($E6 + 5)), 0))
  )
)</f>
        <v>759.7460606721661</v>
      </c>
      <c r="BB6" s="63">
        <f t="array" ref="BB6">IF(COLUMN() - ($E6 + 5) &lt; 0, 0,
  IF(COLUMN() - ($E6 + 5) = 0, $F6,
    BA6 * (1 - IFERROR(INDEX('Inputs &amp; Assuptions'!$C$13:$C$72, COLUMN() - ($E6 + 5)), 0))
  )
)</f>
        <v>755.9473303688053</v>
      </c>
      <c r="BC6" s="63">
        <f t="array" ref="BC6">IF(COLUMN() - ($E6 + 5) &lt; 0, 0,
  IF(COLUMN() - ($E6 + 5) = 0, $F6,
    BB6 * (1 - IFERROR(INDEX('Inputs &amp; Assuptions'!$C$13:$C$72, COLUMN() - ($E6 + 5)), 0))
  )
)</f>
        <v>752.16759371696128</v>
      </c>
      <c r="BD6" s="63">
        <f t="array" ref="BD6">IF(COLUMN() - ($E6 + 5) &lt; 0, 0,
  IF(COLUMN() - ($E6 + 5) = 0, $F6,
    BC6 * (1 - IFERROR(INDEX('Inputs &amp; Assuptions'!$C$13:$C$72, COLUMN() - ($E6 + 5)), 0))
  )
)</f>
        <v>748.40675574837644</v>
      </c>
      <c r="BE6" s="63">
        <f t="array" ref="BE6">IF(COLUMN() - ($E6 + 5) &lt; 0, 0,
  IF(COLUMN() - ($E6 + 5) = 0, $F6,
    BD6 * (1 - IFERROR(INDEX('Inputs &amp; Assuptions'!$C$13:$C$72, COLUMN() - ($E6 + 5)), 0))
  )
)</f>
        <v>744.66472196963457</v>
      </c>
      <c r="BF6" s="63">
        <f t="array" ref="BF6">IF(COLUMN() - ($E6 + 5) &lt; 0, 0,
  IF(COLUMN() - ($E6 + 5) = 0, $F6,
    BE6 * (1 - IFERROR(INDEX('Inputs &amp; Assuptions'!$C$13:$C$72, COLUMN() - ($E6 + 5)), 0))
  )
)</f>
        <v>740.94139835978638</v>
      </c>
      <c r="BG6" s="63">
        <f t="array" ref="BG6">IF(COLUMN() - ($E6 + 5) &lt; 0, 0,
  IF(COLUMN() - ($E6 + 5) = 0, $F6,
    BF6 * (1 - IFERROR(INDEX('Inputs &amp; Assuptions'!$C$13:$C$72, COLUMN() - ($E6 + 5)), 0))
  )
)</f>
        <v>737.23669136798742</v>
      </c>
      <c r="BH6" s="63">
        <f t="array" ref="BH6">IF(COLUMN() - ($E6 + 5) &lt; 0, 0,
  IF(COLUMN() - ($E6 + 5) = 0, $F6,
    BG6 * (1 - IFERROR(INDEX('Inputs &amp; Assuptions'!$C$13:$C$72, COLUMN() - ($E6 + 5)), 0))
  )
)</f>
        <v>733.55050791114752</v>
      </c>
      <c r="BI6" s="63">
        <f t="array" ref="BI6">IF(COLUMN() - ($E6 + 5) &lt; 0, 0,
  IF(COLUMN() - ($E6 + 5) = 0, $F6,
    BH6 * (1 - IFERROR(INDEX('Inputs &amp; Assuptions'!$C$13:$C$72, COLUMN() - ($E6 + 5)), 0))
  )
)</f>
        <v>729.88275537159177</v>
      </c>
      <c r="BJ6" s="63">
        <f t="array" ref="BJ6">IF(COLUMN() - ($E6 + 5) &lt; 0, 0,
  IF(COLUMN() - ($E6 + 5) = 0, $F6,
    BI6 * (1 - IFERROR(INDEX('Inputs &amp; Assuptions'!$C$13:$C$72, COLUMN() - ($E6 + 5)), 0))
  )
)</f>
        <v>726.23334159473382</v>
      </c>
      <c r="BK6" s="63">
        <f t="array" ref="BK6">IF(COLUMN() - ($E6 + 5) &lt; 0, 0,
  IF(COLUMN() - ($E6 + 5) = 0, $F6,
    BJ6 * (1 - IFERROR(INDEX('Inputs &amp; Assuptions'!$C$13:$C$72, COLUMN() - ($E6 + 5)), 0))
  )
)</f>
        <v>722.60217488676017</v>
      </c>
      <c r="BL6" s="63">
        <f t="array" ref="BL6">IF(COLUMN() - ($E6 + 5) &lt; 0, 0,
  IF(COLUMN() - ($E6 + 5) = 0, $F6,
    BK6 * (1 - IFERROR(INDEX('Inputs &amp; Assuptions'!$C$13:$C$72, COLUMN() - ($E6 + 5)), 0))
  )
)</f>
        <v>718.98916401232634</v>
      </c>
      <c r="BM6" s="64">
        <f t="array" ref="BM6">IF(COLUMN() - ($E6 + 5) &lt; 0, 0,
  IF(COLUMN() - ($E6 + 5) = 0, $F6,
    BL6 * (1 - IFERROR(INDEX('Inputs &amp; Assuptions'!$C$13:$C$72, COLUMN() - ($E6 + 5)), 0))
  )
)</f>
        <v>715.3942181922647</v>
      </c>
      <c r="BN6" s="33"/>
      <c r="BO6" s="30"/>
    </row>
    <row r="7" spans="1:67" x14ac:dyDescent="0.3">
      <c r="A7" s="71">
        <f t="shared" ref="A7:A38" si="2">A6+1</f>
        <v>2</v>
      </c>
      <c r="B7" s="75">
        <f>IF(MOD($A7-1, 12) = 0, $B6 * 1.05, $B6)</f>
        <v>1500</v>
      </c>
      <c r="C7" s="81">
        <f>$B7*(1-'Inputs &amp; Assuptions'!$C$12)</f>
        <v>1170</v>
      </c>
      <c r="E7" s="71">
        <f t="shared" ref="E7:E38" si="3">E6+1</f>
        <v>2</v>
      </c>
      <c r="F7" s="65"/>
      <c r="G7" s="32">
        <f>$C7</f>
        <v>1170</v>
      </c>
      <c r="H7" s="32">
        <f t="array" ref="H7">IF(COLUMN() - ($E7 + 5) &lt; 0, 0,
  IF(COLUMN() - ($E7 + 5) = 0, $F7,
    G7 * (1 - IFERROR(INDEX('Inputs &amp; Assuptions'!$C$13:$C$72, COLUMN() - ($E7 + 5)), 0))
  )
)</f>
        <v>1108.575</v>
      </c>
      <c r="I7" s="32">
        <f t="array" ref="I7">IF(COLUMN() - ($E7 + 5) &lt; 0, 0,
  IF(COLUMN() - ($E7 + 5) = 0, $F7,
    H7 * (1 - IFERROR(INDEX('Inputs &amp; Assuptions'!$C$13:$C$72, COLUMN() - ($E7 + 5)), 0))
  )
)</f>
        <v>1064.232</v>
      </c>
      <c r="J7" s="32">
        <f t="array" ref="J7">IF(COLUMN() - ($E7 + 5) &lt; 0, 0,
  IF(COLUMN() - ($E7 + 5) = 0, $F7,
    I7 * (1 - IFERROR(INDEX('Inputs &amp; Assuptions'!$C$13:$C$72, COLUMN() - ($E7 + 5)), 0))
  )
)</f>
        <v>1034.9656199999999</v>
      </c>
      <c r="K7" s="32">
        <f t="array" ref="K7">IF(COLUMN() - ($E7 + 5) &lt; 0, 0,
  IF(COLUMN() - ($E7 + 5) = 0, $F7,
    J7 * (1 - IFERROR(INDEX('Inputs &amp; Assuptions'!$C$13:$C$72, COLUMN() - ($E7 + 5)), 0))
  )
)</f>
        <v>1009.0914794999999</v>
      </c>
      <c r="L7" s="32">
        <f t="array" ref="L7">IF(COLUMN() - ($E7 + 5) &lt; 0, 0,
  IF(COLUMN() - ($E7 + 5) = 0, $F7,
    K7 * (1 - IFERROR(INDEX('Inputs &amp; Assuptions'!$C$13:$C$72, COLUMN() - ($E7 + 5)), 0))
  )
)</f>
        <v>986.38692121124996</v>
      </c>
      <c r="M7" s="32">
        <f t="array" ref="M7">IF(COLUMN() - ($E7 + 5) &lt; 0, 0,
  IF(COLUMN() - ($E7 + 5) = 0, $F7,
    L7 * (1 - IFERROR(INDEX('Inputs &amp; Assuptions'!$C$13:$C$72, COLUMN() - ($E7 + 5)), 0))
  )
)</f>
        <v>966.65918278702497</v>
      </c>
      <c r="N7" s="32">
        <f t="array" ref="N7">IF(COLUMN() - ($E7 + 5) &lt; 0, 0,
  IF(COLUMN() - ($E7 + 5) = 0, $F7,
    M7 * (1 - IFERROR(INDEX('Inputs &amp; Assuptions'!$C$13:$C$72, COLUMN() - ($E7 + 5)), 0))
  )
)</f>
        <v>949.74264708825206</v>
      </c>
      <c r="O7" s="32">
        <f t="array" ref="O7">IF(COLUMN() - ($E7 + 5) &lt; 0, 0,
  IF(COLUMN() - ($E7 + 5) = 0, $F7,
    N7 * (1 - IFERROR(INDEX('Inputs &amp; Assuptions'!$C$13:$C$72, COLUMN() - ($E7 + 5)), 0))
  )
)</f>
        <v>935.49650738192827</v>
      </c>
      <c r="P7" s="32">
        <f t="array" ref="P7">IF(COLUMN() - ($E7 + 5) &lt; 0, 0,
  IF(COLUMN() - ($E7 + 5) = 0, $F7,
    O7 * (1 - IFERROR(INDEX('Inputs &amp; Assuptions'!$C$13:$C$72, COLUMN() - ($E7 + 5)), 0))
  )
)</f>
        <v>923.80280103965424</v>
      </c>
      <c r="Q7" s="32">
        <f t="array" ref="Q7">IF(COLUMN() - ($E7 + 5) &lt; 0, 0,
  IF(COLUMN() - ($E7 + 5) = 0, $F7,
    P7 * (1 - IFERROR(INDEX('Inputs &amp; Assuptions'!$C$13:$C$72, COLUMN() - ($E7 + 5)), 0))
  )
)</f>
        <v>914.56477302925771</v>
      </c>
      <c r="R7" s="32">
        <f t="array" ref="R7">IF(COLUMN() - ($E7 + 5) &lt; 0, 0,
  IF(COLUMN() - ($E7 + 5) = 0, $F7,
    Q7 * (1 - IFERROR(INDEX('Inputs &amp; Assuptions'!$C$13:$C$72, COLUMN() - ($E7 + 5)), 0))
  )
)</f>
        <v>909.99194916411136</v>
      </c>
      <c r="S7" s="32">
        <f t="array" ref="S7">IF(COLUMN() - ($E7 + 5) &lt; 0, 0,
  IF(COLUMN() - ($E7 + 5) = 0, $F7,
    R7 * (1 - IFERROR(INDEX('Inputs &amp; Assuptions'!$C$13:$C$72, COLUMN() - ($E7 + 5)), 0))
  )
)</f>
        <v>905.44198941829075</v>
      </c>
      <c r="T7" s="32">
        <f t="array" ref="T7">IF(COLUMN() - ($E7 + 5) &lt; 0, 0,
  IF(COLUMN() - ($E7 + 5) = 0, $F7,
    S7 * (1 - IFERROR(INDEX('Inputs &amp; Assuptions'!$C$13:$C$72, COLUMN() - ($E7 + 5)), 0))
  )
)</f>
        <v>900.91477947119927</v>
      </c>
      <c r="U7" s="32">
        <f t="array" ref="U7">IF(COLUMN() - ($E7 + 5) &lt; 0, 0,
  IF(COLUMN() - ($E7 + 5) = 0, $F7,
    T7 * (1 - IFERROR(INDEX('Inputs &amp; Assuptions'!$C$13:$C$72, COLUMN() - ($E7 + 5)), 0))
  )
)</f>
        <v>896.41020557384331</v>
      </c>
      <c r="V7" s="32">
        <f t="array" ref="V7">IF(COLUMN() - ($E7 + 5) &lt; 0, 0,
  IF(COLUMN() - ($E7 + 5) = 0, $F7,
    U7 * (1 - IFERROR(INDEX('Inputs &amp; Assuptions'!$C$13:$C$72, COLUMN() - ($E7 + 5)), 0))
  )
)</f>
        <v>891.92815454597405</v>
      </c>
      <c r="W7" s="32">
        <f t="array" ref="W7">IF(COLUMN() - ($E7 + 5) &lt; 0, 0,
  IF(COLUMN() - ($E7 + 5) = 0, $F7,
    V7 * (1 - IFERROR(INDEX('Inputs &amp; Assuptions'!$C$13:$C$72, COLUMN() - ($E7 + 5)), 0))
  )
)</f>
        <v>887.46851377324413</v>
      </c>
      <c r="X7" s="32">
        <f t="array" ref="X7">IF(COLUMN() - ($E7 + 5) &lt; 0, 0,
  IF(COLUMN() - ($E7 + 5) = 0, $F7,
    W7 * (1 - IFERROR(INDEX('Inputs &amp; Assuptions'!$C$13:$C$72, COLUMN() - ($E7 + 5)), 0))
  )
)</f>
        <v>883.03117120437787</v>
      </c>
      <c r="Y7" s="32">
        <f t="array" ref="Y7">IF(COLUMN() - ($E7 + 5) &lt; 0, 0,
  IF(COLUMN() - ($E7 + 5) = 0, $F7,
    X7 * (1 - IFERROR(INDEX('Inputs &amp; Assuptions'!$C$13:$C$72, COLUMN() - ($E7 + 5)), 0))
  )
)</f>
        <v>878.61601534835597</v>
      </c>
      <c r="Z7" s="32">
        <f t="array" ref="Z7">IF(COLUMN() - ($E7 + 5) &lt; 0, 0,
  IF(COLUMN() - ($E7 + 5) = 0, $F7,
    Y7 * (1 - IFERROR(INDEX('Inputs &amp; Assuptions'!$C$13:$C$72, COLUMN() - ($E7 + 5)), 0))
  )
)</f>
        <v>874.22293527161423</v>
      </c>
      <c r="AA7" s="32">
        <f t="array" ref="AA7">IF(COLUMN() - ($E7 + 5) &lt; 0, 0,
  IF(COLUMN() - ($E7 + 5) = 0, $F7,
    Z7 * (1 - IFERROR(INDEX('Inputs &amp; Assuptions'!$C$13:$C$72, COLUMN() - ($E7 + 5)), 0))
  )
)</f>
        <v>869.85182059525619</v>
      </c>
      <c r="AB7" s="32">
        <f t="array" ref="AB7">IF(COLUMN() - ($E7 + 5) &lt; 0, 0,
  IF(COLUMN() - ($E7 + 5) = 0, $F7,
    AA7 * (1 - IFERROR(INDEX('Inputs &amp; Assuptions'!$C$13:$C$72, COLUMN() - ($E7 + 5)), 0))
  )
)</f>
        <v>865.50256149227994</v>
      </c>
      <c r="AC7" s="32">
        <f t="array" ref="AC7">IF(COLUMN() - ($E7 + 5) &lt; 0, 0,
  IF(COLUMN() - ($E7 + 5) = 0, $F7,
    AB7 * (1 - IFERROR(INDEX('Inputs &amp; Assuptions'!$C$13:$C$72, COLUMN() - ($E7 + 5)), 0))
  )
)</f>
        <v>861.17504868481853</v>
      </c>
      <c r="AD7" s="32">
        <f t="array" ref="AD7">IF(COLUMN() - ($E7 + 5) &lt; 0, 0,
  IF(COLUMN() - ($E7 + 5) = 0, $F7,
    AC7 * (1 - IFERROR(INDEX('Inputs &amp; Assuptions'!$C$13:$C$72, COLUMN() - ($E7 + 5)), 0))
  )
)</f>
        <v>856.86917344139442</v>
      </c>
      <c r="AE7" s="32">
        <f t="array" ref="AE7">IF(COLUMN() - ($E7 + 5) &lt; 0, 0,
  IF(COLUMN() - ($E7 + 5) = 0, $F7,
    AD7 * (1 - IFERROR(INDEX('Inputs &amp; Assuptions'!$C$13:$C$72, COLUMN() - ($E7 + 5)), 0))
  )
)</f>
        <v>852.58482757418744</v>
      </c>
      <c r="AF7" s="32">
        <f t="array" ref="AF7">IF(COLUMN() - ($E7 + 5) &lt; 0, 0,
  IF(COLUMN() - ($E7 + 5) = 0, $F7,
    AE7 * (1 - IFERROR(INDEX('Inputs &amp; Assuptions'!$C$13:$C$72, COLUMN() - ($E7 + 5)), 0))
  )
)</f>
        <v>848.32190343631646</v>
      </c>
      <c r="AG7" s="32">
        <f t="array" ref="AG7">IF(COLUMN() - ($E7 + 5) &lt; 0, 0,
  IF(COLUMN() - ($E7 + 5) = 0, $F7,
    AF7 * (1 - IFERROR(INDEX('Inputs &amp; Assuptions'!$C$13:$C$72, COLUMN() - ($E7 + 5)), 0))
  )
)</f>
        <v>844.08029391913487</v>
      </c>
      <c r="AH7" s="32">
        <f t="array" ref="AH7">IF(COLUMN() - ($E7 + 5) &lt; 0, 0,
  IF(COLUMN() - ($E7 + 5) = 0, $F7,
    AG7 * (1 - IFERROR(INDEX('Inputs &amp; Assuptions'!$C$13:$C$72, COLUMN() - ($E7 + 5)), 0))
  )
)</f>
        <v>839.85989244953919</v>
      </c>
      <c r="AI7" s="32">
        <f t="array" ref="AI7">IF(COLUMN() - ($E7 + 5) &lt; 0, 0,
  IF(COLUMN() - ($E7 + 5) = 0, $F7,
    AH7 * (1 - IFERROR(INDEX('Inputs &amp; Assuptions'!$C$13:$C$72, COLUMN() - ($E7 + 5)), 0))
  )
)</f>
        <v>835.66059298729147</v>
      </c>
      <c r="AJ7" s="32">
        <f t="array" ref="AJ7">IF(COLUMN() - ($E7 + 5) &lt; 0, 0,
  IF(COLUMN() - ($E7 + 5) = 0, $F7,
    AI7 * (1 - IFERROR(INDEX('Inputs &amp; Assuptions'!$C$13:$C$72, COLUMN() - ($E7 + 5)), 0))
  )
)</f>
        <v>831.48229002235496</v>
      </c>
      <c r="AK7" s="32">
        <f t="array" ref="AK7">IF(COLUMN() - ($E7 + 5) &lt; 0, 0,
  IF(COLUMN() - ($E7 + 5) = 0, $F7,
    AJ7 * (1 - IFERROR(INDEX('Inputs &amp; Assuptions'!$C$13:$C$72, COLUMN() - ($E7 + 5)), 0))
  )
)</f>
        <v>827.32487857224316</v>
      </c>
      <c r="AL7" s="32">
        <f t="array" ref="AL7">IF(COLUMN() - ($E7 + 5) &lt; 0, 0,
  IF(COLUMN() - ($E7 + 5) = 0, $F7,
    AK7 * (1 - IFERROR(INDEX('Inputs &amp; Assuptions'!$C$13:$C$72, COLUMN() - ($E7 + 5)), 0))
  )
)</f>
        <v>823.18825417938194</v>
      </c>
      <c r="AM7" s="32">
        <f t="array" ref="AM7">IF(COLUMN() - ($E7 + 5) &lt; 0, 0,
  IF(COLUMN() - ($E7 + 5) = 0, $F7,
    AL7 * (1 - IFERROR(INDEX('Inputs &amp; Assuptions'!$C$13:$C$72, COLUMN() - ($E7 + 5)), 0))
  )
)</f>
        <v>819.07231290848506</v>
      </c>
      <c r="AN7" s="32">
        <f t="array" ref="AN7">IF(COLUMN() - ($E7 + 5) &lt; 0, 0,
  IF(COLUMN() - ($E7 + 5) = 0, $F7,
    AM7 * (1 - IFERROR(INDEX('Inputs &amp; Assuptions'!$C$13:$C$72, COLUMN() - ($E7 + 5)), 0))
  )
)</f>
        <v>814.97695134394269</v>
      </c>
      <c r="AO7" s="32">
        <f t="array" ref="AO7">IF(COLUMN() - ($E7 + 5) &lt; 0, 0,
  IF(COLUMN() - ($E7 + 5) = 0, $F7,
    AN7 * (1 - IFERROR(INDEX('Inputs &amp; Assuptions'!$C$13:$C$72, COLUMN() - ($E7 + 5)), 0))
  )
)</f>
        <v>810.90206658722298</v>
      </c>
      <c r="AP7" s="32">
        <f t="array" ref="AP7">IF(COLUMN() - ($E7 + 5) &lt; 0, 0,
  IF(COLUMN() - ($E7 + 5) = 0, $F7,
    AO7 * (1 - IFERROR(INDEX('Inputs &amp; Assuptions'!$C$13:$C$72, COLUMN() - ($E7 + 5)), 0))
  )
)</f>
        <v>806.84755625428681</v>
      </c>
      <c r="AQ7" s="32">
        <f t="array" ref="AQ7">IF(COLUMN() - ($E7 + 5) &lt; 0, 0,
  IF(COLUMN() - ($E7 + 5) = 0, $F7,
    AP7 * (1 - IFERROR(INDEX('Inputs &amp; Assuptions'!$C$13:$C$72, COLUMN() - ($E7 + 5)), 0))
  )
)</f>
        <v>802.81331847301533</v>
      </c>
      <c r="AR7" s="32">
        <f t="array" ref="AR7">IF(COLUMN() - ($E7 + 5) &lt; 0, 0,
  IF(COLUMN() - ($E7 + 5) = 0, $F7,
    AQ7 * (1 - IFERROR(INDEX('Inputs &amp; Assuptions'!$C$13:$C$72, COLUMN() - ($E7 + 5)), 0))
  )
)</f>
        <v>798.79925188065022</v>
      </c>
      <c r="AS7" s="32">
        <f t="array" ref="AS7">IF(COLUMN() - ($E7 + 5) &lt; 0, 0,
  IF(COLUMN() - ($E7 + 5) = 0, $F7,
    AR7 * (1 - IFERROR(INDEX('Inputs &amp; Assuptions'!$C$13:$C$72, COLUMN() - ($E7 + 5)), 0))
  )
)</f>
        <v>794.80525562124694</v>
      </c>
      <c r="AT7" s="32">
        <f t="array" ref="AT7">IF(COLUMN() - ($E7 + 5) &lt; 0, 0,
  IF(COLUMN() - ($E7 + 5) = 0, $F7,
    AS7 * (1 - IFERROR(INDEX('Inputs &amp; Assuptions'!$C$13:$C$72, COLUMN() - ($E7 + 5)), 0))
  )
)</f>
        <v>790.83122934314065</v>
      </c>
      <c r="AU7" s="32">
        <f t="array" ref="AU7">IF(COLUMN() - ($E7 + 5) &lt; 0, 0,
  IF(COLUMN() - ($E7 + 5) = 0, $F7,
    AT7 * (1 - IFERROR(INDEX('Inputs &amp; Assuptions'!$C$13:$C$72, COLUMN() - ($E7 + 5)), 0))
  )
)</f>
        <v>786.87707319642493</v>
      </c>
      <c r="AV7" s="32">
        <f t="array" ref="AV7">IF(COLUMN() - ($E7 + 5) &lt; 0, 0,
  IF(COLUMN() - ($E7 + 5) = 0, $F7,
    AU7 * (1 - IFERROR(INDEX('Inputs &amp; Assuptions'!$C$13:$C$72, COLUMN() - ($E7 + 5)), 0))
  )
)</f>
        <v>782.94268783044276</v>
      </c>
      <c r="AW7" s="32">
        <f t="array" ref="AW7">IF(COLUMN() - ($E7 + 5) &lt; 0, 0,
  IF(COLUMN() - ($E7 + 5) = 0, $F7,
    AV7 * (1 - IFERROR(INDEX('Inputs &amp; Assuptions'!$C$13:$C$72, COLUMN() - ($E7 + 5)), 0))
  )
)</f>
        <v>779.02797439129051</v>
      </c>
      <c r="AX7" s="32">
        <f t="array" ref="AX7">IF(COLUMN() - ($E7 + 5) &lt; 0, 0,
  IF(COLUMN() - ($E7 + 5) = 0, $F7,
    AW7 * (1 - IFERROR(INDEX('Inputs &amp; Assuptions'!$C$13:$C$72, COLUMN() - ($E7 + 5)), 0))
  )
)</f>
        <v>775.1328345193341</v>
      </c>
      <c r="AY7" s="32">
        <f t="array" ref="AY7">IF(COLUMN() - ($E7 + 5) &lt; 0, 0,
  IF(COLUMN() - ($E7 + 5) = 0, $F7,
    AX7 * (1 - IFERROR(INDEX('Inputs &amp; Assuptions'!$C$13:$C$72, COLUMN() - ($E7 + 5)), 0))
  )
)</f>
        <v>771.25717034673744</v>
      </c>
      <c r="AZ7" s="32">
        <f t="array" ref="AZ7">IF(COLUMN() - ($E7 + 5) &lt; 0, 0,
  IF(COLUMN() - ($E7 + 5) = 0, $F7,
    AY7 * (1 - IFERROR(INDEX('Inputs &amp; Assuptions'!$C$13:$C$72, COLUMN() - ($E7 + 5)), 0))
  )
)</f>
        <v>767.40088449500377</v>
      </c>
      <c r="BA7" s="32">
        <f t="array" ref="BA7">IF(COLUMN() - ($E7 + 5) &lt; 0, 0,
  IF(COLUMN() - ($E7 + 5) = 0, $F7,
    AZ7 * (1 - IFERROR(INDEX('Inputs &amp; Assuptions'!$C$13:$C$72, COLUMN() - ($E7 + 5)), 0))
  )
)</f>
        <v>763.56388007252872</v>
      </c>
      <c r="BB7" s="32">
        <f t="array" ref="BB7">IF(COLUMN() - ($E7 + 5) &lt; 0, 0,
  IF(COLUMN() - ($E7 + 5) = 0, $F7,
    BA7 * (1 - IFERROR(INDEX('Inputs &amp; Assuptions'!$C$13:$C$72, COLUMN() - ($E7 + 5)), 0))
  )
)</f>
        <v>759.7460606721661</v>
      </c>
      <c r="BC7" s="32">
        <f t="array" ref="BC7">IF(COLUMN() - ($E7 + 5) &lt; 0, 0,
  IF(COLUMN() - ($E7 + 5) = 0, $F7,
    BB7 * (1 - IFERROR(INDEX('Inputs &amp; Assuptions'!$C$13:$C$72, COLUMN() - ($E7 + 5)), 0))
  )
)</f>
        <v>755.9473303688053</v>
      </c>
      <c r="BD7" s="32">
        <f t="array" ref="BD7">IF(COLUMN() - ($E7 + 5) &lt; 0, 0,
  IF(COLUMN() - ($E7 + 5) = 0, $F7,
    BC7 * (1 - IFERROR(INDEX('Inputs &amp; Assuptions'!$C$13:$C$72, COLUMN() - ($E7 + 5)), 0))
  )
)</f>
        <v>752.16759371696128</v>
      </c>
      <c r="BE7" s="32">
        <f t="array" ref="BE7">IF(COLUMN() - ($E7 + 5) &lt; 0, 0,
  IF(COLUMN() - ($E7 + 5) = 0, $F7,
    BD7 * (1 - IFERROR(INDEX('Inputs &amp; Assuptions'!$C$13:$C$72, COLUMN() - ($E7 + 5)), 0))
  )
)</f>
        <v>748.40675574837644</v>
      </c>
      <c r="BF7" s="32">
        <f t="array" ref="BF7">IF(COLUMN() - ($E7 + 5) &lt; 0, 0,
  IF(COLUMN() - ($E7 + 5) = 0, $F7,
    BE7 * (1 - IFERROR(INDEX('Inputs &amp; Assuptions'!$C$13:$C$72, COLUMN() - ($E7 + 5)), 0))
  )
)</f>
        <v>744.66472196963457</v>
      </c>
      <c r="BG7" s="32">
        <f t="array" ref="BG7">IF(COLUMN() - ($E7 + 5) &lt; 0, 0,
  IF(COLUMN() - ($E7 + 5) = 0, $F7,
    BF7 * (1 - IFERROR(INDEX('Inputs &amp; Assuptions'!$C$13:$C$72, COLUMN() - ($E7 + 5)), 0))
  )
)</f>
        <v>740.94139835978638</v>
      </c>
      <c r="BH7" s="32">
        <f t="array" ref="BH7">IF(COLUMN() - ($E7 + 5) &lt; 0, 0,
  IF(COLUMN() - ($E7 + 5) = 0, $F7,
    BG7 * (1 - IFERROR(INDEX('Inputs &amp; Assuptions'!$C$13:$C$72, COLUMN() - ($E7 + 5)), 0))
  )
)</f>
        <v>737.23669136798742</v>
      </c>
      <c r="BI7" s="32">
        <f t="array" ref="BI7">IF(COLUMN() - ($E7 + 5) &lt; 0, 0,
  IF(COLUMN() - ($E7 + 5) = 0, $F7,
    BH7 * (1 - IFERROR(INDEX('Inputs &amp; Assuptions'!$C$13:$C$72, COLUMN() - ($E7 + 5)), 0))
  )
)</f>
        <v>733.55050791114752</v>
      </c>
      <c r="BJ7" s="32">
        <f t="array" ref="BJ7">IF(COLUMN() - ($E7 + 5) &lt; 0, 0,
  IF(COLUMN() - ($E7 + 5) = 0, $F7,
    BI7 * (1 - IFERROR(INDEX('Inputs &amp; Assuptions'!$C$13:$C$72, COLUMN() - ($E7 + 5)), 0))
  )
)</f>
        <v>729.88275537159177</v>
      </c>
      <c r="BK7" s="32">
        <f t="array" ref="BK7">IF(COLUMN() - ($E7 + 5) &lt; 0, 0,
  IF(COLUMN() - ($E7 + 5) = 0, $F7,
    BJ7 * (1 - IFERROR(INDEX('Inputs &amp; Assuptions'!$C$13:$C$72, COLUMN() - ($E7 + 5)), 0))
  )
)</f>
        <v>726.23334159473382</v>
      </c>
      <c r="BL7" s="32">
        <f t="array" ref="BL7">IF(COLUMN() - ($E7 + 5) &lt; 0, 0,
  IF(COLUMN() - ($E7 + 5) = 0, $F7,
    BK7 * (1 - IFERROR(INDEX('Inputs &amp; Assuptions'!$C$13:$C$72, COLUMN() - ($E7 + 5)), 0))
  )
)</f>
        <v>722.60217488676017</v>
      </c>
      <c r="BM7" s="66">
        <f t="array" ref="BM7">IF(COLUMN() - ($E7 + 5) &lt; 0, 0,
  IF(COLUMN() - ($E7 + 5) = 0, $F7,
    BL7 * (1 - IFERROR(INDEX('Inputs &amp; Assuptions'!$C$13:$C$72, COLUMN() - ($E7 + 5)), 0))
  )
)</f>
        <v>718.98916401232634</v>
      </c>
      <c r="BN7" s="33"/>
    </row>
    <row r="8" spans="1:67" x14ac:dyDescent="0.3">
      <c r="A8" s="71">
        <f t="shared" si="2"/>
        <v>3</v>
      </c>
      <c r="B8" s="75">
        <f t="shared" ref="B8:B65" si="4">IF(MOD($A8-1, 12) = 0, $B7 * 1.05, $B7)</f>
        <v>1500</v>
      </c>
      <c r="C8" s="81">
        <f>$B8*(1-'Inputs &amp; Assuptions'!$C$12)</f>
        <v>1170</v>
      </c>
      <c r="E8" s="71">
        <f t="shared" si="3"/>
        <v>3</v>
      </c>
      <c r="F8" s="65"/>
      <c r="G8" s="32"/>
      <c r="H8" s="32">
        <f>$C8</f>
        <v>1170</v>
      </c>
      <c r="I8" s="32">
        <f t="array" ref="I8">IF(COLUMN() - ($E8 + 5) &lt; 0, 0,
  IF(COLUMN() - ($E8 + 5) = 0, $F8,
    H8 * (1 - IFERROR(INDEX('Inputs &amp; Assuptions'!$C$13:$C$72, COLUMN() - ($E8 + 5)), 0))
  )
)</f>
        <v>1108.575</v>
      </c>
      <c r="J8" s="32">
        <f t="array" ref="J8">IF(COLUMN() - ($E8 + 5) &lt; 0, 0,
  IF(COLUMN() - ($E8 + 5) = 0, $F8,
    I8 * (1 - IFERROR(INDEX('Inputs &amp; Assuptions'!$C$13:$C$72, COLUMN() - ($E8 + 5)), 0))
  )
)</f>
        <v>1064.232</v>
      </c>
      <c r="K8" s="32">
        <f t="array" ref="K8">IF(COLUMN() - ($E8 + 5) &lt; 0, 0,
  IF(COLUMN() - ($E8 + 5) = 0, $F8,
    J8 * (1 - IFERROR(INDEX('Inputs &amp; Assuptions'!$C$13:$C$72, COLUMN() - ($E8 + 5)), 0))
  )
)</f>
        <v>1034.9656199999999</v>
      </c>
      <c r="L8" s="32">
        <f t="array" ref="L8">IF(COLUMN() - ($E8 + 5) &lt; 0, 0,
  IF(COLUMN() - ($E8 + 5) = 0, $F8,
    K8 * (1 - IFERROR(INDEX('Inputs &amp; Assuptions'!$C$13:$C$72, COLUMN() - ($E8 + 5)), 0))
  )
)</f>
        <v>1009.0914794999999</v>
      </c>
      <c r="M8" s="32">
        <f t="array" ref="M8">IF(COLUMN() - ($E8 + 5) &lt; 0, 0,
  IF(COLUMN() - ($E8 + 5) = 0, $F8,
    L8 * (1 - IFERROR(INDEX('Inputs &amp; Assuptions'!$C$13:$C$72, COLUMN() - ($E8 + 5)), 0))
  )
)</f>
        <v>986.38692121124996</v>
      </c>
      <c r="N8" s="32">
        <f t="array" ref="N8">IF(COLUMN() - ($E8 + 5) &lt; 0, 0,
  IF(COLUMN() - ($E8 + 5) = 0, $F8,
    M8 * (1 - IFERROR(INDEX('Inputs &amp; Assuptions'!$C$13:$C$72, COLUMN() - ($E8 + 5)), 0))
  )
)</f>
        <v>966.65918278702497</v>
      </c>
      <c r="O8" s="32">
        <f t="array" ref="O8">IF(COLUMN() - ($E8 + 5) &lt; 0, 0,
  IF(COLUMN() - ($E8 + 5) = 0, $F8,
    N8 * (1 - IFERROR(INDEX('Inputs &amp; Assuptions'!$C$13:$C$72, COLUMN() - ($E8 + 5)), 0))
  )
)</f>
        <v>949.74264708825206</v>
      </c>
      <c r="P8" s="32">
        <f t="array" ref="P8">IF(COLUMN() - ($E8 + 5) &lt; 0, 0,
  IF(COLUMN() - ($E8 + 5) = 0, $F8,
    O8 * (1 - IFERROR(INDEX('Inputs &amp; Assuptions'!$C$13:$C$72, COLUMN() - ($E8 + 5)), 0))
  )
)</f>
        <v>935.49650738192827</v>
      </c>
      <c r="Q8" s="32">
        <f t="array" ref="Q8">IF(COLUMN() - ($E8 + 5) &lt; 0, 0,
  IF(COLUMN() - ($E8 + 5) = 0, $F8,
    P8 * (1 - IFERROR(INDEX('Inputs &amp; Assuptions'!$C$13:$C$72, COLUMN() - ($E8 + 5)), 0))
  )
)</f>
        <v>923.80280103965424</v>
      </c>
      <c r="R8" s="32">
        <f t="array" ref="R8">IF(COLUMN() - ($E8 + 5) &lt; 0, 0,
  IF(COLUMN() - ($E8 + 5) = 0, $F8,
    Q8 * (1 - IFERROR(INDEX('Inputs &amp; Assuptions'!$C$13:$C$72, COLUMN() - ($E8 + 5)), 0))
  )
)</f>
        <v>914.56477302925771</v>
      </c>
      <c r="S8" s="32">
        <f t="array" ref="S8">IF(COLUMN() - ($E8 + 5) &lt; 0, 0,
  IF(COLUMN() - ($E8 + 5) = 0, $F8,
    R8 * (1 - IFERROR(INDEX('Inputs &amp; Assuptions'!$C$13:$C$72, COLUMN() - ($E8 + 5)), 0))
  )
)</f>
        <v>909.99194916411136</v>
      </c>
      <c r="T8" s="32">
        <f t="array" ref="T8">IF(COLUMN() - ($E8 + 5) &lt; 0, 0,
  IF(COLUMN() - ($E8 + 5) = 0, $F8,
    S8 * (1 - IFERROR(INDEX('Inputs &amp; Assuptions'!$C$13:$C$72, COLUMN() - ($E8 + 5)), 0))
  )
)</f>
        <v>905.44198941829075</v>
      </c>
      <c r="U8" s="32">
        <f t="array" ref="U8">IF(COLUMN() - ($E8 + 5) &lt; 0, 0,
  IF(COLUMN() - ($E8 + 5) = 0, $F8,
    T8 * (1 - IFERROR(INDEX('Inputs &amp; Assuptions'!$C$13:$C$72, COLUMN() - ($E8 + 5)), 0))
  )
)</f>
        <v>900.91477947119927</v>
      </c>
      <c r="V8" s="32">
        <f t="array" ref="V8">IF(COLUMN() - ($E8 + 5) &lt; 0, 0,
  IF(COLUMN() - ($E8 + 5) = 0, $F8,
    U8 * (1 - IFERROR(INDEX('Inputs &amp; Assuptions'!$C$13:$C$72, COLUMN() - ($E8 + 5)), 0))
  )
)</f>
        <v>896.41020557384331</v>
      </c>
      <c r="W8" s="32">
        <f t="array" ref="W8">IF(COLUMN() - ($E8 + 5) &lt; 0, 0,
  IF(COLUMN() - ($E8 + 5) = 0, $F8,
    V8 * (1 - IFERROR(INDEX('Inputs &amp; Assuptions'!$C$13:$C$72, COLUMN() - ($E8 + 5)), 0))
  )
)</f>
        <v>891.92815454597405</v>
      </c>
      <c r="X8" s="32">
        <f t="array" ref="X8">IF(COLUMN() - ($E8 + 5) &lt; 0, 0,
  IF(COLUMN() - ($E8 + 5) = 0, $F8,
    W8 * (1 - IFERROR(INDEX('Inputs &amp; Assuptions'!$C$13:$C$72, COLUMN() - ($E8 + 5)), 0))
  )
)</f>
        <v>887.46851377324413</v>
      </c>
      <c r="Y8" s="32">
        <f t="array" ref="Y8">IF(COLUMN() - ($E8 + 5) &lt; 0, 0,
  IF(COLUMN() - ($E8 + 5) = 0, $F8,
    X8 * (1 - IFERROR(INDEX('Inputs &amp; Assuptions'!$C$13:$C$72, COLUMN() - ($E8 + 5)), 0))
  )
)</f>
        <v>883.03117120437787</v>
      </c>
      <c r="Z8" s="32">
        <f t="array" ref="Z8">IF(COLUMN() - ($E8 + 5) &lt; 0, 0,
  IF(COLUMN() - ($E8 + 5) = 0, $F8,
    Y8 * (1 - IFERROR(INDEX('Inputs &amp; Assuptions'!$C$13:$C$72, COLUMN() - ($E8 + 5)), 0))
  )
)</f>
        <v>878.61601534835597</v>
      </c>
      <c r="AA8" s="32">
        <f t="array" ref="AA8">IF(COLUMN() - ($E8 + 5) &lt; 0, 0,
  IF(COLUMN() - ($E8 + 5) = 0, $F8,
    Z8 * (1 - IFERROR(INDEX('Inputs &amp; Assuptions'!$C$13:$C$72, COLUMN() - ($E8 + 5)), 0))
  )
)</f>
        <v>874.22293527161423</v>
      </c>
      <c r="AB8" s="32">
        <f t="array" ref="AB8">IF(COLUMN() - ($E8 + 5) &lt; 0, 0,
  IF(COLUMN() - ($E8 + 5) = 0, $F8,
    AA8 * (1 - IFERROR(INDEX('Inputs &amp; Assuptions'!$C$13:$C$72, COLUMN() - ($E8 + 5)), 0))
  )
)</f>
        <v>869.85182059525619</v>
      </c>
      <c r="AC8" s="32">
        <f t="array" ref="AC8">IF(COLUMN() - ($E8 + 5) &lt; 0, 0,
  IF(COLUMN() - ($E8 + 5) = 0, $F8,
    AB8 * (1 - IFERROR(INDEX('Inputs &amp; Assuptions'!$C$13:$C$72, COLUMN() - ($E8 + 5)), 0))
  )
)</f>
        <v>865.50256149227994</v>
      </c>
      <c r="AD8" s="32">
        <f t="array" ref="AD8">IF(COLUMN() - ($E8 + 5) &lt; 0, 0,
  IF(COLUMN() - ($E8 + 5) = 0, $F8,
    AC8 * (1 - IFERROR(INDEX('Inputs &amp; Assuptions'!$C$13:$C$72, COLUMN() - ($E8 + 5)), 0))
  )
)</f>
        <v>861.17504868481853</v>
      </c>
      <c r="AE8" s="32">
        <f t="array" ref="AE8">IF(COLUMN() - ($E8 + 5) &lt; 0, 0,
  IF(COLUMN() - ($E8 + 5) = 0, $F8,
    AD8 * (1 - IFERROR(INDEX('Inputs &amp; Assuptions'!$C$13:$C$72, COLUMN() - ($E8 + 5)), 0))
  )
)</f>
        <v>856.86917344139442</v>
      </c>
      <c r="AF8" s="32">
        <f t="array" ref="AF8">IF(COLUMN() - ($E8 + 5) &lt; 0, 0,
  IF(COLUMN() - ($E8 + 5) = 0, $F8,
    AE8 * (1 - IFERROR(INDEX('Inputs &amp; Assuptions'!$C$13:$C$72, COLUMN() - ($E8 + 5)), 0))
  )
)</f>
        <v>852.58482757418744</v>
      </c>
      <c r="AG8" s="32">
        <f t="array" ref="AG8">IF(COLUMN() - ($E8 + 5) &lt; 0, 0,
  IF(COLUMN() - ($E8 + 5) = 0, $F8,
    AF8 * (1 - IFERROR(INDEX('Inputs &amp; Assuptions'!$C$13:$C$72, COLUMN() - ($E8 + 5)), 0))
  )
)</f>
        <v>848.32190343631646</v>
      </c>
      <c r="AH8" s="32">
        <f t="array" ref="AH8">IF(COLUMN() - ($E8 + 5) &lt; 0, 0,
  IF(COLUMN() - ($E8 + 5) = 0, $F8,
    AG8 * (1 - IFERROR(INDEX('Inputs &amp; Assuptions'!$C$13:$C$72, COLUMN() - ($E8 + 5)), 0))
  )
)</f>
        <v>844.08029391913487</v>
      </c>
      <c r="AI8" s="32">
        <f t="array" ref="AI8">IF(COLUMN() - ($E8 + 5) &lt; 0, 0,
  IF(COLUMN() - ($E8 + 5) = 0, $F8,
    AH8 * (1 - IFERROR(INDEX('Inputs &amp; Assuptions'!$C$13:$C$72, COLUMN() - ($E8 + 5)), 0))
  )
)</f>
        <v>839.85989244953919</v>
      </c>
      <c r="AJ8" s="32">
        <f t="array" ref="AJ8">IF(COLUMN() - ($E8 + 5) &lt; 0, 0,
  IF(COLUMN() - ($E8 + 5) = 0, $F8,
    AI8 * (1 - IFERROR(INDEX('Inputs &amp; Assuptions'!$C$13:$C$72, COLUMN() - ($E8 + 5)), 0))
  )
)</f>
        <v>835.66059298729147</v>
      </c>
      <c r="AK8" s="32">
        <f t="array" ref="AK8">IF(COLUMN() - ($E8 + 5) &lt; 0, 0,
  IF(COLUMN() - ($E8 + 5) = 0, $F8,
    AJ8 * (1 - IFERROR(INDEX('Inputs &amp; Assuptions'!$C$13:$C$72, COLUMN() - ($E8 + 5)), 0))
  )
)</f>
        <v>831.48229002235496</v>
      </c>
      <c r="AL8" s="32">
        <f t="array" ref="AL8">IF(COLUMN() - ($E8 + 5) &lt; 0, 0,
  IF(COLUMN() - ($E8 + 5) = 0, $F8,
    AK8 * (1 - IFERROR(INDEX('Inputs &amp; Assuptions'!$C$13:$C$72, COLUMN() - ($E8 + 5)), 0))
  )
)</f>
        <v>827.32487857224316</v>
      </c>
      <c r="AM8" s="32">
        <f t="array" ref="AM8">IF(COLUMN() - ($E8 + 5) &lt; 0, 0,
  IF(COLUMN() - ($E8 + 5) = 0, $F8,
    AL8 * (1 - IFERROR(INDEX('Inputs &amp; Assuptions'!$C$13:$C$72, COLUMN() - ($E8 + 5)), 0))
  )
)</f>
        <v>823.18825417938194</v>
      </c>
      <c r="AN8" s="32">
        <f t="array" ref="AN8">IF(COLUMN() - ($E8 + 5) &lt; 0, 0,
  IF(COLUMN() - ($E8 + 5) = 0, $F8,
    AM8 * (1 - IFERROR(INDEX('Inputs &amp; Assuptions'!$C$13:$C$72, COLUMN() - ($E8 + 5)), 0))
  )
)</f>
        <v>819.07231290848506</v>
      </c>
      <c r="AO8" s="32">
        <f t="array" ref="AO8">IF(COLUMN() - ($E8 + 5) &lt; 0, 0,
  IF(COLUMN() - ($E8 + 5) = 0, $F8,
    AN8 * (1 - IFERROR(INDEX('Inputs &amp; Assuptions'!$C$13:$C$72, COLUMN() - ($E8 + 5)), 0))
  )
)</f>
        <v>814.97695134394269</v>
      </c>
      <c r="AP8" s="32">
        <f t="array" ref="AP8">IF(COLUMN() - ($E8 + 5) &lt; 0, 0,
  IF(COLUMN() - ($E8 + 5) = 0, $F8,
    AO8 * (1 - IFERROR(INDEX('Inputs &amp; Assuptions'!$C$13:$C$72, COLUMN() - ($E8 + 5)), 0))
  )
)</f>
        <v>810.90206658722298</v>
      </c>
      <c r="AQ8" s="32">
        <f t="array" ref="AQ8">IF(COLUMN() - ($E8 + 5) &lt; 0, 0,
  IF(COLUMN() - ($E8 + 5) = 0, $F8,
    AP8 * (1 - IFERROR(INDEX('Inputs &amp; Assuptions'!$C$13:$C$72, COLUMN() - ($E8 + 5)), 0))
  )
)</f>
        <v>806.84755625428681</v>
      </c>
      <c r="AR8" s="32">
        <f t="array" ref="AR8">IF(COLUMN() - ($E8 + 5) &lt; 0, 0,
  IF(COLUMN() - ($E8 + 5) = 0, $F8,
    AQ8 * (1 - IFERROR(INDEX('Inputs &amp; Assuptions'!$C$13:$C$72, COLUMN() - ($E8 + 5)), 0))
  )
)</f>
        <v>802.81331847301533</v>
      </c>
      <c r="AS8" s="32">
        <f t="array" ref="AS8">IF(COLUMN() - ($E8 + 5) &lt; 0, 0,
  IF(COLUMN() - ($E8 + 5) = 0, $F8,
    AR8 * (1 - IFERROR(INDEX('Inputs &amp; Assuptions'!$C$13:$C$72, COLUMN() - ($E8 + 5)), 0))
  )
)</f>
        <v>798.79925188065022</v>
      </c>
      <c r="AT8" s="32">
        <f t="array" ref="AT8">IF(COLUMN() - ($E8 + 5) &lt; 0, 0,
  IF(COLUMN() - ($E8 + 5) = 0, $F8,
    AS8 * (1 - IFERROR(INDEX('Inputs &amp; Assuptions'!$C$13:$C$72, COLUMN() - ($E8 + 5)), 0))
  )
)</f>
        <v>794.80525562124694</v>
      </c>
      <c r="AU8" s="32">
        <f t="array" ref="AU8">IF(COLUMN() - ($E8 + 5) &lt; 0, 0,
  IF(COLUMN() - ($E8 + 5) = 0, $F8,
    AT8 * (1 - IFERROR(INDEX('Inputs &amp; Assuptions'!$C$13:$C$72, COLUMN() - ($E8 + 5)), 0))
  )
)</f>
        <v>790.83122934314065</v>
      </c>
      <c r="AV8" s="32">
        <f t="array" ref="AV8">IF(COLUMN() - ($E8 + 5) &lt; 0, 0,
  IF(COLUMN() - ($E8 + 5) = 0, $F8,
    AU8 * (1 - IFERROR(INDEX('Inputs &amp; Assuptions'!$C$13:$C$72, COLUMN() - ($E8 + 5)), 0))
  )
)</f>
        <v>786.87707319642493</v>
      </c>
      <c r="AW8" s="32">
        <f t="array" ref="AW8">IF(COLUMN() - ($E8 + 5) &lt; 0, 0,
  IF(COLUMN() - ($E8 + 5) = 0, $F8,
    AV8 * (1 - IFERROR(INDEX('Inputs &amp; Assuptions'!$C$13:$C$72, COLUMN() - ($E8 + 5)), 0))
  )
)</f>
        <v>782.94268783044276</v>
      </c>
      <c r="AX8" s="32">
        <f t="array" ref="AX8">IF(COLUMN() - ($E8 + 5) &lt; 0, 0,
  IF(COLUMN() - ($E8 + 5) = 0, $F8,
    AW8 * (1 - IFERROR(INDEX('Inputs &amp; Assuptions'!$C$13:$C$72, COLUMN() - ($E8 + 5)), 0))
  )
)</f>
        <v>779.02797439129051</v>
      </c>
      <c r="AY8" s="32">
        <f t="array" ref="AY8">IF(COLUMN() - ($E8 + 5) &lt; 0, 0,
  IF(COLUMN() - ($E8 + 5) = 0, $F8,
    AX8 * (1 - IFERROR(INDEX('Inputs &amp; Assuptions'!$C$13:$C$72, COLUMN() - ($E8 + 5)), 0))
  )
)</f>
        <v>775.1328345193341</v>
      </c>
      <c r="AZ8" s="32">
        <f t="array" ref="AZ8">IF(COLUMN() - ($E8 + 5) &lt; 0, 0,
  IF(COLUMN() - ($E8 + 5) = 0, $F8,
    AY8 * (1 - IFERROR(INDEX('Inputs &amp; Assuptions'!$C$13:$C$72, COLUMN() - ($E8 + 5)), 0))
  )
)</f>
        <v>771.25717034673744</v>
      </c>
      <c r="BA8" s="32">
        <f t="array" ref="BA8">IF(COLUMN() - ($E8 + 5) &lt; 0, 0,
  IF(COLUMN() - ($E8 + 5) = 0, $F8,
    AZ8 * (1 - IFERROR(INDEX('Inputs &amp; Assuptions'!$C$13:$C$72, COLUMN() - ($E8 + 5)), 0))
  )
)</f>
        <v>767.40088449500377</v>
      </c>
      <c r="BB8" s="32">
        <f t="array" ref="BB8">IF(COLUMN() - ($E8 + 5) &lt; 0, 0,
  IF(COLUMN() - ($E8 + 5) = 0, $F8,
    BA8 * (1 - IFERROR(INDEX('Inputs &amp; Assuptions'!$C$13:$C$72, COLUMN() - ($E8 + 5)), 0))
  )
)</f>
        <v>763.56388007252872</v>
      </c>
      <c r="BC8" s="32">
        <f t="array" ref="BC8">IF(COLUMN() - ($E8 + 5) &lt; 0, 0,
  IF(COLUMN() - ($E8 + 5) = 0, $F8,
    BB8 * (1 - IFERROR(INDEX('Inputs &amp; Assuptions'!$C$13:$C$72, COLUMN() - ($E8 + 5)), 0))
  )
)</f>
        <v>759.7460606721661</v>
      </c>
      <c r="BD8" s="32">
        <f t="array" ref="BD8">IF(COLUMN() - ($E8 + 5) &lt; 0, 0,
  IF(COLUMN() - ($E8 + 5) = 0, $F8,
    BC8 * (1 - IFERROR(INDEX('Inputs &amp; Assuptions'!$C$13:$C$72, COLUMN() - ($E8 + 5)), 0))
  )
)</f>
        <v>755.9473303688053</v>
      </c>
      <c r="BE8" s="32">
        <f t="array" ref="BE8">IF(COLUMN() - ($E8 + 5) &lt; 0, 0,
  IF(COLUMN() - ($E8 + 5) = 0, $F8,
    BD8 * (1 - IFERROR(INDEX('Inputs &amp; Assuptions'!$C$13:$C$72, COLUMN() - ($E8 + 5)), 0))
  )
)</f>
        <v>752.16759371696128</v>
      </c>
      <c r="BF8" s="32">
        <f t="array" ref="BF8">IF(COLUMN() - ($E8 + 5) &lt; 0, 0,
  IF(COLUMN() - ($E8 + 5) = 0, $F8,
    BE8 * (1 - IFERROR(INDEX('Inputs &amp; Assuptions'!$C$13:$C$72, COLUMN() - ($E8 + 5)), 0))
  )
)</f>
        <v>748.40675574837644</v>
      </c>
      <c r="BG8" s="32">
        <f t="array" ref="BG8">IF(COLUMN() - ($E8 + 5) &lt; 0, 0,
  IF(COLUMN() - ($E8 + 5) = 0, $F8,
    BF8 * (1 - IFERROR(INDEX('Inputs &amp; Assuptions'!$C$13:$C$72, COLUMN() - ($E8 + 5)), 0))
  )
)</f>
        <v>744.66472196963457</v>
      </c>
      <c r="BH8" s="32">
        <f t="array" ref="BH8">IF(COLUMN() - ($E8 + 5) &lt; 0, 0,
  IF(COLUMN() - ($E8 + 5) = 0, $F8,
    BG8 * (1 - IFERROR(INDEX('Inputs &amp; Assuptions'!$C$13:$C$72, COLUMN() - ($E8 + 5)), 0))
  )
)</f>
        <v>740.94139835978638</v>
      </c>
      <c r="BI8" s="32">
        <f t="array" ref="BI8">IF(COLUMN() - ($E8 + 5) &lt; 0, 0,
  IF(COLUMN() - ($E8 + 5) = 0, $F8,
    BH8 * (1 - IFERROR(INDEX('Inputs &amp; Assuptions'!$C$13:$C$72, COLUMN() - ($E8 + 5)), 0))
  )
)</f>
        <v>737.23669136798742</v>
      </c>
      <c r="BJ8" s="32">
        <f t="array" ref="BJ8">IF(COLUMN() - ($E8 + 5) &lt; 0, 0,
  IF(COLUMN() - ($E8 + 5) = 0, $F8,
    BI8 * (1 - IFERROR(INDEX('Inputs &amp; Assuptions'!$C$13:$C$72, COLUMN() - ($E8 + 5)), 0))
  )
)</f>
        <v>733.55050791114752</v>
      </c>
      <c r="BK8" s="32">
        <f t="array" ref="BK8">IF(COLUMN() - ($E8 + 5) &lt; 0, 0,
  IF(COLUMN() - ($E8 + 5) = 0, $F8,
    BJ8 * (1 - IFERROR(INDEX('Inputs &amp; Assuptions'!$C$13:$C$72, COLUMN() - ($E8 + 5)), 0))
  )
)</f>
        <v>729.88275537159177</v>
      </c>
      <c r="BL8" s="32">
        <f t="array" ref="BL8">IF(COLUMN() - ($E8 + 5) &lt; 0, 0,
  IF(COLUMN() - ($E8 + 5) = 0, $F8,
    BK8 * (1 - IFERROR(INDEX('Inputs &amp; Assuptions'!$C$13:$C$72, COLUMN() - ($E8 + 5)), 0))
  )
)</f>
        <v>726.23334159473382</v>
      </c>
      <c r="BM8" s="66">
        <f t="array" ref="BM8">IF(COLUMN() - ($E8 + 5) &lt; 0, 0,
  IF(COLUMN() - ($E8 + 5) = 0, $F8,
    BL8 * (1 - IFERROR(INDEX('Inputs &amp; Assuptions'!$C$13:$C$72, COLUMN() - ($E8 + 5)), 0))
  )
)</f>
        <v>722.60217488676017</v>
      </c>
      <c r="BN8" s="33"/>
    </row>
    <row r="9" spans="1:67" x14ac:dyDescent="0.3">
      <c r="A9" s="71">
        <f t="shared" si="2"/>
        <v>4</v>
      </c>
      <c r="B9" s="75">
        <f t="shared" si="4"/>
        <v>1500</v>
      </c>
      <c r="C9" s="81">
        <f>$B9*(1-'Inputs &amp; Assuptions'!$C$12)</f>
        <v>1170</v>
      </c>
      <c r="E9" s="71">
        <f t="shared" si="3"/>
        <v>4</v>
      </c>
      <c r="F9" s="65"/>
      <c r="G9" s="32"/>
      <c r="H9" s="32"/>
      <c r="I9" s="32">
        <f t="shared" ref="I9:J9" si="5">$C9</f>
        <v>1170</v>
      </c>
      <c r="J9" s="32">
        <f t="shared" si="5"/>
        <v>1170</v>
      </c>
      <c r="K9" s="32">
        <f t="array" ref="K9">IF(COLUMN() - ($E9 + 5) &lt; 0, 0,
  IF(COLUMN() - ($E9 + 5) = 0, $F9,
    J9 * (1 - IFERROR(INDEX('Inputs &amp; Assuptions'!$C$13:$C$72, COLUMN() - ($E9 + 5)), 0))
  )
)</f>
        <v>1123.2</v>
      </c>
      <c r="L9" s="32">
        <f t="array" ref="L9">IF(COLUMN() - ($E9 + 5) &lt; 0, 0,
  IF(COLUMN() - ($E9 + 5) = 0, $F9,
    K9 * (1 - IFERROR(INDEX('Inputs &amp; Assuptions'!$C$13:$C$72, COLUMN() - ($E9 + 5)), 0))
  )
)</f>
        <v>1092.3120000000001</v>
      </c>
      <c r="M9" s="32">
        <f t="array" ref="M9">IF(COLUMN() - ($E9 + 5) &lt; 0, 0,
  IF(COLUMN() - ($E9 + 5) = 0, $F9,
    L9 * (1 - IFERROR(INDEX('Inputs &amp; Assuptions'!$C$13:$C$72, COLUMN() - ($E9 + 5)), 0))
  )
)</f>
        <v>1065.0042000000001</v>
      </c>
      <c r="N9" s="32">
        <f t="array" ref="N9">IF(COLUMN() - ($E9 + 5) &lt; 0, 0,
  IF(COLUMN() - ($E9 + 5) = 0, $F9,
    M9 * (1 - IFERROR(INDEX('Inputs &amp; Assuptions'!$C$13:$C$72, COLUMN() - ($E9 + 5)), 0))
  )
)</f>
        <v>1041.0416055000001</v>
      </c>
      <c r="O9" s="32">
        <f t="array" ref="O9">IF(COLUMN() - ($E9 + 5) &lt; 0, 0,
  IF(COLUMN() - ($E9 + 5) = 0, $F9,
    N9 * (1 - IFERROR(INDEX('Inputs &amp; Assuptions'!$C$13:$C$72, COLUMN() - ($E9 + 5)), 0))
  )
)</f>
        <v>1020.2207733900001</v>
      </c>
      <c r="P9" s="32">
        <f t="array" ref="P9">IF(COLUMN() - ($E9 + 5) &lt; 0, 0,
  IF(COLUMN() - ($E9 + 5) = 0, $F9,
    O9 * (1 - IFERROR(INDEX('Inputs &amp; Assuptions'!$C$13:$C$72, COLUMN() - ($E9 + 5)), 0))
  )
)</f>
        <v>1002.3669098556751</v>
      </c>
      <c r="Q9" s="32">
        <f t="array" ref="Q9">IF(COLUMN() - ($E9 + 5) &lt; 0, 0,
  IF(COLUMN() - ($E9 + 5) = 0, $F9,
    P9 * (1 - IFERROR(INDEX('Inputs &amp; Assuptions'!$C$13:$C$72, COLUMN() - ($E9 + 5)), 0))
  )
)</f>
        <v>987.3314062078399</v>
      </c>
      <c r="R9" s="32">
        <f t="array" ref="R9">IF(COLUMN() - ($E9 + 5) &lt; 0, 0,
  IF(COLUMN() - ($E9 + 5) = 0, $F9,
    Q9 * (1 - IFERROR(INDEX('Inputs &amp; Assuptions'!$C$13:$C$72, COLUMN() - ($E9 + 5)), 0))
  )
)</f>
        <v>974.9897636302419</v>
      </c>
      <c r="S9" s="32">
        <f t="array" ref="S9">IF(COLUMN() - ($E9 + 5) &lt; 0, 0,
  IF(COLUMN() - ($E9 + 5) = 0, $F9,
    R9 * (1 - IFERROR(INDEX('Inputs &amp; Assuptions'!$C$13:$C$72, COLUMN() - ($E9 + 5)), 0))
  )
)</f>
        <v>965.23986599393947</v>
      </c>
      <c r="T9" s="32">
        <f t="array" ref="T9">IF(COLUMN() - ($E9 + 5) &lt; 0, 0,
  IF(COLUMN() - ($E9 + 5) = 0, $F9,
    S9 * (1 - IFERROR(INDEX('Inputs &amp; Assuptions'!$C$13:$C$72, COLUMN() - ($E9 + 5)), 0))
  )
)</f>
        <v>960.41366666396982</v>
      </c>
      <c r="U9" s="32">
        <f t="array" ref="U9">IF(COLUMN() - ($E9 + 5) &lt; 0, 0,
  IF(COLUMN() - ($E9 + 5) = 0, $F9,
    T9 * (1 - IFERROR(INDEX('Inputs &amp; Assuptions'!$C$13:$C$72, COLUMN() - ($E9 + 5)), 0))
  )
)</f>
        <v>955.61159833064994</v>
      </c>
      <c r="V9" s="32">
        <f t="array" ref="V9">IF(COLUMN() - ($E9 + 5) &lt; 0, 0,
  IF(COLUMN() - ($E9 + 5) = 0, $F9,
    U9 * (1 - IFERROR(INDEX('Inputs &amp; Assuptions'!$C$13:$C$72, COLUMN() - ($E9 + 5)), 0))
  )
)</f>
        <v>950.83354033899673</v>
      </c>
      <c r="W9" s="32">
        <f t="array" ref="W9">IF(COLUMN() - ($E9 + 5) &lt; 0, 0,
  IF(COLUMN() - ($E9 + 5) = 0, $F9,
    V9 * (1 - IFERROR(INDEX('Inputs &amp; Assuptions'!$C$13:$C$72, COLUMN() - ($E9 + 5)), 0))
  )
)</f>
        <v>946.07937263730173</v>
      </c>
      <c r="X9" s="32">
        <f t="array" ref="X9">IF(COLUMN() - ($E9 + 5) &lt; 0, 0,
  IF(COLUMN() - ($E9 + 5) = 0, $F9,
    W9 * (1 - IFERROR(INDEX('Inputs &amp; Assuptions'!$C$13:$C$72, COLUMN() - ($E9 + 5)), 0))
  )
)</f>
        <v>941.34897577411527</v>
      </c>
      <c r="Y9" s="32">
        <f t="array" ref="Y9">IF(COLUMN() - ($E9 + 5) &lt; 0, 0,
  IF(COLUMN() - ($E9 + 5) = 0, $F9,
    X9 * (1 - IFERROR(INDEX('Inputs &amp; Assuptions'!$C$13:$C$72, COLUMN() - ($E9 + 5)), 0))
  )
)</f>
        <v>936.64223089524467</v>
      </c>
      <c r="Z9" s="32">
        <f t="array" ref="Z9">IF(COLUMN() - ($E9 + 5) &lt; 0, 0,
  IF(COLUMN() - ($E9 + 5) = 0, $F9,
    Y9 * (1 - IFERROR(INDEX('Inputs &amp; Assuptions'!$C$13:$C$72, COLUMN() - ($E9 + 5)), 0))
  )
)</f>
        <v>931.95901974076844</v>
      </c>
      <c r="AA9" s="32">
        <f t="array" ref="AA9">IF(COLUMN() - ($E9 + 5) &lt; 0, 0,
  IF(COLUMN() - ($E9 + 5) = 0, $F9,
    Z9 * (1 - IFERROR(INDEX('Inputs &amp; Assuptions'!$C$13:$C$72, COLUMN() - ($E9 + 5)), 0))
  )
)</f>
        <v>927.29922464206459</v>
      </c>
      <c r="AB9" s="32">
        <f t="array" ref="AB9">IF(COLUMN() - ($E9 + 5) &lt; 0, 0,
  IF(COLUMN() - ($E9 + 5) = 0, $F9,
    AA9 * (1 - IFERROR(INDEX('Inputs &amp; Assuptions'!$C$13:$C$72, COLUMN() - ($E9 + 5)), 0))
  )
)</f>
        <v>922.66272851885424</v>
      </c>
      <c r="AC9" s="32">
        <f t="array" ref="AC9">IF(COLUMN() - ($E9 + 5) &lt; 0, 0,
  IF(COLUMN() - ($E9 + 5) = 0, $F9,
    AB9 * (1 - IFERROR(INDEX('Inputs &amp; Assuptions'!$C$13:$C$72, COLUMN() - ($E9 + 5)), 0))
  )
)</f>
        <v>918.04941487626002</v>
      </c>
      <c r="AD9" s="32">
        <f t="array" ref="AD9">IF(COLUMN() - ($E9 + 5) &lt; 0, 0,
  IF(COLUMN() - ($E9 + 5) = 0, $F9,
    AC9 * (1 - IFERROR(INDEX('Inputs &amp; Assuptions'!$C$13:$C$72, COLUMN() - ($E9 + 5)), 0))
  )
)</f>
        <v>913.45916780187872</v>
      </c>
      <c r="AE9" s="32">
        <f t="array" ref="AE9">IF(COLUMN() - ($E9 + 5) &lt; 0, 0,
  IF(COLUMN() - ($E9 + 5) = 0, $F9,
    AD9 * (1 - IFERROR(INDEX('Inputs &amp; Assuptions'!$C$13:$C$72, COLUMN() - ($E9 + 5)), 0))
  )
)</f>
        <v>908.89187196286935</v>
      </c>
      <c r="AF9" s="32">
        <f t="array" ref="AF9">IF(COLUMN() - ($E9 + 5) &lt; 0, 0,
  IF(COLUMN() - ($E9 + 5) = 0, $F9,
    AE9 * (1 - IFERROR(INDEX('Inputs &amp; Assuptions'!$C$13:$C$72, COLUMN() - ($E9 + 5)), 0))
  )
)</f>
        <v>904.34741260305498</v>
      </c>
      <c r="AG9" s="32">
        <f t="array" ref="AG9">IF(COLUMN() - ($E9 + 5) &lt; 0, 0,
  IF(COLUMN() - ($E9 + 5) = 0, $F9,
    AF9 * (1 - IFERROR(INDEX('Inputs &amp; Assuptions'!$C$13:$C$72, COLUMN() - ($E9 + 5)), 0))
  )
)</f>
        <v>899.8256755400397</v>
      </c>
      <c r="AH9" s="32">
        <f t="array" ref="AH9">IF(COLUMN() - ($E9 + 5) &lt; 0, 0,
  IF(COLUMN() - ($E9 + 5) = 0, $F9,
    AG9 * (1 - IFERROR(INDEX('Inputs &amp; Assuptions'!$C$13:$C$72, COLUMN() - ($E9 + 5)), 0))
  )
)</f>
        <v>895.32654716233947</v>
      </c>
      <c r="AI9" s="32">
        <f t="array" ref="AI9">IF(COLUMN() - ($E9 + 5) &lt; 0, 0,
  IF(COLUMN() - ($E9 + 5) = 0, $F9,
    AH9 * (1 - IFERROR(INDEX('Inputs &amp; Assuptions'!$C$13:$C$72, COLUMN() - ($E9 + 5)), 0))
  )
)</f>
        <v>890.84991442652779</v>
      </c>
      <c r="AJ9" s="32">
        <f t="array" ref="AJ9">IF(COLUMN() - ($E9 + 5) &lt; 0, 0,
  IF(COLUMN() - ($E9 + 5) = 0, $F9,
    AI9 * (1 - IFERROR(INDEX('Inputs &amp; Assuptions'!$C$13:$C$72, COLUMN() - ($E9 + 5)), 0))
  )
)</f>
        <v>886.39566485439514</v>
      </c>
      <c r="AK9" s="32">
        <f t="array" ref="AK9">IF(COLUMN() - ($E9 + 5) &lt; 0, 0,
  IF(COLUMN() - ($E9 + 5) = 0, $F9,
    AJ9 * (1 - IFERROR(INDEX('Inputs &amp; Assuptions'!$C$13:$C$72, COLUMN() - ($E9 + 5)), 0))
  )
)</f>
        <v>881.96368653012314</v>
      </c>
      <c r="AL9" s="32">
        <f t="array" ref="AL9">IF(COLUMN() - ($E9 + 5) &lt; 0, 0,
  IF(COLUMN() - ($E9 + 5) = 0, $F9,
    AK9 * (1 - IFERROR(INDEX('Inputs &amp; Assuptions'!$C$13:$C$72, COLUMN() - ($E9 + 5)), 0))
  )
)</f>
        <v>877.55386809747256</v>
      </c>
      <c r="AM9" s="32">
        <f t="array" ref="AM9">IF(COLUMN() - ($E9 + 5) &lt; 0, 0,
  IF(COLUMN() - ($E9 + 5) = 0, $F9,
    AL9 * (1 - IFERROR(INDEX('Inputs &amp; Assuptions'!$C$13:$C$72, COLUMN() - ($E9 + 5)), 0))
  )
)</f>
        <v>873.16609875698521</v>
      </c>
      <c r="AN9" s="32">
        <f t="array" ref="AN9">IF(COLUMN() - ($E9 + 5) &lt; 0, 0,
  IF(COLUMN() - ($E9 + 5) = 0, $F9,
    AM9 * (1 - IFERROR(INDEX('Inputs &amp; Assuptions'!$C$13:$C$72, COLUMN() - ($E9 + 5)), 0))
  )
)</f>
        <v>868.80026826320022</v>
      </c>
      <c r="AO9" s="32">
        <f t="array" ref="AO9">IF(COLUMN() - ($E9 + 5) &lt; 0, 0,
  IF(COLUMN() - ($E9 + 5) = 0, $F9,
    AN9 * (1 - IFERROR(INDEX('Inputs &amp; Assuptions'!$C$13:$C$72, COLUMN() - ($E9 + 5)), 0))
  )
)</f>
        <v>864.45626692188421</v>
      </c>
      <c r="AP9" s="32">
        <f t="array" ref="AP9">IF(COLUMN() - ($E9 + 5) &lt; 0, 0,
  IF(COLUMN() - ($E9 + 5) = 0, $F9,
    AO9 * (1 - IFERROR(INDEX('Inputs &amp; Assuptions'!$C$13:$C$72, COLUMN() - ($E9 + 5)), 0))
  )
)</f>
        <v>860.13398558727476</v>
      </c>
      <c r="AQ9" s="32">
        <f t="array" ref="AQ9">IF(COLUMN() - ($E9 + 5) &lt; 0, 0,
  IF(COLUMN() - ($E9 + 5) = 0, $F9,
    AP9 * (1 - IFERROR(INDEX('Inputs &amp; Assuptions'!$C$13:$C$72, COLUMN() - ($E9 + 5)), 0))
  )
)</f>
        <v>855.83331565933838</v>
      </c>
      <c r="AR9" s="32">
        <f t="array" ref="AR9">IF(COLUMN() - ($E9 + 5) &lt; 0, 0,
  IF(COLUMN() - ($E9 + 5) = 0, $F9,
    AQ9 * (1 - IFERROR(INDEX('Inputs &amp; Assuptions'!$C$13:$C$72, COLUMN() - ($E9 + 5)), 0))
  )
)</f>
        <v>851.55414908104171</v>
      </c>
      <c r="AS9" s="32">
        <f t="array" ref="AS9">IF(COLUMN() - ($E9 + 5) &lt; 0, 0,
  IF(COLUMN() - ($E9 + 5) = 0, $F9,
    AR9 * (1 - IFERROR(INDEX('Inputs &amp; Assuptions'!$C$13:$C$72, COLUMN() - ($E9 + 5)), 0))
  )
)</f>
        <v>847.29637833563652</v>
      </c>
      <c r="AT9" s="32">
        <f t="array" ref="AT9">IF(COLUMN() - ($E9 + 5) &lt; 0, 0,
  IF(COLUMN() - ($E9 + 5) = 0, $F9,
    AS9 * (1 - IFERROR(INDEX('Inputs &amp; Assuptions'!$C$13:$C$72, COLUMN() - ($E9 + 5)), 0))
  )
)</f>
        <v>843.05989644395834</v>
      </c>
      <c r="AU9" s="32">
        <f t="array" ref="AU9">IF(COLUMN() - ($E9 + 5) &lt; 0, 0,
  IF(COLUMN() - ($E9 + 5) = 0, $F9,
    AT9 * (1 - IFERROR(INDEX('Inputs &amp; Assuptions'!$C$13:$C$72, COLUMN() - ($E9 + 5)), 0))
  )
)</f>
        <v>838.84459696173849</v>
      </c>
      <c r="AV9" s="32">
        <f t="array" ref="AV9">IF(COLUMN() - ($E9 + 5) &lt; 0, 0,
  IF(COLUMN() - ($E9 + 5) = 0, $F9,
    AU9 * (1 - IFERROR(INDEX('Inputs &amp; Assuptions'!$C$13:$C$72, COLUMN() - ($E9 + 5)), 0))
  )
)</f>
        <v>834.65037397692981</v>
      </c>
      <c r="AW9" s="32">
        <f t="array" ref="AW9">IF(COLUMN() - ($E9 + 5) &lt; 0, 0,
  IF(COLUMN() - ($E9 + 5) = 0, $F9,
    AV9 * (1 - IFERROR(INDEX('Inputs &amp; Assuptions'!$C$13:$C$72, COLUMN() - ($E9 + 5)), 0))
  )
)</f>
        <v>830.47712210704515</v>
      </c>
      <c r="AX9" s="32">
        <f t="array" ref="AX9">IF(COLUMN() - ($E9 + 5) &lt; 0, 0,
  IF(COLUMN() - ($E9 + 5) = 0, $F9,
    AW9 * (1 - IFERROR(INDEX('Inputs &amp; Assuptions'!$C$13:$C$72, COLUMN() - ($E9 + 5)), 0))
  )
)</f>
        <v>826.3247364965099</v>
      </c>
      <c r="AY9" s="32">
        <f t="array" ref="AY9">IF(COLUMN() - ($E9 + 5) &lt; 0, 0,
  IF(COLUMN() - ($E9 + 5) = 0, $F9,
    AX9 * (1 - IFERROR(INDEX('Inputs &amp; Assuptions'!$C$13:$C$72, COLUMN() - ($E9 + 5)), 0))
  )
)</f>
        <v>822.19311281402736</v>
      </c>
      <c r="AZ9" s="32">
        <f t="array" ref="AZ9">IF(COLUMN() - ($E9 + 5) &lt; 0, 0,
  IF(COLUMN() - ($E9 + 5) = 0, $F9,
    AY9 * (1 - IFERROR(INDEX('Inputs &amp; Assuptions'!$C$13:$C$72, COLUMN() - ($E9 + 5)), 0))
  )
)</f>
        <v>818.08214724995719</v>
      </c>
      <c r="BA9" s="32">
        <f t="array" ref="BA9">IF(COLUMN() - ($E9 + 5) &lt; 0, 0,
  IF(COLUMN() - ($E9 + 5) = 0, $F9,
    AZ9 * (1 - IFERROR(INDEX('Inputs &amp; Assuptions'!$C$13:$C$72, COLUMN() - ($E9 + 5)), 0))
  )
)</f>
        <v>813.99173651370745</v>
      </c>
      <c r="BB9" s="32">
        <f t="array" ref="BB9">IF(COLUMN() - ($E9 + 5) &lt; 0, 0,
  IF(COLUMN() - ($E9 + 5) = 0, $F9,
    BA9 * (1 - IFERROR(INDEX('Inputs &amp; Assuptions'!$C$13:$C$72, COLUMN() - ($E9 + 5)), 0))
  )
)</f>
        <v>809.92177783113891</v>
      </c>
      <c r="BC9" s="32">
        <f t="array" ref="BC9">IF(COLUMN() - ($E9 + 5) &lt; 0, 0,
  IF(COLUMN() - ($E9 + 5) = 0, $F9,
    BB9 * (1 - IFERROR(INDEX('Inputs &amp; Assuptions'!$C$13:$C$72, COLUMN() - ($E9 + 5)), 0))
  )
)</f>
        <v>805.8721689419832</v>
      </c>
      <c r="BD9" s="32">
        <f t="array" ref="BD9">IF(COLUMN() - ($E9 + 5) &lt; 0, 0,
  IF(COLUMN() - ($E9 + 5) = 0, $F9,
    BC9 * (1 - IFERROR(INDEX('Inputs &amp; Assuptions'!$C$13:$C$72, COLUMN() - ($E9 + 5)), 0))
  )
)</f>
        <v>801.84280809727329</v>
      </c>
      <c r="BE9" s="32">
        <f t="array" ref="BE9">IF(COLUMN() - ($E9 + 5) &lt; 0, 0,
  IF(COLUMN() - ($E9 + 5) = 0, $F9,
    BD9 * (1 - IFERROR(INDEX('Inputs &amp; Assuptions'!$C$13:$C$72, COLUMN() - ($E9 + 5)), 0))
  )
)</f>
        <v>797.83359405678686</v>
      </c>
      <c r="BF9" s="32">
        <f t="array" ref="BF9">IF(COLUMN() - ($E9 + 5) &lt; 0, 0,
  IF(COLUMN() - ($E9 + 5) = 0, $F9,
    BE9 * (1 - IFERROR(INDEX('Inputs &amp; Assuptions'!$C$13:$C$72, COLUMN() - ($E9 + 5)), 0))
  )
)</f>
        <v>793.84442608650295</v>
      </c>
      <c r="BG9" s="32">
        <f t="array" ref="BG9">IF(COLUMN() - ($E9 + 5) &lt; 0, 0,
  IF(COLUMN() - ($E9 + 5) = 0, $F9,
    BF9 * (1 - IFERROR(INDEX('Inputs &amp; Assuptions'!$C$13:$C$72, COLUMN() - ($E9 + 5)), 0))
  )
)</f>
        <v>789.87520395607044</v>
      </c>
      <c r="BH9" s="32">
        <f t="array" ref="BH9">IF(COLUMN() - ($E9 + 5) &lt; 0, 0,
  IF(COLUMN() - ($E9 + 5) = 0, $F9,
    BG9 * (1 - IFERROR(INDEX('Inputs &amp; Assuptions'!$C$13:$C$72, COLUMN() - ($E9 + 5)), 0))
  )
)</f>
        <v>785.92582793629003</v>
      </c>
      <c r="BI9" s="32">
        <f t="array" ref="BI9">IF(COLUMN() - ($E9 + 5) &lt; 0, 0,
  IF(COLUMN() - ($E9 + 5) = 0, $F9,
    BH9 * (1 - IFERROR(INDEX('Inputs &amp; Assuptions'!$C$13:$C$72, COLUMN() - ($E9 + 5)), 0))
  )
)</f>
        <v>781.99619879660861</v>
      </c>
      <c r="BJ9" s="32">
        <f t="array" ref="BJ9">IF(COLUMN() - ($E9 + 5) &lt; 0, 0,
  IF(COLUMN() - ($E9 + 5) = 0, $F9,
    BI9 * (1 - IFERROR(INDEX('Inputs &amp; Assuptions'!$C$13:$C$72, COLUMN() - ($E9 + 5)), 0))
  )
)</f>
        <v>778.08621780262558</v>
      </c>
      <c r="BK9" s="32">
        <f t="array" ref="BK9">IF(COLUMN() - ($E9 + 5) &lt; 0, 0,
  IF(COLUMN() - ($E9 + 5) = 0, $F9,
    BJ9 * (1 - IFERROR(INDEX('Inputs &amp; Assuptions'!$C$13:$C$72, COLUMN() - ($E9 + 5)), 0))
  )
)</f>
        <v>774.19578671361251</v>
      </c>
      <c r="BL9" s="32">
        <f t="array" ref="BL9">IF(COLUMN() - ($E9 + 5) &lt; 0, 0,
  IF(COLUMN() - ($E9 + 5) = 0, $F9,
    BK9 * (1 - IFERROR(INDEX('Inputs &amp; Assuptions'!$C$13:$C$72, COLUMN() - ($E9 + 5)), 0))
  )
)</f>
        <v>770.32480778004447</v>
      </c>
      <c r="BM9" s="66">
        <f t="array" ref="BM9">IF(COLUMN() - ($E9 + 5) &lt; 0, 0,
  IF(COLUMN() - ($E9 + 5) = 0, $F9,
    BL9 * (1 - IFERROR(INDEX('Inputs &amp; Assuptions'!$C$13:$C$72, COLUMN() - ($E9 + 5)), 0))
  )
)</f>
        <v>766.47318374114423</v>
      </c>
      <c r="BN9" s="33"/>
    </row>
    <row r="10" spans="1:67" x14ac:dyDescent="0.3">
      <c r="A10" s="71">
        <f t="shared" si="2"/>
        <v>5</v>
      </c>
      <c r="B10" s="75">
        <f t="shared" si="4"/>
        <v>1500</v>
      </c>
      <c r="C10" s="81">
        <f>$B10*(1-'Inputs &amp; Assuptions'!$C$12)</f>
        <v>1170</v>
      </c>
      <c r="E10" s="71">
        <f t="shared" si="3"/>
        <v>5</v>
      </c>
      <c r="F10" s="65"/>
      <c r="G10" s="32"/>
      <c r="H10" s="32"/>
      <c r="I10" s="32">
        <f>$C10</f>
        <v>1170</v>
      </c>
      <c r="J10" s="32">
        <f>$B10*(1-'Inputs &amp; Assuptions'!$C$12)</f>
        <v>1170</v>
      </c>
      <c r="K10" s="32">
        <f t="array" ref="K10">IF(COLUMN() - ($E10 + 5) &lt; 0, 0,
  IF(COLUMN() - ($E10 + 5) = 0, $F10,
    J10 * (1 - IFERROR(INDEX('Inputs &amp; Assuptions'!$C$13:$C$72, COLUMN() - ($E10 + 5)), 0))
  )
)</f>
        <v>1108.575</v>
      </c>
      <c r="L10" s="32">
        <f t="array" ref="L10">IF(COLUMN() - ($E10 + 5) &lt; 0, 0,
  IF(COLUMN() - ($E10 + 5) = 0, $F10,
    K10 * (1 - IFERROR(INDEX('Inputs &amp; Assuptions'!$C$13:$C$72, COLUMN() - ($E10 + 5)), 0))
  )
)</f>
        <v>1064.232</v>
      </c>
      <c r="M10" s="32">
        <f t="array" ref="M10">IF(COLUMN() - ($E10 + 5) &lt; 0, 0,
  IF(COLUMN() - ($E10 + 5) = 0, $F10,
    L10 * (1 - IFERROR(INDEX('Inputs &amp; Assuptions'!$C$13:$C$72, COLUMN() - ($E10 + 5)), 0))
  )
)</f>
        <v>1034.9656199999999</v>
      </c>
      <c r="N10" s="32">
        <f t="array" ref="N10">IF(COLUMN() - ($E10 + 5) &lt; 0, 0,
  IF(COLUMN() - ($E10 + 5) = 0, $F10,
    M10 * (1 - IFERROR(INDEX('Inputs &amp; Assuptions'!$C$13:$C$72, COLUMN() - ($E10 + 5)), 0))
  )
)</f>
        <v>1009.0914794999999</v>
      </c>
      <c r="O10" s="32">
        <f t="array" ref="O10">IF(COLUMN() - ($E10 + 5) &lt; 0, 0,
  IF(COLUMN() - ($E10 + 5) = 0, $F10,
    N10 * (1 - IFERROR(INDEX('Inputs &amp; Assuptions'!$C$13:$C$72, COLUMN() - ($E10 + 5)), 0))
  )
)</f>
        <v>986.38692121124996</v>
      </c>
      <c r="P10" s="32">
        <f t="array" ref="P10">IF(COLUMN() - ($E10 + 5) &lt; 0, 0,
  IF(COLUMN() - ($E10 + 5) = 0, $F10,
    O10 * (1 - IFERROR(INDEX('Inputs &amp; Assuptions'!$C$13:$C$72, COLUMN() - ($E10 + 5)), 0))
  )
)</f>
        <v>966.65918278702497</v>
      </c>
      <c r="Q10" s="32">
        <f t="array" ref="Q10">IF(COLUMN() - ($E10 + 5) &lt; 0, 0,
  IF(COLUMN() - ($E10 + 5) = 0, $F10,
    P10 * (1 - IFERROR(INDEX('Inputs &amp; Assuptions'!$C$13:$C$72, COLUMN() - ($E10 + 5)), 0))
  )
)</f>
        <v>949.74264708825206</v>
      </c>
      <c r="R10" s="32">
        <f t="array" ref="R10">IF(COLUMN() - ($E10 + 5) &lt; 0, 0,
  IF(COLUMN() - ($E10 + 5) = 0, $F10,
    Q10 * (1 - IFERROR(INDEX('Inputs &amp; Assuptions'!$C$13:$C$72, COLUMN() - ($E10 + 5)), 0))
  )
)</f>
        <v>935.49650738192827</v>
      </c>
      <c r="S10" s="32">
        <f t="array" ref="S10">IF(COLUMN() - ($E10 + 5) &lt; 0, 0,
  IF(COLUMN() - ($E10 + 5) = 0, $F10,
    R10 * (1 - IFERROR(INDEX('Inputs &amp; Assuptions'!$C$13:$C$72, COLUMN() - ($E10 + 5)), 0))
  )
)</f>
        <v>923.80280103965424</v>
      </c>
      <c r="T10" s="32">
        <f t="array" ref="T10">IF(COLUMN() - ($E10 + 5) &lt; 0, 0,
  IF(COLUMN() - ($E10 + 5) = 0, $F10,
    S10 * (1 - IFERROR(INDEX('Inputs &amp; Assuptions'!$C$13:$C$72, COLUMN() - ($E10 + 5)), 0))
  )
)</f>
        <v>914.56477302925771</v>
      </c>
      <c r="U10" s="32">
        <f t="array" ref="U10">IF(COLUMN() - ($E10 + 5) &lt; 0, 0,
  IF(COLUMN() - ($E10 + 5) = 0, $F10,
    T10 * (1 - IFERROR(INDEX('Inputs &amp; Assuptions'!$C$13:$C$72, COLUMN() - ($E10 + 5)), 0))
  )
)</f>
        <v>909.99194916411136</v>
      </c>
      <c r="V10" s="32">
        <f t="array" ref="V10">IF(COLUMN() - ($E10 + 5) &lt; 0, 0,
  IF(COLUMN() - ($E10 + 5) = 0, $F10,
    U10 * (1 - IFERROR(INDEX('Inputs &amp; Assuptions'!$C$13:$C$72, COLUMN() - ($E10 + 5)), 0))
  )
)</f>
        <v>905.44198941829075</v>
      </c>
      <c r="W10" s="32">
        <f t="array" ref="W10">IF(COLUMN() - ($E10 + 5) &lt; 0, 0,
  IF(COLUMN() - ($E10 + 5) = 0, $F10,
    V10 * (1 - IFERROR(INDEX('Inputs &amp; Assuptions'!$C$13:$C$72, COLUMN() - ($E10 + 5)), 0))
  )
)</f>
        <v>900.91477947119927</v>
      </c>
      <c r="X10" s="32">
        <f t="array" ref="X10">IF(COLUMN() - ($E10 + 5) &lt; 0, 0,
  IF(COLUMN() - ($E10 + 5) = 0, $F10,
    W10 * (1 - IFERROR(INDEX('Inputs &amp; Assuptions'!$C$13:$C$72, COLUMN() - ($E10 + 5)), 0))
  )
)</f>
        <v>896.41020557384331</v>
      </c>
      <c r="Y10" s="32">
        <f t="array" ref="Y10">IF(COLUMN() - ($E10 + 5) &lt; 0, 0,
  IF(COLUMN() - ($E10 + 5) = 0, $F10,
    X10 * (1 - IFERROR(INDEX('Inputs &amp; Assuptions'!$C$13:$C$72, COLUMN() - ($E10 + 5)), 0))
  )
)</f>
        <v>891.92815454597405</v>
      </c>
      <c r="Z10" s="32">
        <f t="array" ref="Z10">IF(COLUMN() - ($E10 + 5) &lt; 0, 0,
  IF(COLUMN() - ($E10 + 5) = 0, $F10,
    Y10 * (1 - IFERROR(INDEX('Inputs &amp; Assuptions'!$C$13:$C$72, COLUMN() - ($E10 + 5)), 0))
  )
)</f>
        <v>887.46851377324413</v>
      </c>
      <c r="AA10" s="32">
        <f t="array" ref="AA10">IF(COLUMN() - ($E10 + 5) &lt; 0, 0,
  IF(COLUMN() - ($E10 + 5) = 0, $F10,
    Z10 * (1 - IFERROR(INDEX('Inputs &amp; Assuptions'!$C$13:$C$72, COLUMN() - ($E10 + 5)), 0))
  )
)</f>
        <v>883.03117120437787</v>
      </c>
      <c r="AB10" s="32">
        <f t="array" ref="AB10">IF(COLUMN() - ($E10 + 5) &lt; 0, 0,
  IF(COLUMN() - ($E10 + 5) = 0, $F10,
    AA10 * (1 - IFERROR(INDEX('Inputs &amp; Assuptions'!$C$13:$C$72, COLUMN() - ($E10 + 5)), 0))
  )
)</f>
        <v>878.61601534835597</v>
      </c>
      <c r="AC10" s="32">
        <f t="array" ref="AC10">IF(COLUMN() - ($E10 + 5) &lt; 0, 0,
  IF(COLUMN() - ($E10 + 5) = 0, $F10,
    AB10 * (1 - IFERROR(INDEX('Inputs &amp; Assuptions'!$C$13:$C$72, COLUMN() - ($E10 + 5)), 0))
  )
)</f>
        <v>874.22293527161423</v>
      </c>
      <c r="AD10" s="32">
        <f t="array" ref="AD10">IF(COLUMN() - ($E10 + 5) &lt; 0, 0,
  IF(COLUMN() - ($E10 + 5) = 0, $F10,
    AC10 * (1 - IFERROR(INDEX('Inputs &amp; Assuptions'!$C$13:$C$72, COLUMN() - ($E10 + 5)), 0))
  )
)</f>
        <v>869.85182059525619</v>
      </c>
      <c r="AE10" s="32">
        <f t="array" ref="AE10">IF(COLUMN() - ($E10 + 5) &lt; 0, 0,
  IF(COLUMN() - ($E10 + 5) = 0, $F10,
    AD10 * (1 - IFERROR(INDEX('Inputs &amp; Assuptions'!$C$13:$C$72, COLUMN() - ($E10 + 5)), 0))
  )
)</f>
        <v>865.50256149227994</v>
      </c>
      <c r="AF10" s="32">
        <f t="array" ref="AF10">IF(COLUMN() - ($E10 + 5) &lt; 0, 0,
  IF(COLUMN() - ($E10 + 5) = 0, $F10,
    AE10 * (1 - IFERROR(INDEX('Inputs &amp; Assuptions'!$C$13:$C$72, COLUMN() - ($E10 + 5)), 0))
  )
)</f>
        <v>861.17504868481853</v>
      </c>
      <c r="AG10" s="32">
        <f t="array" ref="AG10">IF(COLUMN() - ($E10 + 5) &lt; 0, 0,
  IF(COLUMN() - ($E10 + 5) = 0, $F10,
    AF10 * (1 - IFERROR(INDEX('Inputs &amp; Assuptions'!$C$13:$C$72, COLUMN() - ($E10 + 5)), 0))
  )
)</f>
        <v>856.86917344139442</v>
      </c>
      <c r="AH10" s="32">
        <f t="array" ref="AH10">IF(COLUMN() - ($E10 + 5) &lt; 0, 0,
  IF(COLUMN() - ($E10 + 5) = 0, $F10,
    AG10 * (1 - IFERROR(INDEX('Inputs &amp; Assuptions'!$C$13:$C$72, COLUMN() - ($E10 + 5)), 0))
  )
)</f>
        <v>852.58482757418744</v>
      </c>
      <c r="AI10" s="32">
        <f t="array" ref="AI10">IF(COLUMN() - ($E10 + 5) &lt; 0, 0,
  IF(COLUMN() - ($E10 + 5) = 0, $F10,
    AH10 * (1 - IFERROR(INDEX('Inputs &amp; Assuptions'!$C$13:$C$72, COLUMN() - ($E10 + 5)), 0))
  )
)</f>
        <v>848.32190343631646</v>
      </c>
      <c r="AJ10" s="32">
        <f t="array" ref="AJ10">IF(COLUMN() - ($E10 + 5) &lt; 0, 0,
  IF(COLUMN() - ($E10 + 5) = 0, $F10,
    AI10 * (1 - IFERROR(INDEX('Inputs &amp; Assuptions'!$C$13:$C$72, COLUMN() - ($E10 + 5)), 0))
  )
)</f>
        <v>844.08029391913487</v>
      </c>
      <c r="AK10" s="32">
        <f t="array" ref="AK10">IF(COLUMN() - ($E10 + 5) &lt; 0, 0,
  IF(COLUMN() - ($E10 + 5) = 0, $F10,
    AJ10 * (1 - IFERROR(INDEX('Inputs &amp; Assuptions'!$C$13:$C$72, COLUMN() - ($E10 + 5)), 0))
  )
)</f>
        <v>839.85989244953919</v>
      </c>
      <c r="AL10" s="32">
        <f t="array" ref="AL10">IF(COLUMN() - ($E10 + 5) &lt; 0, 0,
  IF(COLUMN() - ($E10 + 5) = 0, $F10,
    AK10 * (1 - IFERROR(INDEX('Inputs &amp; Assuptions'!$C$13:$C$72, COLUMN() - ($E10 + 5)), 0))
  )
)</f>
        <v>835.66059298729147</v>
      </c>
      <c r="AM10" s="32">
        <f t="array" ref="AM10">IF(COLUMN() - ($E10 + 5) &lt; 0, 0,
  IF(COLUMN() - ($E10 + 5) = 0, $F10,
    AL10 * (1 - IFERROR(INDEX('Inputs &amp; Assuptions'!$C$13:$C$72, COLUMN() - ($E10 + 5)), 0))
  )
)</f>
        <v>831.48229002235496</v>
      </c>
      <c r="AN10" s="32">
        <f t="array" ref="AN10">IF(COLUMN() - ($E10 + 5) &lt; 0, 0,
  IF(COLUMN() - ($E10 + 5) = 0, $F10,
    AM10 * (1 - IFERROR(INDEX('Inputs &amp; Assuptions'!$C$13:$C$72, COLUMN() - ($E10 + 5)), 0))
  )
)</f>
        <v>827.32487857224316</v>
      </c>
      <c r="AO10" s="32">
        <f t="array" ref="AO10">IF(COLUMN() - ($E10 + 5) &lt; 0, 0,
  IF(COLUMN() - ($E10 + 5) = 0, $F10,
    AN10 * (1 - IFERROR(INDEX('Inputs &amp; Assuptions'!$C$13:$C$72, COLUMN() - ($E10 + 5)), 0))
  )
)</f>
        <v>823.18825417938194</v>
      </c>
      <c r="AP10" s="32">
        <f t="array" ref="AP10">IF(COLUMN() - ($E10 + 5) &lt; 0, 0,
  IF(COLUMN() - ($E10 + 5) = 0, $F10,
    AO10 * (1 - IFERROR(INDEX('Inputs &amp; Assuptions'!$C$13:$C$72, COLUMN() - ($E10 + 5)), 0))
  )
)</f>
        <v>819.07231290848506</v>
      </c>
      <c r="AQ10" s="32">
        <f t="array" ref="AQ10">IF(COLUMN() - ($E10 + 5) &lt; 0, 0,
  IF(COLUMN() - ($E10 + 5) = 0, $F10,
    AP10 * (1 - IFERROR(INDEX('Inputs &amp; Assuptions'!$C$13:$C$72, COLUMN() - ($E10 + 5)), 0))
  )
)</f>
        <v>814.97695134394269</v>
      </c>
      <c r="AR10" s="32">
        <f t="array" ref="AR10">IF(COLUMN() - ($E10 + 5) &lt; 0, 0,
  IF(COLUMN() - ($E10 + 5) = 0, $F10,
    AQ10 * (1 - IFERROR(INDEX('Inputs &amp; Assuptions'!$C$13:$C$72, COLUMN() - ($E10 + 5)), 0))
  )
)</f>
        <v>810.90206658722298</v>
      </c>
      <c r="AS10" s="32">
        <f t="array" ref="AS10">IF(COLUMN() - ($E10 + 5) &lt; 0, 0,
  IF(COLUMN() - ($E10 + 5) = 0, $F10,
    AR10 * (1 - IFERROR(INDEX('Inputs &amp; Assuptions'!$C$13:$C$72, COLUMN() - ($E10 + 5)), 0))
  )
)</f>
        <v>806.84755625428681</v>
      </c>
      <c r="AT10" s="32">
        <f t="array" ref="AT10">IF(COLUMN() - ($E10 + 5) &lt; 0, 0,
  IF(COLUMN() - ($E10 + 5) = 0, $F10,
    AS10 * (1 - IFERROR(INDEX('Inputs &amp; Assuptions'!$C$13:$C$72, COLUMN() - ($E10 + 5)), 0))
  )
)</f>
        <v>802.81331847301533</v>
      </c>
      <c r="AU10" s="32">
        <f t="array" ref="AU10">IF(COLUMN() - ($E10 + 5) &lt; 0, 0,
  IF(COLUMN() - ($E10 + 5) = 0, $F10,
    AT10 * (1 - IFERROR(INDEX('Inputs &amp; Assuptions'!$C$13:$C$72, COLUMN() - ($E10 + 5)), 0))
  )
)</f>
        <v>798.79925188065022</v>
      </c>
      <c r="AV10" s="32">
        <f t="array" ref="AV10">IF(COLUMN() - ($E10 + 5) &lt; 0, 0,
  IF(COLUMN() - ($E10 + 5) = 0, $F10,
    AU10 * (1 - IFERROR(INDEX('Inputs &amp; Assuptions'!$C$13:$C$72, COLUMN() - ($E10 + 5)), 0))
  )
)</f>
        <v>794.80525562124694</v>
      </c>
      <c r="AW10" s="32">
        <f t="array" ref="AW10">IF(COLUMN() - ($E10 + 5) &lt; 0, 0,
  IF(COLUMN() - ($E10 + 5) = 0, $F10,
    AV10 * (1 - IFERROR(INDEX('Inputs &amp; Assuptions'!$C$13:$C$72, COLUMN() - ($E10 + 5)), 0))
  )
)</f>
        <v>790.83122934314065</v>
      </c>
      <c r="AX10" s="32">
        <f t="array" ref="AX10">IF(COLUMN() - ($E10 + 5) &lt; 0, 0,
  IF(COLUMN() - ($E10 + 5) = 0, $F10,
    AW10 * (1 - IFERROR(INDEX('Inputs &amp; Assuptions'!$C$13:$C$72, COLUMN() - ($E10 + 5)), 0))
  )
)</f>
        <v>786.87707319642493</v>
      </c>
      <c r="AY10" s="32">
        <f t="array" ref="AY10">IF(COLUMN() - ($E10 + 5) &lt; 0, 0,
  IF(COLUMN() - ($E10 + 5) = 0, $F10,
    AX10 * (1 - IFERROR(INDEX('Inputs &amp; Assuptions'!$C$13:$C$72, COLUMN() - ($E10 + 5)), 0))
  )
)</f>
        <v>782.94268783044276</v>
      </c>
      <c r="AZ10" s="32">
        <f t="array" ref="AZ10">IF(COLUMN() - ($E10 + 5) &lt; 0, 0,
  IF(COLUMN() - ($E10 + 5) = 0, $F10,
    AY10 * (1 - IFERROR(INDEX('Inputs &amp; Assuptions'!$C$13:$C$72, COLUMN() - ($E10 + 5)), 0))
  )
)</f>
        <v>779.02797439129051</v>
      </c>
      <c r="BA10" s="32">
        <f t="array" ref="BA10">IF(COLUMN() - ($E10 + 5) &lt; 0, 0,
  IF(COLUMN() - ($E10 + 5) = 0, $F10,
    AZ10 * (1 - IFERROR(INDEX('Inputs &amp; Assuptions'!$C$13:$C$72, COLUMN() - ($E10 + 5)), 0))
  )
)</f>
        <v>775.1328345193341</v>
      </c>
      <c r="BB10" s="32">
        <f t="array" ref="BB10">IF(COLUMN() - ($E10 + 5) &lt; 0, 0,
  IF(COLUMN() - ($E10 + 5) = 0, $F10,
    BA10 * (1 - IFERROR(INDEX('Inputs &amp; Assuptions'!$C$13:$C$72, COLUMN() - ($E10 + 5)), 0))
  )
)</f>
        <v>771.25717034673744</v>
      </c>
      <c r="BC10" s="32">
        <f t="array" ref="BC10">IF(COLUMN() - ($E10 + 5) &lt; 0, 0,
  IF(COLUMN() - ($E10 + 5) = 0, $F10,
    BB10 * (1 - IFERROR(INDEX('Inputs &amp; Assuptions'!$C$13:$C$72, COLUMN() - ($E10 + 5)), 0))
  )
)</f>
        <v>767.40088449500377</v>
      </c>
      <c r="BD10" s="32">
        <f t="array" ref="BD10">IF(COLUMN() - ($E10 + 5) &lt; 0, 0,
  IF(COLUMN() - ($E10 + 5) = 0, $F10,
    BC10 * (1 - IFERROR(INDEX('Inputs &amp; Assuptions'!$C$13:$C$72, COLUMN() - ($E10 + 5)), 0))
  )
)</f>
        <v>763.56388007252872</v>
      </c>
      <c r="BE10" s="32">
        <f t="array" ref="BE10">IF(COLUMN() - ($E10 + 5) &lt; 0, 0,
  IF(COLUMN() - ($E10 + 5) = 0, $F10,
    BD10 * (1 - IFERROR(INDEX('Inputs &amp; Assuptions'!$C$13:$C$72, COLUMN() - ($E10 + 5)), 0))
  )
)</f>
        <v>759.7460606721661</v>
      </c>
      <c r="BF10" s="32">
        <f t="array" ref="BF10">IF(COLUMN() - ($E10 + 5) &lt; 0, 0,
  IF(COLUMN() - ($E10 + 5) = 0, $F10,
    BE10 * (1 - IFERROR(INDEX('Inputs &amp; Assuptions'!$C$13:$C$72, COLUMN() - ($E10 + 5)), 0))
  )
)</f>
        <v>755.9473303688053</v>
      </c>
      <c r="BG10" s="32">
        <f t="array" ref="BG10">IF(COLUMN() - ($E10 + 5) &lt; 0, 0,
  IF(COLUMN() - ($E10 + 5) = 0, $F10,
    BF10 * (1 - IFERROR(INDEX('Inputs &amp; Assuptions'!$C$13:$C$72, COLUMN() - ($E10 + 5)), 0))
  )
)</f>
        <v>752.16759371696128</v>
      </c>
      <c r="BH10" s="32">
        <f t="array" ref="BH10">IF(COLUMN() - ($E10 + 5) &lt; 0, 0,
  IF(COLUMN() - ($E10 + 5) = 0, $F10,
    BG10 * (1 - IFERROR(INDEX('Inputs &amp; Assuptions'!$C$13:$C$72, COLUMN() - ($E10 + 5)), 0))
  )
)</f>
        <v>748.40675574837644</v>
      </c>
      <c r="BI10" s="32">
        <f t="array" ref="BI10">IF(COLUMN() - ($E10 + 5) &lt; 0, 0,
  IF(COLUMN() - ($E10 + 5) = 0, $F10,
    BH10 * (1 - IFERROR(INDEX('Inputs &amp; Assuptions'!$C$13:$C$72, COLUMN() - ($E10 + 5)), 0))
  )
)</f>
        <v>744.66472196963457</v>
      </c>
      <c r="BJ10" s="32">
        <f t="array" ref="BJ10">IF(COLUMN() - ($E10 + 5) &lt; 0, 0,
  IF(COLUMN() - ($E10 + 5) = 0, $F10,
    BI10 * (1 - IFERROR(INDEX('Inputs &amp; Assuptions'!$C$13:$C$72, COLUMN() - ($E10 + 5)), 0))
  )
)</f>
        <v>740.94139835978638</v>
      </c>
      <c r="BK10" s="32">
        <f t="array" ref="BK10">IF(COLUMN() - ($E10 + 5) &lt; 0, 0,
  IF(COLUMN() - ($E10 + 5) = 0, $F10,
    BJ10 * (1 - IFERROR(INDEX('Inputs &amp; Assuptions'!$C$13:$C$72, COLUMN() - ($E10 + 5)), 0))
  )
)</f>
        <v>737.23669136798742</v>
      </c>
      <c r="BL10" s="32">
        <f t="array" ref="BL10">IF(COLUMN() - ($E10 + 5) &lt; 0, 0,
  IF(COLUMN() - ($E10 + 5) = 0, $F10,
    BK10 * (1 - IFERROR(INDEX('Inputs &amp; Assuptions'!$C$13:$C$72, COLUMN() - ($E10 + 5)), 0))
  )
)</f>
        <v>733.55050791114752</v>
      </c>
      <c r="BM10" s="66">
        <f t="array" ref="BM10">IF(COLUMN() - ($E10 + 5) &lt; 0, 0,
  IF(COLUMN() - ($E10 + 5) = 0, $F10,
    BL10 * (1 - IFERROR(INDEX('Inputs &amp; Assuptions'!$C$13:$C$72, COLUMN() - ($E10 + 5)), 0))
  )
)</f>
        <v>729.88275537159177</v>
      </c>
      <c r="BN10" s="33"/>
    </row>
    <row r="11" spans="1:67" x14ac:dyDescent="0.3">
      <c r="A11" s="71">
        <f t="shared" si="2"/>
        <v>6</v>
      </c>
      <c r="B11" s="75">
        <f t="shared" si="4"/>
        <v>1500</v>
      </c>
      <c r="C11" s="81">
        <f>$B11*(1-'Inputs &amp; Assuptions'!$C$12)</f>
        <v>1170</v>
      </c>
      <c r="E11" s="71">
        <f t="shared" si="3"/>
        <v>6</v>
      </c>
      <c r="F11" s="65"/>
      <c r="G11" s="32"/>
      <c r="H11" s="32"/>
      <c r="I11" s="32"/>
      <c r="J11" s="32"/>
      <c r="K11" s="32">
        <f>$C11</f>
        <v>1170</v>
      </c>
      <c r="L11" s="32">
        <f t="array" ref="L11">IF(COLUMN() - ($E11 + 5) &lt; 0, 0,
  IF(COLUMN() - ($E11 + 5) = 0, $F11,
    K11 * (1 - IFERROR(INDEX('Inputs &amp; Assuptions'!$C$13:$C$72, COLUMN() - ($E11 + 5)), 0))
  )
)</f>
        <v>1108.575</v>
      </c>
      <c r="M11" s="32">
        <f t="array" ref="M11">IF(COLUMN() - ($E11 + 5) &lt; 0, 0,
  IF(COLUMN() - ($E11 + 5) = 0, $F11,
    L11 * (1 - IFERROR(INDEX('Inputs &amp; Assuptions'!$C$13:$C$72, COLUMN() - ($E11 + 5)), 0))
  )
)</f>
        <v>1064.232</v>
      </c>
      <c r="N11" s="32">
        <f t="array" ref="N11">IF(COLUMN() - ($E11 + 5) &lt; 0, 0,
  IF(COLUMN() - ($E11 + 5) = 0, $F11,
    M11 * (1 - IFERROR(INDEX('Inputs &amp; Assuptions'!$C$13:$C$72, COLUMN() - ($E11 + 5)), 0))
  )
)</f>
        <v>1034.9656199999999</v>
      </c>
      <c r="O11" s="32">
        <f t="array" ref="O11">IF(COLUMN() - ($E11 + 5) &lt; 0, 0,
  IF(COLUMN() - ($E11 + 5) = 0, $F11,
    N11 * (1 - IFERROR(INDEX('Inputs &amp; Assuptions'!$C$13:$C$72, COLUMN() - ($E11 + 5)), 0))
  )
)</f>
        <v>1009.0914794999999</v>
      </c>
      <c r="P11" s="32">
        <f t="array" ref="P11">IF(COLUMN() - ($E11 + 5) &lt; 0, 0,
  IF(COLUMN() - ($E11 + 5) = 0, $F11,
    O11 * (1 - IFERROR(INDEX('Inputs &amp; Assuptions'!$C$13:$C$72, COLUMN() - ($E11 + 5)), 0))
  )
)</f>
        <v>986.38692121124996</v>
      </c>
      <c r="Q11" s="32">
        <f t="array" ref="Q11">IF(COLUMN() - ($E11 + 5) &lt; 0, 0,
  IF(COLUMN() - ($E11 + 5) = 0, $F11,
    P11 * (1 - IFERROR(INDEX('Inputs &amp; Assuptions'!$C$13:$C$72, COLUMN() - ($E11 + 5)), 0))
  )
)</f>
        <v>966.65918278702497</v>
      </c>
      <c r="R11" s="32">
        <f t="array" ref="R11">IF(COLUMN() - ($E11 + 5) &lt; 0, 0,
  IF(COLUMN() - ($E11 + 5) = 0, $F11,
    Q11 * (1 - IFERROR(INDEX('Inputs &amp; Assuptions'!$C$13:$C$72, COLUMN() - ($E11 + 5)), 0))
  )
)</f>
        <v>949.74264708825206</v>
      </c>
      <c r="S11" s="32">
        <f t="array" ref="S11">IF(COLUMN() - ($E11 + 5) &lt; 0, 0,
  IF(COLUMN() - ($E11 + 5) = 0, $F11,
    R11 * (1 - IFERROR(INDEX('Inputs &amp; Assuptions'!$C$13:$C$72, COLUMN() - ($E11 + 5)), 0))
  )
)</f>
        <v>935.49650738192827</v>
      </c>
      <c r="T11" s="32">
        <f t="array" ref="T11">IF(COLUMN() - ($E11 + 5) &lt; 0, 0,
  IF(COLUMN() - ($E11 + 5) = 0, $F11,
    S11 * (1 - IFERROR(INDEX('Inputs &amp; Assuptions'!$C$13:$C$72, COLUMN() - ($E11 + 5)), 0))
  )
)</f>
        <v>923.80280103965424</v>
      </c>
      <c r="U11" s="32">
        <f t="array" ref="U11">IF(COLUMN() - ($E11 + 5) &lt; 0, 0,
  IF(COLUMN() - ($E11 + 5) = 0, $F11,
    T11 * (1 - IFERROR(INDEX('Inputs &amp; Assuptions'!$C$13:$C$72, COLUMN() - ($E11 + 5)), 0))
  )
)</f>
        <v>914.56477302925771</v>
      </c>
      <c r="V11" s="32">
        <f t="array" ref="V11">IF(COLUMN() - ($E11 + 5) &lt; 0, 0,
  IF(COLUMN() - ($E11 + 5) = 0, $F11,
    U11 * (1 - IFERROR(INDEX('Inputs &amp; Assuptions'!$C$13:$C$72, COLUMN() - ($E11 + 5)), 0))
  )
)</f>
        <v>909.99194916411136</v>
      </c>
      <c r="W11" s="32">
        <f t="array" ref="W11">IF(COLUMN() - ($E11 + 5) &lt; 0, 0,
  IF(COLUMN() - ($E11 + 5) = 0, $F11,
    V11 * (1 - IFERROR(INDEX('Inputs &amp; Assuptions'!$C$13:$C$72, COLUMN() - ($E11 + 5)), 0))
  )
)</f>
        <v>905.44198941829075</v>
      </c>
      <c r="X11" s="32">
        <f t="array" ref="X11">IF(COLUMN() - ($E11 + 5) &lt; 0, 0,
  IF(COLUMN() - ($E11 + 5) = 0, $F11,
    W11 * (1 - IFERROR(INDEX('Inputs &amp; Assuptions'!$C$13:$C$72, COLUMN() - ($E11 + 5)), 0))
  )
)</f>
        <v>900.91477947119927</v>
      </c>
      <c r="Y11" s="32">
        <f t="array" ref="Y11">IF(COLUMN() - ($E11 + 5) &lt; 0, 0,
  IF(COLUMN() - ($E11 + 5) = 0, $F11,
    X11 * (1 - IFERROR(INDEX('Inputs &amp; Assuptions'!$C$13:$C$72, COLUMN() - ($E11 + 5)), 0))
  )
)</f>
        <v>896.41020557384331</v>
      </c>
      <c r="Z11" s="32">
        <f t="array" ref="Z11">IF(COLUMN() - ($E11 + 5) &lt; 0, 0,
  IF(COLUMN() - ($E11 + 5) = 0, $F11,
    Y11 * (1 - IFERROR(INDEX('Inputs &amp; Assuptions'!$C$13:$C$72, COLUMN() - ($E11 + 5)), 0))
  )
)</f>
        <v>891.92815454597405</v>
      </c>
      <c r="AA11" s="32">
        <f t="array" ref="AA11">IF(COLUMN() - ($E11 + 5) &lt; 0, 0,
  IF(COLUMN() - ($E11 + 5) = 0, $F11,
    Z11 * (1 - IFERROR(INDEX('Inputs &amp; Assuptions'!$C$13:$C$72, COLUMN() - ($E11 + 5)), 0))
  )
)</f>
        <v>887.46851377324413</v>
      </c>
      <c r="AB11" s="32">
        <f t="array" ref="AB11">IF(COLUMN() - ($E11 + 5) &lt; 0, 0,
  IF(COLUMN() - ($E11 + 5) = 0, $F11,
    AA11 * (1 - IFERROR(INDEX('Inputs &amp; Assuptions'!$C$13:$C$72, COLUMN() - ($E11 + 5)), 0))
  )
)</f>
        <v>883.03117120437787</v>
      </c>
      <c r="AC11" s="32">
        <f t="array" ref="AC11">IF(COLUMN() - ($E11 + 5) &lt; 0, 0,
  IF(COLUMN() - ($E11 + 5) = 0, $F11,
    AB11 * (1 - IFERROR(INDEX('Inputs &amp; Assuptions'!$C$13:$C$72, COLUMN() - ($E11 + 5)), 0))
  )
)</f>
        <v>878.61601534835597</v>
      </c>
      <c r="AD11" s="32">
        <f t="array" ref="AD11">IF(COLUMN() - ($E11 + 5) &lt; 0, 0,
  IF(COLUMN() - ($E11 + 5) = 0, $F11,
    AC11 * (1 - IFERROR(INDEX('Inputs &amp; Assuptions'!$C$13:$C$72, COLUMN() - ($E11 + 5)), 0))
  )
)</f>
        <v>874.22293527161423</v>
      </c>
      <c r="AE11" s="32">
        <f t="array" ref="AE11">IF(COLUMN() - ($E11 + 5) &lt; 0, 0,
  IF(COLUMN() - ($E11 + 5) = 0, $F11,
    AD11 * (1 - IFERROR(INDEX('Inputs &amp; Assuptions'!$C$13:$C$72, COLUMN() - ($E11 + 5)), 0))
  )
)</f>
        <v>869.85182059525619</v>
      </c>
      <c r="AF11" s="32">
        <f t="array" ref="AF11">IF(COLUMN() - ($E11 + 5) &lt; 0, 0,
  IF(COLUMN() - ($E11 + 5) = 0, $F11,
    AE11 * (1 - IFERROR(INDEX('Inputs &amp; Assuptions'!$C$13:$C$72, COLUMN() - ($E11 + 5)), 0))
  )
)</f>
        <v>865.50256149227994</v>
      </c>
      <c r="AG11" s="32">
        <f t="array" ref="AG11">IF(COLUMN() - ($E11 + 5) &lt; 0, 0,
  IF(COLUMN() - ($E11 + 5) = 0, $F11,
    AF11 * (1 - IFERROR(INDEX('Inputs &amp; Assuptions'!$C$13:$C$72, COLUMN() - ($E11 + 5)), 0))
  )
)</f>
        <v>861.17504868481853</v>
      </c>
      <c r="AH11" s="32">
        <f t="array" ref="AH11">IF(COLUMN() - ($E11 + 5) &lt; 0, 0,
  IF(COLUMN() - ($E11 + 5) = 0, $F11,
    AG11 * (1 - IFERROR(INDEX('Inputs &amp; Assuptions'!$C$13:$C$72, COLUMN() - ($E11 + 5)), 0))
  )
)</f>
        <v>856.86917344139442</v>
      </c>
      <c r="AI11" s="32">
        <f t="array" ref="AI11">IF(COLUMN() - ($E11 + 5) &lt; 0, 0,
  IF(COLUMN() - ($E11 + 5) = 0, $F11,
    AH11 * (1 - IFERROR(INDEX('Inputs &amp; Assuptions'!$C$13:$C$72, COLUMN() - ($E11 + 5)), 0))
  )
)</f>
        <v>852.58482757418744</v>
      </c>
      <c r="AJ11" s="32">
        <f t="array" ref="AJ11">IF(COLUMN() - ($E11 + 5) &lt; 0, 0,
  IF(COLUMN() - ($E11 + 5) = 0, $F11,
    AI11 * (1 - IFERROR(INDEX('Inputs &amp; Assuptions'!$C$13:$C$72, COLUMN() - ($E11 + 5)), 0))
  )
)</f>
        <v>848.32190343631646</v>
      </c>
      <c r="AK11" s="32">
        <f t="array" ref="AK11">IF(COLUMN() - ($E11 + 5) &lt; 0, 0,
  IF(COLUMN() - ($E11 + 5) = 0, $F11,
    AJ11 * (1 - IFERROR(INDEX('Inputs &amp; Assuptions'!$C$13:$C$72, COLUMN() - ($E11 + 5)), 0))
  )
)</f>
        <v>844.08029391913487</v>
      </c>
      <c r="AL11" s="32">
        <f t="array" ref="AL11">IF(COLUMN() - ($E11 + 5) &lt; 0, 0,
  IF(COLUMN() - ($E11 + 5) = 0, $F11,
    AK11 * (1 - IFERROR(INDEX('Inputs &amp; Assuptions'!$C$13:$C$72, COLUMN() - ($E11 + 5)), 0))
  )
)</f>
        <v>839.85989244953919</v>
      </c>
      <c r="AM11" s="32">
        <f t="array" ref="AM11">IF(COLUMN() - ($E11 + 5) &lt; 0, 0,
  IF(COLUMN() - ($E11 + 5) = 0, $F11,
    AL11 * (1 - IFERROR(INDEX('Inputs &amp; Assuptions'!$C$13:$C$72, COLUMN() - ($E11 + 5)), 0))
  )
)</f>
        <v>835.66059298729147</v>
      </c>
      <c r="AN11" s="32">
        <f t="array" ref="AN11">IF(COLUMN() - ($E11 + 5) &lt; 0, 0,
  IF(COLUMN() - ($E11 + 5) = 0, $F11,
    AM11 * (1 - IFERROR(INDEX('Inputs &amp; Assuptions'!$C$13:$C$72, COLUMN() - ($E11 + 5)), 0))
  )
)</f>
        <v>831.48229002235496</v>
      </c>
      <c r="AO11" s="32">
        <f t="array" ref="AO11">IF(COLUMN() - ($E11 + 5) &lt; 0, 0,
  IF(COLUMN() - ($E11 + 5) = 0, $F11,
    AN11 * (1 - IFERROR(INDEX('Inputs &amp; Assuptions'!$C$13:$C$72, COLUMN() - ($E11 + 5)), 0))
  )
)</f>
        <v>827.32487857224316</v>
      </c>
      <c r="AP11" s="32">
        <f t="array" ref="AP11">IF(COLUMN() - ($E11 + 5) &lt; 0, 0,
  IF(COLUMN() - ($E11 + 5) = 0, $F11,
    AO11 * (1 - IFERROR(INDEX('Inputs &amp; Assuptions'!$C$13:$C$72, COLUMN() - ($E11 + 5)), 0))
  )
)</f>
        <v>823.18825417938194</v>
      </c>
      <c r="AQ11" s="32">
        <f t="array" ref="AQ11">IF(COLUMN() - ($E11 + 5) &lt; 0, 0,
  IF(COLUMN() - ($E11 + 5) = 0, $F11,
    AP11 * (1 - IFERROR(INDEX('Inputs &amp; Assuptions'!$C$13:$C$72, COLUMN() - ($E11 + 5)), 0))
  )
)</f>
        <v>819.07231290848506</v>
      </c>
      <c r="AR11" s="32">
        <f t="array" ref="AR11">IF(COLUMN() - ($E11 + 5) &lt; 0, 0,
  IF(COLUMN() - ($E11 + 5) = 0, $F11,
    AQ11 * (1 - IFERROR(INDEX('Inputs &amp; Assuptions'!$C$13:$C$72, COLUMN() - ($E11 + 5)), 0))
  )
)</f>
        <v>814.97695134394269</v>
      </c>
      <c r="AS11" s="32">
        <f t="array" ref="AS11">IF(COLUMN() - ($E11 + 5) &lt; 0, 0,
  IF(COLUMN() - ($E11 + 5) = 0, $F11,
    AR11 * (1 - IFERROR(INDEX('Inputs &amp; Assuptions'!$C$13:$C$72, COLUMN() - ($E11 + 5)), 0))
  )
)</f>
        <v>810.90206658722298</v>
      </c>
      <c r="AT11" s="32">
        <f t="array" ref="AT11">IF(COLUMN() - ($E11 + 5) &lt; 0, 0,
  IF(COLUMN() - ($E11 + 5) = 0, $F11,
    AS11 * (1 - IFERROR(INDEX('Inputs &amp; Assuptions'!$C$13:$C$72, COLUMN() - ($E11 + 5)), 0))
  )
)</f>
        <v>806.84755625428681</v>
      </c>
      <c r="AU11" s="32">
        <f t="array" ref="AU11">IF(COLUMN() - ($E11 + 5) &lt; 0, 0,
  IF(COLUMN() - ($E11 + 5) = 0, $F11,
    AT11 * (1 - IFERROR(INDEX('Inputs &amp; Assuptions'!$C$13:$C$72, COLUMN() - ($E11 + 5)), 0))
  )
)</f>
        <v>802.81331847301533</v>
      </c>
      <c r="AV11" s="32">
        <f t="array" ref="AV11">IF(COLUMN() - ($E11 + 5) &lt; 0, 0,
  IF(COLUMN() - ($E11 + 5) = 0, $F11,
    AU11 * (1 - IFERROR(INDEX('Inputs &amp; Assuptions'!$C$13:$C$72, COLUMN() - ($E11 + 5)), 0))
  )
)</f>
        <v>798.79925188065022</v>
      </c>
      <c r="AW11" s="32">
        <f t="array" ref="AW11">IF(COLUMN() - ($E11 + 5) &lt; 0, 0,
  IF(COLUMN() - ($E11 + 5) = 0, $F11,
    AV11 * (1 - IFERROR(INDEX('Inputs &amp; Assuptions'!$C$13:$C$72, COLUMN() - ($E11 + 5)), 0))
  )
)</f>
        <v>794.80525562124694</v>
      </c>
      <c r="AX11" s="32">
        <f t="array" ref="AX11">IF(COLUMN() - ($E11 + 5) &lt; 0, 0,
  IF(COLUMN() - ($E11 + 5) = 0, $F11,
    AW11 * (1 - IFERROR(INDEX('Inputs &amp; Assuptions'!$C$13:$C$72, COLUMN() - ($E11 + 5)), 0))
  )
)</f>
        <v>790.83122934314065</v>
      </c>
      <c r="AY11" s="32">
        <f t="array" ref="AY11">IF(COLUMN() - ($E11 + 5) &lt; 0, 0,
  IF(COLUMN() - ($E11 + 5) = 0, $F11,
    AX11 * (1 - IFERROR(INDEX('Inputs &amp; Assuptions'!$C$13:$C$72, COLUMN() - ($E11 + 5)), 0))
  )
)</f>
        <v>786.87707319642493</v>
      </c>
      <c r="AZ11" s="32">
        <f t="array" ref="AZ11">IF(COLUMN() - ($E11 + 5) &lt; 0, 0,
  IF(COLUMN() - ($E11 + 5) = 0, $F11,
    AY11 * (1 - IFERROR(INDEX('Inputs &amp; Assuptions'!$C$13:$C$72, COLUMN() - ($E11 + 5)), 0))
  )
)</f>
        <v>782.94268783044276</v>
      </c>
      <c r="BA11" s="32">
        <f t="array" ref="BA11">IF(COLUMN() - ($E11 + 5) &lt; 0, 0,
  IF(COLUMN() - ($E11 + 5) = 0, $F11,
    AZ11 * (1 - IFERROR(INDEX('Inputs &amp; Assuptions'!$C$13:$C$72, COLUMN() - ($E11 + 5)), 0))
  )
)</f>
        <v>779.02797439129051</v>
      </c>
      <c r="BB11" s="32">
        <f t="array" ref="BB11">IF(COLUMN() - ($E11 + 5) &lt; 0, 0,
  IF(COLUMN() - ($E11 + 5) = 0, $F11,
    BA11 * (1 - IFERROR(INDEX('Inputs &amp; Assuptions'!$C$13:$C$72, COLUMN() - ($E11 + 5)), 0))
  )
)</f>
        <v>775.1328345193341</v>
      </c>
      <c r="BC11" s="32">
        <f t="array" ref="BC11">IF(COLUMN() - ($E11 + 5) &lt; 0, 0,
  IF(COLUMN() - ($E11 + 5) = 0, $F11,
    BB11 * (1 - IFERROR(INDEX('Inputs &amp; Assuptions'!$C$13:$C$72, COLUMN() - ($E11 + 5)), 0))
  )
)</f>
        <v>771.25717034673744</v>
      </c>
      <c r="BD11" s="32">
        <f t="array" ref="BD11">IF(COLUMN() - ($E11 + 5) &lt; 0, 0,
  IF(COLUMN() - ($E11 + 5) = 0, $F11,
    BC11 * (1 - IFERROR(INDEX('Inputs &amp; Assuptions'!$C$13:$C$72, COLUMN() - ($E11 + 5)), 0))
  )
)</f>
        <v>767.40088449500377</v>
      </c>
      <c r="BE11" s="32">
        <f t="array" ref="BE11">IF(COLUMN() - ($E11 + 5) &lt; 0, 0,
  IF(COLUMN() - ($E11 + 5) = 0, $F11,
    BD11 * (1 - IFERROR(INDEX('Inputs &amp; Assuptions'!$C$13:$C$72, COLUMN() - ($E11 + 5)), 0))
  )
)</f>
        <v>763.56388007252872</v>
      </c>
      <c r="BF11" s="32">
        <f t="array" ref="BF11">IF(COLUMN() - ($E11 + 5) &lt; 0, 0,
  IF(COLUMN() - ($E11 + 5) = 0, $F11,
    BE11 * (1 - IFERROR(INDEX('Inputs &amp; Assuptions'!$C$13:$C$72, COLUMN() - ($E11 + 5)), 0))
  )
)</f>
        <v>759.7460606721661</v>
      </c>
      <c r="BG11" s="32">
        <f t="array" ref="BG11">IF(COLUMN() - ($E11 + 5) &lt; 0, 0,
  IF(COLUMN() - ($E11 + 5) = 0, $F11,
    BF11 * (1 - IFERROR(INDEX('Inputs &amp; Assuptions'!$C$13:$C$72, COLUMN() - ($E11 + 5)), 0))
  )
)</f>
        <v>755.9473303688053</v>
      </c>
      <c r="BH11" s="32">
        <f t="array" ref="BH11">IF(COLUMN() - ($E11 + 5) &lt; 0, 0,
  IF(COLUMN() - ($E11 + 5) = 0, $F11,
    BG11 * (1 - IFERROR(INDEX('Inputs &amp; Assuptions'!$C$13:$C$72, COLUMN() - ($E11 + 5)), 0))
  )
)</f>
        <v>752.16759371696128</v>
      </c>
      <c r="BI11" s="32">
        <f t="array" ref="BI11">IF(COLUMN() - ($E11 + 5) &lt; 0, 0,
  IF(COLUMN() - ($E11 + 5) = 0, $F11,
    BH11 * (1 - IFERROR(INDEX('Inputs &amp; Assuptions'!$C$13:$C$72, COLUMN() - ($E11 + 5)), 0))
  )
)</f>
        <v>748.40675574837644</v>
      </c>
      <c r="BJ11" s="32">
        <f t="array" ref="BJ11">IF(COLUMN() - ($E11 + 5) &lt; 0, 0,
  IF(COLUMN() - ($E11 + 5) = 0, $F11,
    BI11 * (1 - IFERROR(INDEX('Inputs &amp; Assuptions'!$C$13:$C$72, COLUMN() - ($E11 + 5)), 0))
  )
)</f>
        <v>744.66472196963457</v>
      </c>
      <c r="BK11" s="32">
        <f t="array" ref="BK11">IF(COLUMN() - ($E11 + 5) &lt; 0, 0,
  IF(COLUMN() - ($E11 + 5) = 0, $F11,
    BJ11 * (1 - IFERROR(INDEX('Inputs &amp; Assuptions'!$C$13:$C$72, COLUMN() - ($E11 + 5)), 0))
  )
)</f>
        <v>740.94139835978638</v>
      </c>
      <c r="BL11" s="32">
        <f t="array" ref="BL11">IF(COLUMN() - ($E11 + 5) &lt; 0, 0,
  IF(COLUMN() - ($E11 + 5) = 0, $F11,
    BK11 * (1 - IFERROR(INDEX('Inputs &amp; Assuptions'!$C$13:$C$72, COLUMN() - ($E11 + 5)), 0))
  )
)</f>
        <v>737.23669136798742</v>
      </c>
      <c r="BM11" s="66">
        <f t="array" ref="BM11">IF(COLUMN() - ($E11 + 5) &lt; 0, 0,
  IF(COLUMN() - ($E11 + 5) = 0, $F11,
    BL11 * (1 - IFERROR(INDEX('Inputs &amp; Assuptions'!$C$13:$C$72, COLUMN() - ($E11 + 5)), 0))
  )
)</f>
        <v>733.55050791114752</v>
      </c>
      <c r="BN11" s="33"/>
    </row>
    <row r="12" spans="1:67" x14ac:dyDescent="0.3">
      <c r="A12" s="71">
        <f t="shared" si="2"/>
        <v>7</v>
      </c>
      <c r="B12" s="75">
        <f t="shared" si="4"/>
        <v>1500</v>
      </c>
      <c r="C12" s="81">
        <f>$B12*(1-'Inputs &amp; Assuptions'!$C$12)</f>
        <v>1170</v>
      </c>
      <c r="E12" s="71">
        <f t="shared" si="3"/>
        <v>7</v>
      </c>
      <c r="F12" s="65"/>
      <c r="G12" s="32"/>
      <c r="H12" s="32"/>
      <c r="I12" s="32"/>
      <c r="J12" s="32"/>
      <c r="K12" s="32"/>
      <c r="L12" s="32">
        <f>$C12</f>
        <v>1170</v>
      </c>
      <c r="M12" s="32">
        <f t="array" ref="M12">IF(COLUMN() - ($E12 + 5) &lt; 0, 0,
  IF(COLUMN() - ($E12 + 5) = 0, $F12,
    L12 * (1 - IFERROR(INDEX('Inputs &amp; Assuptions'!$C$13:$C$72, COLUMN() - ($E12 + 5)), 0))
  )
)</f>
        <v>1108.575</v>
      </c>
      <c r="N12" s="32">
        <f t="array" ref="N12">IF(COLUMN() - ($E12 + 5) &lt; 0, 0,
  IF(COLUMN() - ($E12 + 5) = 0, $F12,
    M12 * (1 - IFERROR(INDEX('Inputs &amp; Assuptions'!$C$13:$C$72, COLUMN() - ($E12 + 5)), 0))
  )
)</f>
        <v>1064.232</v>
      </c>
      <c r="O12" s="32">
        <f t="array" ref="O12">IF(COLUMN() - ($E12 + 5) &lt; 0, 0,
  IF(COLUMN() - ($E12 + 5) = 0, $F12,
    N12 * (1 - IFERROR(INDEX('Inputs &amp; Assuptions'!$C$13:$C$72, COLUMN() - ($E12 + 5)), 0))
  )
)</f>
        <v>1034.9656199999999</v>
      </c>
      <c r="P12" s="32">
        <f t="array" ref="P12">IF(COLUMN() - ($E12 + 5) &lt; 0, 0,
  IF(COLUMN() - ($E12 + 5) = 0, $F12,
    O12 * (1 - IFERROR(INDEX('Inputs &amp; Assuptions'!$C$13:$C$72, COLUMN() - ($E12 + 5)), 0))
  )
)</f>
        <v>1009.0914794999999</v>
      </c>
      <c r="Q12" s="32">
        <f t="array" ref="Q12">IF(COLUMN() - ($E12 + 5) &lt; 0, 0,
  IF(COLUMN() - ($E12 + 5) = 0, $F12,
    P12 * (1 - IFERROR(INDEX('Inputs &amp; Assuptions'!$C$13:$C$72, COLUMN() - ($E12 + 5)), 0))
  )
)</f>
        <v>986.38692121124996</v>
      </c>
      <c r="R12" s="32">
        <f t="array" ref="R12">IF(COLUMN() - ($E12 + 5) &lt; 0, 0,
  IF(COLUMN() - ($E12 + 5) = 0, $F12,
    Q12 * (1 - IFERROR(INDEX('Inputs &amp; Assuptions'!$C$13:$C$72, COLUMN() - ($E12 + 5)), 0))
  )
)</f>
        <v>966.65918278702497</v>
      </c>
      <c r="S12" s="32">
        <f t="array" ref="S12">IF(COLUMN() - ($E12 + 5) &lt; 0, 0,
  IF(COLUMN() - ($E12 + 5) = 0, $F12,
    R12 * (1 - IFERROR(INDEX('Inputs &amp; Assuptions'!$C$13:$C$72, COLUMN() - ($E12 + 5)), 0))
  )
)</f>
        <v>949.74264708825206</v>
      </c>
      <c r="T12" s="32">
        <f t="array" ref="T12">IF(COLUMN() - ($E12 + 5) &lt; 0, 0,
  IF(COLUMN() - ($E12 + 5) = 0, $F12,
    S12 * (1 - IFERROR(INDEX('Inputs &amp; Assuptions'!$C$13:$C$72, COLUMN() - ($E12 + 5)), 0))
  )
)</f>
        <v>935.49650738192827</v>
      </c>
      <c r="U12" s="32">
        <f t="array" ref="U12">IF(COLUMN() - ($E12 + 5) &lt; 0, 0,
  IF(COLUMN() - ($E12 + 5) = 0, $F12,
    T12 * (1 - IFERROR(INDEX('Inputs &amp; Assuptions'!$C$13:$C$72, COLUMN() - ($E12 + 5)), 0))
  )
)</f>
        <v>923.80280103965424</v>
      </c>
      <c r="V12" s="32">
        <f t="array" ref="V12">IF(COLUMN() - ($E12 + 5) &lt; 0, 0,
  IF(COLUMN() - ($E12 + 5) = 0, $F12,
    U12 * (1 - IFERROR(INDEX('Inputs &amp; Assuptions'!$C$13:$C$72, COLUMN() - ($E12 + 5)), 0))
  )
)</f>
        <v>914.56477302925771</v>
      </c>
      <c r="W12" s="32">
        <f t="array" ref="W12">IF(COLUMN() - ($E12 + 5) &lt; 0, 0,
  IF(COLUMN() - ($E12 + 5) = 0, $F12,
    V12 * (1 - IFERROR(INDEX('Inputs &amp; Assuptions'!$C$13:$C$72, COLUMN() - ($E12 + 5)), 0))
  )
)</f>
        <v>909.99194916411136</v>
      </c>
      <c r="X12" s="32">
        <f t="array" ref="X12">IF(COLUMN() - ($E12 + 5) &lt; 0, 0,
  IF(COLUMN() - ($E12 + 5) = 0, $F12,
    W12 * (1 - IFERROR(INDEX('Inputs &amp; Assuptions'!$C$13:$C$72, COLUMN() - ($E12 + 5)), 0))
  )
)</f>
        <v>905.44198941829075</v>
      </c>
      <c r="Y12" s="32">
        <f t="array" ref="Y12">IF(COLUMN() - ($E12 + 5) &lt; 0, 0,
  IF(COLUMN() - ($E12 + 5) = 0, $F12,
    X12 * (1 - IFERROR(INDEX('Inputs &amp; Assuptions'!$C$13:$C$72, COLUMN() - ($E12 + 5)), 0))
  )
)</f>
        <v>900.91477947119927</v>
      </c>
      <c r="Z12" s="32">
        <f t="array" ref="Z12">IF(COLUMN() - ($E12 + 5) &lt; 0, 0,
  IF(COLUMN() - ($E12 + 5) = 0, $F12,
    Y12 * (1 - IFERROR(INDEX('Inputs &amp; Assuptions'!$C$13:$C$72, COLUMN() - ($E12 + 5)), 0))
  )
)</f>
        <v>896.41020557384331</v>
      </c>
      <c r="AA12" s="32">
        <f t="array" ref="AA12">IF(COLUMN() - ($E12 + 5) &lt; 0, 0,
  IF(COLUMN() - ($E12 + 5) = 0, $F12,
    Z12 * (1 - IFERROR(INDEX('Inputs &amp; Assuptions'!$C$13:$C$72, COLUMN() - ($E12 + 5)), 0))
  )
)</f>
        <v>891.92815454597405</v>
      </c>
      <c r="AB12" s="32">
        <f t="array" ref="AB12">IF(COLUMN() - ($E12 + 5) &lt; 0, 0,
  IF(COLUMN() - ($E12 + 5) = 0, $F12,
    AA12 * (1 - IFERROR(INDEX('Inputs &amp; Assuptions'!$C$13:$C$72, COLUMN() - ($E12 + 5)), 0))
  )
)</f>
        <v>887.46851377324413</v>
      </c>
      <c r="AC12" s="32">
        <f t="array" ref="AC12">IF(COLUMN() - ($E12 + 5) &lt; 0, 0,
  IF(COLUMN() - ($E12 + 5) = 0, $F12,
    AB12 * (1 - IFERROR(INDEX('Inputs &amp; Assuptions'!$C$13:$C$72, COLUMN() - ($E12 + 5)), 0))
  )
)</f>
        <v>883.03117120437787</v>
      </c>
      <c r="AD12" s="32">
        <f t="array" ref="AD12">IF(COLUMN() - ($E12 + 5) &lt; 0, 0,
  IF(COLUMN() - ($E12 + 5) = 0, $F12,
    AC12 * (1 - IFERROR(INDEX('Inputs &amp; Assuptions'!$C$13:$C$72, COLUMN() - ($E12 + 5)), 0))
  )
)</f>
        <v>878.61601534835597</v>
      </c>
      <c r="AE12" s="32">
        <f t="array" ref="AE12">IF(COLUMN() - ($E12 + 5) &lt; 0, 0,
  IF(COLUMN() - ($E12 + 5) = 0, $F12,
    AD12 * (1 - IFERROR(INDEX('Inputs &amp; Assuptions'!$C$13:$C$72, COLUMN() - ($E12 + 5)), 0))
  )
)</f>
        <v>874.22293527161423</v>
      </c>
      <c r="AF12" s="32">
        <f t="array" ref="AF12">IF(COLUMN() - ($E12 + 5) &lt; 0, 0,
  IF(COLUMN() - ($E12 + 5) = 0, $F12,
    AE12 * (1 - IFERROR(INDEX('Inputs &amp; Assuptions'!$C$13:$C$72, COLUMN() - ($E12 + 5)), 0))
  )
)</f>
        <v>869.85182059525619</v>
      </c>
      <c r="AG12" s="32">
        <f t="array" ref="AG12">IF(COLUMN() - ($E12 + 5) &lt; 0, 0,
  IF(COLUMN() - ($E12 + 5) = 0, $F12,
    AF12 * (1 - IFERROR(INDEX('Inputs &amp; Assuptions'!$C$13:$C$72, COLUMN() - ($E12 + 5)), 0))
  )
)</f>
        <v>865.50256149227994</v>
      </c>
      <c r="AH12" s="32">
        <f t="array" ref="AH12">IF(COLUMN() - ($E12 + 5) &lt; 0, 0,
  IF(COLUMN() - ($E12 + 5) = 0, $F12,
    AG12 * (1 - IFERROR(INDEX('Inputs &amp; Assuptions'!$C$13:$C$72, COLUMN() - ($E12 + 5)), 0))
  )
)</f>
        <v>861.17504868481853</v>
      </c>
      <c r="AI12" s="32">
        <f t="array" ref="AI12">IF(COLUMN() - ($E12 + 5) &lt; 0, 0,
  IF(COLUMN() - ($E12 + 5) = 0, $F12,
    AH12 * (1 - IFERROR(INDEX('Inputs &amp; Assuptions'!$C$13:$C$72, COLUMN() - ($E12 + 5)), 0))
  )
)</f>
        <v>856.86917344139442</v>
      </c>
      <c r="AJ12" s="32">
        <f t="array" ref="AJ12">IF(COLUMN() - ($E12 + 5) &lt; 0, 0,
  IF(COLUMN() - ($E12 + 5) = 0, $F12,
    AI12 * (1 - IFERROR(INDEX('Inputs &amp; Assuptions'!$C$13:$C$72, COLUMN() - ($E12 + 5)), 0))
  )
)</f>
        <v>852.58482757418744</v>
      </c>
      <c r="AK12" s="32">
        <f t="array" ref="AK12">IF(COLUMN() - ($E12 + 5) &lt; 0, 0,
  IF(COLUMN() - ($E12 + 5) = 0, $F12,
    AJ12 * (1 - IFERROR(INDEX('Inputs &amp; Assuptions'!$C$13:$C$72, COLUMN() - ($E12 + 5)), 0))
  )
)</f>
        <v>848.32190343631646</v>
      </c>
      <c r="AL12" s="32">
        <f t="array" ref="AL12">IF(COLUMN() - ($E12 + 5) &lt; 0, 0,
  IF(COLUMN() - ($E12 + 5) = 0, $F12,
    AK12 * (1 - IFERROR(INDEX('Inputs &amp; Assuptions'!$C$13:$C$72, COLUMN() - ($E12 + 5)), 0))
  )
)</f>
        <v>844.08029391913487</v>
      </c>
      <c r="AM12" s="32">
        <f t="array" ref="AM12">IF(COLUMN() - ($E12 + 5) &lt; 0, 0,
  IF(COLUMN() - ($E12 + 5) = 0, $F12,
    AL12 * (1 - IFERROR(INDEX('Inputs &amp; Assuptions'!$C$13:$C$72, COLUMN() - ($E12 + 5)), 0))
  )
)</f>
        <v>839.85989244953919</v>
      </c>
      <c r="AN12" s="32">
        <f t="array" ref="AN12">IF(COLUMN() - ($E12 + 5) &lt; 0, 0,
  IF(COLUMN() - ($E12 + 5) = 0, $F12,
    AM12 * (1 - IFERROR(INDEX('Inputs &amp; Assuptions'!$C$13:$C$72, COLUMN() - ($E12 + 5)), 0))
  )
)</f>
        <v>835.66059298729147</v>
      </c>
      <c r="AO12" s="32">
        <f t="array" ref="AO12">IF(COLUMN() - ($E12 + 5) &lt; 0, 0,
  IF(COLUMN() - ($E12 + 5) = 0, $F12,
    AN12 * (1 - IFERROR(INDEX('Inputs &amp; Assuptions'!$C$13:$C$72, COLUMN() - ($E12 + 5)), 0))
  )
)</f>
        <v>831.48229002235496</v>
      </c>
      <c r="AP12" s="32">
        <f t="array" ref="AP12">IF(COLUMN() - ($E12 + 5) &lt; 0, 0,
  IF(COLUMN() - ($E12 + 5) = 0, $F12,
    AO12 * (1 - IFERROR(INDEX('Inputs &amp; Assuptions'!$C$13:$C$72, COLUMN() - ($E12 + 5)), 0))
  )
)</f>
        <v>827.32487857224316</v>
      </c>
      <c r="AQ12" s="32">
        <f t="array" ref="AQ12">IF(COLUMN() - ($E12 + 5) &lt; 0, 0,
  IF(COLUMN() - ($E12 + 5) = 0, $F12,
    AP12 * (1 - IFERROR(INDEX('Inputs &amp; Assuptions'!$C$13:$C$72, COLUMN() - ($E12 + 5)), 0))
  )
)</f>
        <v>823.18825417938194</v>
      </c>
      <c r="AR12" s="32">
        <f t="array" ref="AR12">IF(COLUMN() - ($E12 + 5) &lt; 0, 0,
  IF(COLUMN() - ($E12 + 5) = 0, $F12,
    AQ12 * (1 - IFERROR(INDEX('Inputs &amp; Assuptions'!$C$13:$C$72, COLUMN() - ($E12 + 5)), 0))
  )
)</f>
        <v>819.07231290848506</v>
      </c>
      <c r="AS12" s="32">
        <f t="array" ref="AS12">IF(COLUMN() - ($E12 + 5) &lt; 0, 0,
  IF(COLUMN() - ($E12 + 5) = 0, $F12,
    AR12 * (1 - IFERROR(INDEX('Inputs &amp; Assuptions'!$C$13:$C$72, COLUMN() - ($E12 + 5)), 0))
  )
)</f>
        <v>814.97695134394269</v>
      </c>
      <c r="AT12" s="32">
        <f t="array" ref="AT12">IF(COLUMN() - ($E12 + 5) &lt; 0, 0,
  IF(COLUMN() - ($E12 + 5) = 0, $F12,
    AS12 * (1 - IFERROR(INDEX('Inputs &amp; Assuptions'!$C$13:$C$72, COLUMN() - ($E12 + 5)), 0))
  )
)</f>
        <v>810.90206658722298</v>
      </c>
      <c r="AU12" s="32">
        <f t="array" ref="AU12">IF(COLUMN() - ($E12 + 5) &lt; 0, 0,
  IF(COLUMN() - ($E12 + 5) = 0, $F12,
    AT12 * (1 - IFERROR(INDEX('Inputs &amp; Assuptions'!$C$13:$C$72, COLUMN() - ($E12 + 5)), 0))
  )
)</f>
        <v>806.84755625428681</v>
      </c>
      <c r="AV12" s="32">
        <f t="array" ref="AV12">IF(COLUMN() - ($E12 + 5) &lt; 0, 0,
  IF(COLUMN() - ($E12 + 5) = 0, $F12,
    AU12 * (1 - IFERROR(INDEX('Inputs &amp; Assuptions'!$C$13:$C$72, COLUMN() - ($E12 + 5)), 0))
  )
)</f>
        <v>802.81331847301533</v>
      </c>
      <c r="AW12" s="32">
        <f t="array" ref="AW12">IF(COLUMN() - ($E12 + 5) &lt; 0, 0,
  IF(COLUMN() - ($E12 + 5) = 0, $F12,
    AV12 * (1 - IFERROR(INDEX('Inputs &amp; Assuptions'!$C$13:$C$72, COLUMN() - ($E12 + 5)), 0))
  )
)</f>
        <v>798.79925188065022</v>
      </c>
      <c r="AX12" s="32">
        <f t="array" ref="AX12">IF(COLUMN() - ($E12 + 5) &lt; 0, 0,
  IF(COLUMN() - ($E12 + 5) = 0, $F12,
    AW12 * (1 - IFERROR(INDEX('Inputs &amp; Assuptions'!$C$13:$C$72, COLUMN() - ($E12 + 5)), 0))
  )
)</f>
        <v>794.80525562124694</v>
      </c>
      <c r="AY12" s="32">
        <f t="array" ref="AY12">IF(COLUMN() - ($E12 + 5) &lt; 0, 0,
  IF(COLUMN() - ($E12 + 5) = 0, $F12,
    AX12 * (1 - IFERROR(INDEX('Inputs &amp; Assuptions'!$C$13:$C$72, COLUMN() - ($E12 + 5)), 0))
  )
)</f>
        <v>790.83122934314065</v>
      </c>
      <c r="AZ12" s="32">
        <f t="array" ref="AZ12">IF(COLUMN() - ($E12 + 5) &lt; 0, 0,
  IF(COLUMN() - ($E12 + 5) = 0, $F12,
    AY12 * (1 - IFERROR(INDEX('Inputs &amp; Assuptions'!$C$13:$C$72, COLUMN() - ($E12 + 5)), 0))
  )
)</f>
        <v>786.87707319642493</v>
      </c>
      <c r="BA12" s="32">
        <f t="array" ref="BA12">IF(COLUMN() - ($E12 + 5) &lt; 0, 0,
  IF(COLUMN() - ($E12 + 5) = 0, $F12,
    AZ12 * (1 - IFERROR(INDEX('Inputs &amp; Assuptions'!$C$13:$C$72, COLUMN() - ($E12 + 5)), 0))
  )
)</f>
        <v>782.94268783044276</v>
      </c>
      <c r="BB12" s="32">
        <f t="array" ref="BB12">IF(COLUMN() - ($E12 + 5) &lt; 0, 0,
  IF(COLUMN() - ($E12 + 5) = 0, $F12,
    BA12 * (1 - IFERROR(INDEX('Inputs &amp; Assuptions'!$C$13:$C$72, COLUMN() - ($E12 + 5)), 0))
  )
)</f>
        <v>779.02797439129051</v>
      </c>
      <c r="BC12" s="32">
        <f t="array" ref="BC12">IF(COLUMN() - ($E12 + 5) &lt; 0, 0,
  IF(COLUMN() - ($E12 + 5) = 0, $F12,
    BB12 * (1 - IFERROR(INDEX('Inputs &amp; Assuptions'!$C$13:$C$72, COLUMN() - ($E12 + 5)), 0))
  )
)</f>
        <v>775.1328345193341</v>
      </c>
      <c r="BD12" s="32">
        <f t="array" ref="BD12">IF(COLUMN() - ($E12 + 5) &lt; 0, 0,
  IF(COLUMN() - ($E12 + 5) = 0, $F12,
    BC12 * (1 - IFERROR(INDEX('Inputs &amp; Assuptions'!$C$13:$C$72, COLUMN() - ($E12 + 5)), 0))
  )
)</f>
        <v>771.25717034673744</v>
      </c>
      <c r="BE12" s="32">
        <f t="array" ref="BE12">IF(COLUMN() - ($E12 + 5) &lt; 0, 0,
  IF(COLUMN() - ($E12 + 5) = 0, $F12,
    BD12 * (1 - IFERROR(INDEX('Inputs &amp; Assuptions'!$C$13:$C$72, COLUMN() - ($E12 + 5)), 0))
  )
)</f>
        <v>767.40088449500377</v>
      </c>
      <c r="BF12" s="32">
        <f t="array" ref="BF12">IF(COLUMN() - ($E12 + 5) &lt; 0, 0,
  IF(COLUMN() - ($E12 + 5) = 0, $F12,
    BE12 * (1 - IFERROR(INDEX('Inputs &amp; Assuptions'!$C$13:$C$72, COLUMN() - ($E12 + 5)), 0))
  )
)</f>
        <v>763.56388007252872</v>
      </c>
      <c r="BG12" s="32">
        <f t="array" ref="BG12">IF(COLUMN() - ($E12 + 5) &lt; 0, 0,
  IF(COLUMN() - ($E12 + 5) = 0, $F12,
    BF12 * (1 - IFERROR(INDEX('Inputs &amp; Assuptions'!$C$13:$C$72, COLUMN() - ($E12 + 5)), 0))
  )
)</f>
        <v>759.7460606721661</v>
      </c>
      <c r="BH12" s="32">
        <f t="array" ref="BH12">IF(COLUMN() - ($E12 + 5) &lt; 0, 0,
  IF(COLUMN() - ($E12 + 5) = 0, $F12,
    BG12 * (1 - IFERROR(INDEX('Inputs &amp; Assuptions'!$C$13:$C$72, COLUMN() - ($E12 + 5)), 0))
  )
)</f>
        <v>755.9473303688053</v>
      </c>
      <c r="BI12" s="32">
        <f t="array" ref="BI12">IF(COLUMN() - ($E12 + 5) &lt; 0, 0,
  IF(COLUMN() - ($E12 + 5) = 0, $F12,
    BH12 * (1 - IFERROR(INDEX('Inputs &amp; Assuptions'!$C$13:$C$72, COLUMN() - ($E12 + 5)), 0))
  )
)</f>
        <v>752.16759371696128</v>
      </c>
      <c r="BJ12" s="32">
        <f t="array" ref="BJ12">IF(COLUMN() - ($E12 + 5) &lt; 0, 0,
  IF(COLUMN() - ($E12 + 5) = 0, $F12,
    BI12 * (1 - IFERROR(INDEX('Inputs &amp; Assuptions'!$C$13:$C$72, COLUMN() - ($E12 + 5)), 0))
  )
)</f>
        <v>748.40675574837644</v>
      </c>
      <c r="BK12" s="32">
        <f t="array" ref="BK12">IF(COLUMN() - ($E12 + 5) &lt; 0, 0,
  IF(COLUMN() - ($E12 + 5) = 0, $F12,
    BJ12 * (1 - IFERROR(INDEX('Inputs &amp; Assuptions'!$C$13:$C$72, COLUMN() - ($E12 + 5)), 0))
  )
)</f>
        <v>744.66472196963457</v>
      </c>
      <c r="BL12" s="32">
        <f t="array" ref="BL12">IF(COLUMN() - ($E12 + 5) &lt; 0, 0,
  IF(COLUMN() - ($E12 + 5) = 0, $F12,
    BK12 * (1 - IFERROR(INDEX('Inputs &amp; Assuptions'!$C$13:$C$72, COLUMN() - ($E12 + 5)), 0))
  )
)</f>
        <v>740.94139835978638</v>
      </c>
      <c r="BM12" s="66">
        <f t="array" ref="BM12">IF(COLUMN() - ($E12 + 5) &lt; 0, 0,
  IF(COLUMN() - ($E12 + 5) = 0, $F12,
    BL12 * (1 - IFERROR(INDEX('Inputs &amp; Assuptions'!$C$13:$C$72, COLUMN() - ($E12 + 5)), 0))
  )
)</f>
        <v>737.23669136798742</v>
      </c>
      <c r="BN12" s="33"/>
    </row>
    <row r="13" spans="1:67" x14ac:dyDescent="0.3">
      <c r="A13" s="71">
        <f t="shared" si="2"/>
        <v>8</v>
      </c>
      <c r="B13" s="75">
        <f t="shared" si="4"/>
        <v>1500</v>
      </c>
      <c r="C13" s="81">
        <f>$B13*(1-'Inputs &amp; Assuptions'!$C$12)</f>
        <v>1170</v>
      </c>
      <c r="E13" s="71">
        <f t="shared" si="3"/>
        <v>8</v>
      </c>
      <c r="F13" s="65"/>
      <c r="G13" s="32"/>
      <c r="H13" s="32"/>
      <c r="I13" s="32"/>
      <c r="J13" s="32"/>
      <c r="K13" s="32"/>
      <c r="L13" s="32"/>
      <c r="M13" s="32">
        <f>$C13</f>
        <v>1170</v>
      </c>
      <c r="N13" s="32">
        <f t="array" ref="N13">IF(COLUMN() - ($E13 + 5) &lt; 0, 0,
  IF(COLUMN() - ($E13 + 5) = 0, $F13,
    M13 * (1 - IFERROR(INDEX('Inputs &amp; Assuptions'!$C$13:$C$72, COLUMN() - ($E13 + 5)), 0))
  )
)</f>
        <v>1108.575</v>
      </c>
      <c r="O13" s="32">
        <f t="array" ref="O13">IF(COLUMN() - ($E13 + 5) &lt; 0, 0,
  IF(COLUMN() - ($E13 + 5) = 0, $F13,
    N13 * (1 - IFERROR(INDEX('Inputs &amp; Assuptions'!$C$13:$C$72, COLUMN() - ($E13 + 5)), 0))
  )
)</f>
        <v>1064.232</v>
      </c>
      <c r="P13" s="32">
        <f t="array" ref="P13">IF(COLUMN() - ($E13 + 5) &lt; 0, 0,
  IF(COLUMN() - ($E13 + 5) = 0, $F13,
    O13 * (1 - IFERROR(INDEX('Inputs &amp; Assuptions'!$C$13:$C$72, COLUMN() - ($E13 + 5)), 0))
  )
)</f>
        <v>1034.9656199999999</v>
      </c>
      <c r="Q13" s="32">
        <f t="array" ref="Q13">IF(COLUMN() - ($E13 + 5) &lt; 0, 0,
  IF(COLUMN() - ($E13 + 5) = 0, $F13,
    P13 * (1 - IFERROR(INDEX('Inputs &amp; Assuptions'!$C$13:$C$72, COLUMN() - ($E13 + 5)), 0))
  )
)</f>
        <v>1009.0914794999999</v>
      </c>
      <c r="R13" s="32">
        <f t="array" ref="R13">IF(COLUMN() - ($E13 + 5) &lt; 0, 0,
  IF(COLUMN() - ($E13 + 5) = 0, $F13,
    Q13 * (1 - IFERROR(INDEX('Inputs &amp; Assuptions'!$C$13:$C$72, COLUMN() - ($E13 + 5)), 0))
  )
)</f>
        <v>986.38692121124996</v>
      </c>
      <c r="S13" s="32">
        <f t="array" ref="S13">IF(COLUMN() - ($E13 + 5) &lt; 0, 0,
  IF(COLUMN() - ($E13 + 5) = 0, $F13,
    R13 * (1 - IFERROR(INDEX('Inputs &amp; Assuptions'!$C$13:$C$72, COLUMN() - ($E13 + 5)), 0))
  )
)</f>
        <v>966.65918278702497</v>
      </c>
      <c r="T13" s="32">
        <f t="array" ref="T13">IF(COLUMN() - ($E13 + 5) &lt; 0, 0,
  IF(COLUMN() - ($E13 + 5) = 0, $F13,
    S13 * (1 - IFERROR(INDEX('Inputs &amp; Assuptions'!$C$13:$C$72, COLUMN() - ($E13 + 5)), 0))
  )
)</f>
        <v>949.74264708825206</v>
      </c>
      <c r="U13" s="32">
        <f t="array" ref="U13">IF(COLUMN() - ($E13 + 5) &lt; 0, 0,
  IF(COLUMN() - ($E13 + 5) = 0, $F13,
    T13 * (1 - IFERROR(INDEX('Inputs &amp; Assuptions'!$C$13:$C$72, COLUMN() - ($E13 + 5)), 0))
  )
)</f>
        <v>935.49650738192827</v>
      </c>
      <c r="V13" s="32">
        <f t="array" ref="V13">IF(COLUMN() - ($E13 + 5) &lt; 0, 0,
  IF(COLUMN() - ($E13 + 5) = 0, $F13,
    U13 * (1 - IFERROR(INDEX('Inputs &amp; Assuptions'!$C$13:$C$72, COLUMN() - ($E13 + 5)), 0))
  )
)</f>
        <v>923.80280103965424</v>
      </c>
      <c r="W13" s="32">
        <f t="array" ref="W13">IF(COLUMN() - ($E13 + 5) &lt; 0, 0,
  IF(COLUMN() - ($E13 + 5) = 0, $F13,
    V13 * (1 - IFERROR(INDEX('Inputs &amp; Assuptions'!$C$13:$C$72, COLUMN() - ($E13 + 5)), 0))
  )
)</f>
        <v>914.56477302925771</v>
      </c>
      <c r="X13" s="32">
        <f t="array" ref="X13">IF(COLUMN() - ($E13 + 5) &lt; 0, 0,
  IF(COLUMN() - ($E13 + 5) = 0, $F13,
    W13 * (1 - IFERROR(INDEX('Inputs &amp; Assuptions'!$C$13:$C$72, COLUMN() - ($E13 + 5)), 0))
  )
)</f>
        <v>909.99194916411136</v>
      </c>
      <c r="Y13" s="32">
        <f t="array" ref="Y13">IF(COLUMN() - ($E13 + 5) &lt; 0, 0,
  IF(COLUMN() - ($E13 + 5) = 0, $F13,
    X13 * (1 - IFERROR(INDEX('Inputs &amp; Assuptions'!$C$13:$C$72, COLUMN() - ($E13 + 5)), 0))
  )
)</f>
        <v>905.44198941829075</v>
      </c>
      <c r="Z13" s="32">
        <f t="array" ref="Z13">IF(COLUMN() - ($E13 + 5) &lt; 0, 0,
  IF(COLUMN() - ($E13 + 5) = 0, $F13,
    Y13 * (1 - IFERROR(INDEX('Inputs &amp; Assuptions'!$C$13:$C$72, COLUMN() - ($E13 + 5)), 0))
  )
)</f>
        <v>900.91477947119927</v>
      </c>
      <c r="AA13" s="32">
        <f t="array" ref="AA13">IF(COLUMN() - ($E13 + 5) &lt; 0, 0,
  IF(COLUMN() - ($E13 + 5) = 0, $F13,
    Z13 * (1 - IFERROR(INDEX('Inputs &amp; Assuptions'!$C$13:$C$72, COLUMN() - ($E13 + 5)), 0))
  )
)</f>
        <v>896.41020557384331</v>
      </c>
      <c r="AB13" s="32">
        <f t="array" ref="AB13">IF(COLUMN() - ($E13 + 5) &lt; 0, 0,
  IF(COLUMN() - ($E13 + 5) = 0, $F13,
    AA13 * (1 - IFERROR(INDEX('Inputs &amp; Assuptions'!$C$13:$C$72, COLUMN() - ($E13 + 5)), 0))
  )
)</f>
        <v>891.92815454597405</v>
      </c>
      <c r="AC13" s="32">
        <f t="array" ref="AC13">IF(COLUMN() - ($E13 + 5) &lt; 0, 0,
  IF(COLUMN() - ($E13 + 5) = 0, $F13,
    AB13 * (1 - IFERROR(INDEX('Inputs &amp; Assuptions'!$C$13:$C$72, COLUMN() - ($E13 + 5)), 0))
  )
)</f>
        <v>887.46851377324413</v>
      </c>
      <c r="AD13" s="32">
        <f t="array" ref="AD13">IF(COLUMN() - ($E13 + 5) &lt; 0, 0,
  IF(COLUMN() - ($E13 + 5) = 0, $F13,
    AC13 * (1 - IFERROR(INDEX('Inputs &amp; Assuptions'!$C$13:$C$72, COLUMN() - ($E13 + 5)), 0))
  )
)</f>
        <v>883.03117120437787</v>
      </c>
      <c r="AE13" s="32">
        <f t="array" ref="AE13">IF(COLUMN() - ($E13 + 5) &lt; 0, 0,
  IF(COLUMN() - ($E13 + 5) = 0, $F13,
    AD13 * (1 - IFERROR(INDEX('Inputs &amp; Assuptions'!$C$13:$C$72, COLUMN() - ($E13 + 5)), 0))
  )
)</f>
        <v>878.61601534835597</v>
      </c>
      <c r="AF13" s="32">
        <f t="array" ref="AF13">IF(COLUMN() - ($E13 + 5) &lt; 0, 0,
  IF(COLUMN() - ($E13 + 5) = 0, $F13,
    AE13 * (1 - IFERROR(INDEX('Inputs &amp; Assuptions'!$C$13:$C$72, COLUMN() - ($E13 + 5)), 0))
  )
)</f>
        <v>874.22293527161423</v>
      </c>
      <c r="AG13" s="32">
        <f t="array" ref="AG13">IF(COLUMN() - ($E13 + 5) &lt; 0, 0,
  IF(COLUMN() - ($E13 + 5) = 0, $F13,
    AF13 * (1 - IFERROR(INDEX('Inputs &amp; Assuptions'!$C$13:$C$72, COLUMN() - ($E13 + 5)), 0))
  )
)</f>
        <v>869.85182059525619</v>
      </c>
      <c r="AH13" s="32">
        <f t="array" ref="AH13">IF(COLUMN() - ($E13 + 5) &lt; 0, 0,
  IF(COLUMN() - ($E13 + 5) = 0, $F13,
    AG13 * (1 - IFERROR(INDEX('Inputs &amp; Assuptions'!$C$13:$C$72, COLUMN() - ($E13 + 5)), 0))
  )
)</f>
        <v>865.50256149227994</v>
      </c>
      <c r="AI13" s="32">
        <f t="array" ref="AI13">IF(COLUMN() - ($E13 + 5) &lt; 0, 0,
  IF(COLUMN() - ($E13 + 5) = 0, $F13,
    AH13 * (1 - IFERROR(INDEX('Inputs &amp; Assuptions'!$C$13:$C$72, COLUMN() - ($E13 + 5)), 0))
  )
)</f>
        <v>861.17504868481853</v>
      </c>
      <c r="AJ13" s="32">
        <f t="array" ref="AJ13">IF(COLUMN() - ($E13 + 5) &lt; 0, 0,
  IF(COLUMN() - ($E13 + 5) = 0, $F13,
    AI13 * (1 - IFERROR(INDEX('Inputs &amp; Assuptions'!$C$13:$C$72, COLUMN() - ($E13 + 5)), 0))
  )
)</f>
        <v>856.86917344139442</v>
      </c>
      <c r="AK13" s="32">
        <f t="array" ref="AK13">IF(COLUMN() - ($E13 + 5) &lt; 0, 0,
  IF(COLUMN() - ($E13 + 5) = 0, $F13,
    AJ13 * (1 - IFERROR(INDEX('Inputs &amp; Assuptions'!$C$13:$C$72, COLUMN() - ($E13 + 5)), 0))
  )
)</f>
        <v>852.58482757418744</v>
      </c>
      <c r="AL13" s="32">
        <f t="array" ref="AL13">IF(COLUMN() - ($E13 + 5) &lt; 0, 0,
  IF(COLUMN() - ($E13 + 5) = 0, $F13,
    AK13 * (1 - IFERROR(INDEX('Inputs &amp; Assuptions'!$C$13:$C$72, COLUMN() - ($E13 + 5)), 0))
  )
)</f>
        <v>848.32190343631646</v>
      </c>
      <c r="AM13" s="32">
        <f t="array" ref="AM13">IF(COLUMN() - ($E13 + 5) &lt; 0, 0,
  IF(COLUMN() - ($E13 + 5) = 0, $F13,
    AL13 * (1 - IFERROR(INDEX('Inputs &amp; Assuptions'!$C$13:$C$72, COLUMN() - ($E13 + 5)), 0))
  )
)</f>
        <v>844.08029391913487</v>
      </c>
      <c r="AN13" s="32">
        <f t="array" ref="AN13">IF(COLUMN() - ($E13 + 5) &lt; 0, 0,
  IF(COLUMN() - ($E13 + 5) = 0, $F13,
    AM13 * (1 - IFERROR(INDEX('Inputs &amp; Assuptions'!$C$13:$C$72, COLUMN() - ($E13 + 5)), 0))
  )
)</f>
        <v>839.85989244953919</v>
      </c>
      <c r="AO13" s="32">
        <f t="array" ref="AO13">IF(COLUMN() - ($E13 + 5) &lt; 0, 0,
  IF(COLUMN() - ($E13 + 5) = 0, $F13,
    AN13 * (1 - IFERROR(INDEX('Inputs &amp; Assuptions'!$C$13:$C$72, COLUMN() - ($E13 + 5)), 0))
  )
)</f>
        <v>835.66059298729147</v>
      </c>
      <c r="AP13" s="32">
        <f t="array" ref="AP13">IF(COLUMN() - ($E13 + 5) &lt; 0, 0,
  IF(COLUMN() - ($E13 + 5) = 0, $F13,
    AO13 * (1 - IFERROR(INDEX('Inputs &amp; Assuptions'!$C$13:$C$72, COLUMN() - ($E13 + 5)), 0))
  )
)</f>
        <v>831.48229002235496</v>
      </c>
      <c r="AQ13" s="32">
        <f t="array" ref="AQ13">IF(COLUMN() - ($E13 + 5) &lt; 0, 0,
  IF(COLUMN() - ($E13 + 5) = 0, $F13,
    AP13 * (1 - IFERROR(INDEX('Inputs &amp; Assuptions'!$C$13:$C$72, COLUMN() - ($E13 + 5)), 0))
  )
)</f>
        <v>827.32487857224316</v>
      </c>
      <c r="AR13" s="32">
        <f t="array" ref="AR13">IF(COLUMN() - ($E13 + 5) &lt; 0, 0,
  IF(COLUMN() - ($E13 + 5) = 0, $F13,
    AQ13 * (1 - IFERROR(INDEX('Inputs &amp; Assuptions'!$C$13:$C$72, COLUMN() - ($E13 + 5)), 0))
  )
)</f>
        <v>823.18825417938194</v>
      </c>
      <c r="AS13" s="32">
        <f t="array" ref="AS13">IF(COLUMN() - ($E13 + 5) &lt; 0, 0,
  IF(COLUMN() - ($E13 + 5) = 0, $F13,
    AR13 * (1 - IFERROR(INDEX('Inputs &amp; Assuptions'!$C$13:$C$72, COLUMN() - ($E13 + 5)), 0))
  )
)</f>
        <v>819.07231290848506</v>
      </c>
      <c r="AT13" s="32">
        <f t="array" ref="AT13">IF(COLUMN() - ($E13 + 5) &lt; 0, 0,
  IF(COLUMN() - ($E13 + 5) = 0, $F13,
    AS13 * (1 - IFERROR(INDEX('Inputs &amp; Assuptions'!$C$13:$C$72, COLUMN() - ($E13 + 5)), 0))
  )
)</f>
        <v>814.97695134394269</v>
      </c>
      <c r="AU13" s="32">
        <f t="array" ref="AU13">IF(COLUMN() - ($E13 + 5) &lt; 0, 0,
  IF(COLUMN() - ($E13 + 5) = 0, $F13,
    AT13 * (1 - IFERROR(INDEX('Inputs &amp; Assuptions'!$C$13:$C$72, COLUMN() - ($E13 + 5)), 0))
  )
)</f>
        <v>810.90206658722298</v>
      </c>
      <c r="AV13" s="32">
        <f t="array" ref="AV13">IF(COLUMN() - ($E13 + 5) &lt; 0, 0,
  IF(COLUMN() - ($E13 + 5) = 0, $F13,
    AU13 * (1 - IFERROR(INDEX('Inputs &amp; Assuptions'!$C$13:$C$72, COLUMN() - ($E13 + 5)), 0))
  )
)</f>
        <v>806.84755625428681</v>
      </c>
      <c r="AW13" s="32">
        <f t="array" ref="AW13">IF(COLUMN() - ($E13 + 5) &lt; 0, 0,
  IF(COLUMN() - ($E13 + 5) = 0, $F13,
    AV13 * (1 - IFERROR(INDEX('Inputs &amp; Assuptions'!$C$13:$C$72, COLUMN() - ($E13 + 5)), 0))
  )
)</f>
        <v>802.81331847301533</v>
      </c>
      <c r="AX13" s="32">
        <f t="array" ref="AX13">IF(COLUMN() - ($E13 + 5) &lt; 0, 0,
  IF(COLUMN() - ($E13 + 5) = 0, $F13,
    AW13 * (1 - IFERROR(INDEX('Inputs &amp; Assuptions'!$C$13:$C$72, COLUMN() - ($E13 + 5)), 0))
  )
)</f>
        <v>798.79925188065022</v>
      </c>
      <c r="AY13" s="32">
        <f t="array" ref="AY13">IF(COLUMN() - ($E13 + 5) &lt; 0, 0,
  IF(COLUMN() - ($E13 + 5) = 0, $F13,
    AX13 * (1 - IFERROR(INDEX('Inputs &amp; Assuptions'!$C$13:$C$72, COLUMN() - ($E13 + 5)), 0))
  )
)</f>
        <v>794.80525562124694</v>
      </c>
      <c r="AZ13" s="32">
        <f t="array" ref="AZ13">IF(COLUMN() - ($E13 + 5) &lt; 0, 0,
  IF(COLUMN() - ($E13 + 5) = 0, $F13,
    AY13 * (1 - IFERROR(INDEX('Inputs &amp; Assuptions'!$C$13:$C$72, COLUMN() - ($E13 + 5)), 0))
  )
)</f>
        <v>790.83122934314065</v>
      </c>
      <c r="BA13" s="32">
        <f t="array" ref="BA13">IF(COLUMN() - ($E13 + 5) &lt; 0, 0,
  IF(COLUMN() - ($E13 + 5) = 0, $F13,
    AZ13 * (1 - IFERROR(INDEX('Inputs &amp; Assuptions'!$C$13:$C$72, COLUMN() - ($E13 + 5)), 0))
  )
)</f>
        <v>786.87707319642493</v>
      </c>
      <c r="BB13" s="32">
        <f t="array" ref="BB13">IF(COLUMN() - ($E13 + 5) &lt; 0, 0,
  IF(COLUMN() - ($E13 + 5) = 0, $F13,
    BA13 * (1 - IFERROR(INDEX('Inputs &amp; Assuptions'!$C$13:$C$72, COLUMN() - ($E13 + 5)), 0))
  )
)</f>
        <v>782.94268783044276</v>
      </c>
      <c r="BC13" s="32">
        <f t="array" ref="BC13">IF(COLUMN() - ($E13 + 5) &lt; 0, 0,
  IF(COLUMN() - ($E13 + 5) = 0, $F13,
    BB13 * (1 - IFERROR(INDEX('Inputs &amp; Assuptions'!$C$13:$C$72, COLUMN() - ($E13 + 5)), 0))
  )
)</f>
        <v>779.02797439129051</v>
      </c>
      <c r="BD13" s="32">
        <f t="array" ref="BD13">IF(COLUMN() - ($E13 + 5) &lt; 0, 0,
  IF(COLUMN() - ($E13 + 5) = 0, $F13,
    BC13 * (1 - IFERROR(INDEX('Inputs &amp; Assuptions'!$C$13:$C$72, COLUMN() - ($E13 + 5)), 0))
  )
)</f>
        <v>775.1328345193341</v>
      </c>
      <c r="BE13" s="32">
        <f t="array" ref="BE13">IF(COLUMN() - ($E13 + 5) &lt; 0, 0,
  IF(COLUMN() - ($E13 + 5) = 0, $F13,
    BD13 * (1 - IFERROR(INDEX('Inputs &amp; Assuptions'!$C$13:$C$72, COLUMN() - ($E13 + 5)), 0))
  )
)</f>
        <v>771.25717034673744</v>
      </c>
      <c r="BF13" s="32">
        <f t="array" ref="BF13">IF(COLUMN() - ($E13 + 5) &lt; 0, 0,
  IF(COLUMN() - ($E13 + 5) = 0, $F13,
    BE13 * (1 - IFERROR(INDEX('Inputs &amp; Assuptions'!$C$13:$C$72, COLUMN() - ($E13 + 5)), 0))
  )
)</f>
        <v>767.40088449500377</v>
      </c>
      <c r="BG13" s="32">
        <f t="array" ref="BG13">IF(COLUMN() - ($E13 + 5) &lt; 0, 0,
  IF(COLUMN() - ($E13 + 5) = 0, $F13,
    BF13 * (1 - IFERROR(INDEX('Inputs &amp; Assuptions'!$C$13:$C$72, COLUMN() - ($E13 + 5)), 0))
  )
)</f>
        <v>763.56388007252872</v>
      </c>
      <c r="BH13" s="32">
        <f t="array" ref="BH13">IF(COLUMN() - ($E13 + 5) &lt; 0, 0,
  IF(COLUMN() - ($E13 + 5) = 0, $F13,
    BG13 * (1 - IFERROR(INDEX('Inputs &amp; Assuptions'!$C$13:$C$72, COLUMN() - ($E13 + 5)), 0))
  )
)</f>
        <v>759.7460606721661</v>
      </c>
      <c r="BI13" s="32">
        <f t="array" ref="BI13">IF(COLUMN() - ($E13 + 5) &lt; 0, 0,
  IF(COLUMN() - ($E13 + 5) = 0, $F13,
    BH13 * (1 - IFERROR(INDEX('Inputs &amp; Assuptions'!$C$13:$C$72, COLUMN() - ($E13 + 5)), 0))
  )
)</f>
        <v>755.9473303688053</v>
      </c>
      <c r="BJ13" s="32">
        <f t="array" ref="BJ13">IF(COLUMN() - ($E13 + 5) &lt; 0, 0,
  IF(COLUMN() - ($E13 + 5) = 0, $F13,
    BI13 * (1 - IFERROR(INDEX('Inputs &amp; Assuptions'!$C$13:$C$72, COLUMN() - ($E13 + 5)), 0))
  )
)</f>
        <v>752.16759371696128</v>
      </c>
      <c r="BK13" s="32">
        <f t="array" ref="BK13">IF(COLUMN() - ($E13 + 5) &lt; 0, 0,
  IF(COLUMN() - ($E13 + 5) = 0, $F13,
    BJ13 * (1 - IFERROR(INDEX('Inputs &amp; Assuptions'!$C$13:$C$72, COLUMN() - ($E13 + 5)), 0))
  )
)</f>
        <v>748.40675574837644</v>
      </c>
      <c r="BL13" s="32">
        <f t="array" ref="BL13">IF(COLUMN() - ($E13 + 5) &lt; 0, 0,
  IF(COLUMN() - ($E13 + 5) = 0, $F13,
    BK13 * (1 - IFERROR(INDEX('Inputs &amp; Assuptions'!$C$13:$C$72, COLUMN() - ($E13 + 5)), 0))
  )
)</f>
        <v>744.66472196963457</v>
      </c>
      <c r="BM13" s="66">
        <f t="array" ref="BM13">IF(COLUMN() - ($E13 + 5) &lt; 0, 0,
  IF(COLUMN() - ($E13 + 5) = 0, $F13,
    BL13 * (1 - IFERROR(INDEX('Inputs &amp; Assuptions'!$C$13:$C$72, COLUMN() - ($E13 + 5)), 0))
  )
)</f>
        <v>740.94139835978638</v>
      </c>
      <c r="BN13" s="33"/>
    </row>
    <row r="14" spans="1:67" x14ac:dyDescent="0.3">
      <c r="A14" s="71">
        <f t="shared" si="2"/>
        <v>9</v>
      </c>
      <c r="B14" s="75">
        <f t="shared" si="4"/>
        <v>1500</v>
      </c>
      <c r="C14" s="81">
        <f>$B14*(1-'Inputs &amp; Assuptions'!$C$12)</f>
        <v>1170</v>
      </c>
      <c r="E14" s="71">
        <f t="shared" si="3"/>
        <v>9</v>
      </c>
      <c r="F14" s="65"/>
      <c r="G14" s="32"/>
      <c r="H14" s="32"/>
      <c r="I14" s="32"/>
      <c r="J14" s="32"/>
      <c r="K14" s="32"/>
      <c r="L14" s="32"/>
      <c r="M14" s="32"/>
      <c r="N14" s="32">
        <f>$C14</f>
        <v>1170</v>
      </c>
      <c r="O14" s="32">
        <f t="array" ref="O14">IF(COLUMN() - ($E14 + 5) &lt; 0, 0,
  IF(COLUMN() - ($E14 + 5) = 0, $F14,
    N14 * (1 - IFERROR(INDEX('Inputs &amp; Assuptions'!$C$13:$C$72, COLUMN() - ($E14 + 5)), 0))
  )
)</f>
        <v>1108.575</v>
      </c>
      <c r="P14" s="32">
        <f t="array" ref="P14">IF(COLUMN() - ($E14 + 5) &lt; 0, 0,
  IF(COLUMN() - ($E14 + 5) = 0, $F14,
    O14 * (1 - IFERROR(INDEX('Inputs &amp; Assuptions'!$C$13:$C$72, COLUMN() - ($E14 + 5)), 0))
  )
)</f>
        <v>1064.232</v>
      </c>
      <c r="Q14" s="32">
        <f t="array" ref="Q14">IF(COLUMN() - ($E14 + 5) &lt; 0, 0,
  IF(COLUMN() - ($E14 + 5) = 0, $F14,
    P14 * (1 - IFERROR(INDEX('Inputs &amp; Assuptions'!$C$13:$C$72, COLUMN() - ($E14 + 5)), 0))
  )
)</f>
        <v>1034.9656199999999</v>
      </c>
      <c r="R14" s="32">
        <f t="array" ref="R14">IF(COLUMN() - ($E14 + 5) &lt; 0, 0,
  IF(COLUMN() - ($E14 + 5) = 0, $F14,
    Q14 * (1 - IFERROR(INDEX('Inputs &amp; Assuptions'!$C$13:$C$72, COLUMN() - ($E14 + 5)), 0))
  )
)</f>
        <v>1009.0914794999999</v>
      </c>
      <c r="S14" s="32">
        <f t="array" ref="S14">IF(COLUMN() - ($E14 + 5) &lt; 0, 0,
  IF(COLUMN() - ($E14 + 5) = 0, $F14,
    R14 * (1 - IFERROR(INDEX('Inputs &amp; Assuptions'!$C$13:$C$72, COLUMN() - ($E14 + 5)), 0))
  )
)</f>
        <v>986.38692121124996</v>
      </c>
      <c r="T14" s="32">
        <f t="array" ref="T14">IF(COLUMN() - ($E14 + 5) &lt; 0, 0,
  IF(COLUMN() - ($E14 + 5) = 0, $F14,
    S14 * (1 - IFERROR(INDEX('Inputs &amp; Assuptions'!$C$13:$C$72, COLUMN() - ($E14 + 5)), 0))
  )
)</f>
        <v>966.65918278702497</v>
      </c>
      <c r="U14" s="32">
        <f t="array" ref="U14">IF(COLUMN() - ($E14 + 5) &lt; 0, 0,
  IF(COLUMN() - ($E14 + 5) = 0, $F14,
    T14 * (1 - IFERROR(INDEX('Inputs &amp; Assuptions'!$C$13:$C$72, COLUMN() - ($E14 + 5)), 0))
  )
)</f>
        <v>949.74264708825206</v>
      </c>
      <c r="V14" s="32">
        <f t="array" ref="V14">IF(COLUMN() - ($E14 + 5) &lt; 0, 0,
  IF(COLUMN() - ($E14 + 5) = 0, $F14,
    U14 * (1 - IFERROR(INDEX('Inputs &amp; Assuptions'!$C$13:$C$72, COLUMN() - ($E14 + 5)), 0))
  )
)</f>
        <v>935.49650738192827</v>
      </c>
      <c r="W14" s="32">
        <f t="array" ref="W14">IF(COLUMN() - ($E14 + 5) &lt; 0, 0,
  IF(COLUMN() - ($E14 + 5) = 0, $F14,
    V14 * (1 - IFERROR(INDEX('Inputs &amp; Assuptions'!$C$13:$C$72, COLUMN() - ($E14 + 5)), 0))
  )
)</f>
        <v>923.80280103965424</v>
      </c>
      <c r="X14" s="32">
        <f t="array" ref="X14">IF(COLUMN() - ($E14 + 5) &lt; 0, 0,
  IF(COLUMN() - ($E14 + 5) = 0, $F14,
    W14 * (1 - IFERROR(INDEX('Inputs &amp; Assuptions'!$C$13:$C$72, COLUMN() - ($E14 + 5)), 0))
  )
)</f>
        <v>914.56477302925771</v>
      </c>
      <c r="Y14" s="32">
        <f t="array" ref="Y14">IF(COLUMN() - ($E14 + 5) &lt; 0, 0,
  IF(COLUMN() - ($E14 + 5) = 0, $F14,
    X14 * (1 - IFERROR(INDEX('Inputs &amp; Assuptions'!$C$13:$C$72, COLUMN() - ($E14 + 5)), 0))
  )
)</f>
        <v>909.99194916411136</v>
      </c>
      <c r="Z14" s="32">
        <f t="array" ref="Z14">IF(COLUMN() - ($E14 + 5) &lt; 0, 0,
  IF(COLUMN() - ($E14 + 5) = 0, $F14,
    Y14 * (1 - IFERROR(INDEX('Inputs &amp; Assuptions'!$C$13:$C$72, COLUMN() - ($E14 + 5)), 0))
  )
)</f>
        <v>905.44198941829075</v>
      </c>
      <c r="AA14" s="32">
        <f t="array" ref="AA14">IF(COLUMN() - ($E14 + 5) &lt; 0, 0,
  IF(COLUMN() - ($E14 + 5) = 0, $F14,
    Z14 * (1 - IFERROR(INDEX('Inputs &amp; Assuptions'!$C$13:$C$72, COLUMN() - ($E14 + 5)), 0))
  )
)</f>
        <v>900.91477947119927</v>
      </c>
      <c r="AB14" s="32">
        <f t="array" ref="AB14">IF(COLUMN() - ($E14 + 5) &lt; 0, 0,
  IF(COLUMN() - ($E14 + 5) = 0, $F14,
    AA14 * (1 - IFERROR(INDEX('Inputs &amp; Assuptions'!$C$13:$C$72, COLUMN() - ($E14 + 5)), 0))
  )
)</f>
        <v>896.41020557384331</v>
      </c>
      <c r="AC14" s="32">
        <f t="array" ref="AC14">IF(COLUMN() - ($E14 + 5) &lt; 0, 0,
  IF(COLUMN() - ($E14 + 5) = 0, $F14,
    AB14 * (1 - IFERROR(INDEX('Inputs &amp; Assuptions'!$C$13:$C$72, COLUMN() - ($E14 + 5)), 0))
  )
)</f>
        <v>891.92815454597405</v>
      </c>
      <c r="AD14" s="32">
        <f t="array" ref="AD14">IF(COLUMN() - ($E14 + 5) &lt; 0, 0,
  IF(COLUMN() - ($E14 + 5) = 0, $F14,
    AC14 * (1 - IFERROR(INDEX('Inputs &amp; Assuptions'!$C$13:$C$72, COLUMN() - ($E14 + 5)), 0))
  )
)</f>
        <v>887.46851377324413</v>
      </c>
      <c r="AE14" s="32">
        <f t="array" ref="AE14">IF(COLUMN() - ($E14 + 5) &lt; 0, 0,
  IF(COLUMN() - ($E14 + 5) = 0, $F14,
    AD14 * (1 - IFERROR(INDEX('Inputs &amp; Assuptions'!$C$13:$C$72, COLUMN() - ($E14 + 5)), 0))
  )
)</f>
        <v>883.03117120437787</v>
      </c>
      <c r="AF14" s="32">
        <f t="array" ref="AF14">IF(COLUMN() - ($E14 + 5) &lt; 0, 0,
  IF(COLUMN() - ($E14 + 5) = 0, $F14,
    AE14 * (1 - IFERROR(INDEX('Inputs &amp; Assuptions'!$C$13:$C$72, COLUMN() - ($E14 + 5)), 0))
  )
)</f>
        <v>878.61601534835597</v>
      </c>
      <c r="AG14" s="32">
        <f t="array" ref="AG14">IF(COLUMN() - ($E14 + 5) &lt; 0, 0,
  IF(COLUMN() - ($E14 + 5) = 0, $F14,
    AF14 * (1 - IFERROR(INDEX('Inputs &amp; Assuptions'!$C$13:$C$72, COLUMN() - ($E14 + 5)), 0))
  )
)</f>
        <v>874.22293527161423</v>
      </c>
      <c r="AH14" s="32">
        <f t="array" ref="AH14">IF(COLUMN() - ($E14 + 5) &lt; 0, 0,
  IF(COLUMN() - ($E14 + 5) = 0, $F14,
    AG14 * (1 - IFERROR(INDEX('Inputs &amp; Assuptions'!$C$13:$C$72, COLUMN() - ($E14 + 5)), 0))
  )
)</f>
        <v>869.85182059525619</v>
      </c>
      <c r="AI14" s="32">
        <f t="array" ref="AI14">IF(COLUMN() - ($E14 + 5) &lt; 0, 0,
  IF(COLUMN() - ($E14 + 5) = 0, $F14,
    AH14 * (1 - IFERROR(INDEX('Inputs &amp; Assuptions'!$C$13:$C$72, COLUMN() - ($E14 + 5)), 0))
  )
)</f>
        <v>865.50256149227994</v>
      </c>
      <c r="AJ14" s="32">
        <f t="array" ref="AJ14">IF(COLUMN() - ($E14 + 5) &lt; 0, 0,
  IF(COLUMN() - ($E14 + 5) = 0, $F14,
    AI14 * (1 - IFERROR(INDEX('Inputs &amp; Assuptions'!$C$13:$C$72, COLUMN() - ($E14 + 5)), 0))
  )
)</f>
        <v>861.17504868481853</v>
      </c>
      <c r="AK14" s="32">
        <f t="array" ref="AK14">IF(COLUMN() - ($E14 + 5) &lt; 0, 0,
  IF(COLUMN() - ($E14 + 5) = 0, $F14,
    AJ14 * (1 - IFERROR(INDEX('Inputs &amp; Assuptions'!$C$13:$C$72, COLUMN() - ($E14 + 5)), 0))
  )
)</f>
        <v>856.86917344139442</v>
      </c>
      <c r="AL14" s="32">
        <f t="array" ref="AL14">IF(COLUMN() - ($E14 + 5) &lt; 0, 0,
  IF(COLUMN() - ($E14 + 5) = 0, $F14,
    AK14 * (1 - IFERROR(INDEX('Inputs &amp; Assuptions'!$C$13:$C$72, COLUMN() - ($E14 + 5)), 0))
  )
)</f>
        <v>852.58482757418744</v>
      </c>
      <c r="AM14" s="32">
        <f t="array" ref="AM14">IF(COLUMN() - ($E14 + 5) &lt; 0, 0,
  IF(COLUMN() - ($E14 + 5) = 0, $F14,
    AL14 * (1 - IFERROR(INDEX('Inputs &amp; Assuptions'!$C$13:$C$72, COLUMN() - ($E14 + 5)), 0))
  )
)</f>
        <v>848.32190343631646</v>
      </c>
      <c r="AN14" s="32">
        <f t="array" ref="AN14">IF(COLUMN() - ($E14 + 5) &lt; 0, 0,
  IF(COLUMN() - ($E14 + 5) = 0, $F14,
    AM14 * (1 - IFERROR(INDEX('Inputs &amp; Assuptions'!$C$13:$C$72, COLUMN() - ($E14 + 5)), 0))
  )
)</f>
        <v>844.08029391913487</v>
      </c>
      <c r="AO14" s="32">
        <f t="array" ref="AO14">IF(COLUMN() - ($E14 + 5) &lt; 0, 0,
  IF(COLUMN() - ($E14 + 5) = 0, $F14,
    AN14 * (1 - IFERROR(INDEX('Inputs &amp; Assuptions'!$C$13:$C$72, COLUMN() - ($E14 + 5)), 0))
  )
)</f>
        <v>839.85989244953919</v>
      </c>
      <c r="AP14" s="32">
        <f t="array" ref="AP14">IF(COLUMN() - ($E14 + 5) &lt; 0, 0,
  IF(COLUMN() - ($E14 + 5) = 0, $F14,
    AO14 * (1 - IFERROR(INDEX('Inputs &amp; Assuptions'!$C$13:$C$72, COLUMN() - ($E14 + 5)), 0))
  )
)</f>
        <v>835.66059298729147</v>
      </c>
      <c r="AQ14" s="32">
        <f t="array" ref="AQ14">IF(COLUMN() - ($E14 + 5) &lt; 0, 0,
  IF(COLUMN() - ($E14 + 5) = 0, $F14,
    AP14 * (1 - IFERROR(INDEX('Inputs &amp; Assuptions'!$C$13:$C$72, COLUMN() - ($E14 + 5)), 0))
  )
)</f>
        <v>831.48229002235496</v>
      </c>
      <c r="AR14" s="32">
        <f t="array" ref="AR14">IF(COLUMN() - ($E14 + 5) &lt; 0, 0,
  IF(COLUMN() - ($E14 + 5) = 0, $F14,
    AQ14 * (1 - IFERROR(INDEX('Inputs &amp; Assuptions'!$C$13:$C$72, COLUMN() - ($E14 + 5)), 0))
  )
)</f>
        <v>827.32487857224316</v>
      </c>
      <c r="AS14" s="32">
        <f t="array" ref="AS14">IF(COLUMN() - ($E14 + 5) &lt; 0, 0,
  IF(COLUMN() - ($E14 + 5) = 0, $F14,
    AR14 * (1 - IFERROR(INDEX('Inputs &amp; Assuptions'!$C$13:$C$72, COLUMN() - ($E14 + 5)), 0))
  )
)</f>
        <v>823.18825417938194</v>
      </c>
      <c r="AT14" s="32">
        <f t="array" ref="AT14">IF(COLUMN() - ($E14 + 5) &lt; 0, 0,
  IF(COLUMN() - ($E14 + 5) = 0, $F14,
    AS14 * (1 - IFERROR(INDEX('Inputs &amp; Assuptions'!$C$13:$C$72, COLUMN() - ($E14 + 5)), 0))
  )
)</f>
        <v>819.07231290848506</v>
      </c>
      <c r="AU14" s="32">
        <f t="array" ref="AU14">IF(COLUMN() - ($E14 + 5) &lt; 0, 0,
  IF(COLUMN() - ($E14 + 5) = 0, $F14,
    AT14 * (1 - IFERROR(INDEX('Inputs &amp; Assuptions'!$C$13:$C$72, COLUMN() - ($E14 + 5)), 0))
  )
)</f>
        <v>814.97695134394269</v>
      </c>
      <c r="AV14" s="32">
        <f t="array" ref="AV14">IF(COLUMN() - ($E14 + 5) &lt; 0, 0,
  IF(COLUMN() - ($E14 + 5) = 0, $F14,
    AU14 * (1 - IFERROR(INDEX('Inputs &amp; Assuptions'!$C$13:$C$72, COLUMN() - ($E14 + 5)), 0))
  )
)</f>
        <v>810.90206658722298</v>
      </c>
      <c r="AW14" s="32">
        <f t="array" ref="AW14">IF(COLUMN() - ($E14 + 5) &lt; 0, 0,
  IF(COLUMN() - ($E14 + 5) = 0, $F14,
    AV14 * (1 - IFERROR(INDEX('Inputs &amp; Assuptions'!$C$13:$C$72, COLUMN() - ($E14 + 5)), 0))
  )
)</f>
        <v>806.84755625428681</v>
      </c>
      <c r="AX14" s="32">
        <f t="array" ref="AX14">IF(COLUMN() - ($E14 + 5) &lt; 0, 0,
  IF(COLUMN() - ($E14 + 5) = 0, $F14,
    AW14 * (1 - IFERROR(INDEX('Inputs &amp; Assuptions'!$C$13:$C$72, COLUMN() - ($E14 + 5)), 0))
  )
)</f>
        <v>802.81331847301533</v>
      </c>
      <c r="AY14" s="32">
        <f t="array" ref="AY14">IF(COLUMN() - ($E14 + 5) &lt; 0, 0,
  IF(COLUMN() - ($E14 + 5) = 0, $F14,
    AX14 * (1 - IFERROR(INDEX('Inputs &amp; Assuptions'!$C$13:$C$72, COLUMN() - ($E14 + 5)), 0))
  )
)</f>
        <v>798.79925188065022</v>
      </c>
      <c r="AZ14" s="32">
        <f t="array" ref="AZ14">IF(COLUMN() - ($E14 + 5) &lt; 0, 0,
  IF(COLUMN() - ($E14 + 5) = 0, $F14,
    AY14 * (1 - IFERROR(INDEX('Inputs &amp; Assuptions'!$C$13:$C$72, COLUMN() - ($E14 + 5)), 0))
  )
)</f>
        <v>794.80525562124694</v>
      </c>
      <c r="BA14" s="32">
        <f t="array" ref="BA14">IF(COLUMN() - ($E14 + 5) &lt; 0, 0,
  IF(COLUMN() - ($E14 + 5) = 0, $F14,
    AZ14 * (1 - IFERROR(INDEX('Inputs &amp; Assuptions'!$C$13:$C$72, COLUMN() - ($E14 + 5)), 0))
  )
)</f>
        <v>790.83122934314065</v>
      </c>
      <c r="BB14" s="32">
        <f t="array" ref="BB14">IF(COLUMN() - ($E14 + 5) &lt; 0, 0,
  IF(COLUMN() - ($E14 + 5) = 0, $F14,
    BA14 * (1 - IFERROR(INDEX('Inputs &amp; Assuptions'!$C$13:$C$72, COLUMN() - ($E14 + 5)), 0))
  )
)</f>
        <v>786.87707319642493</v>
      </c>
      <c r="BC14" s="32">
        <f t="array" ref="BC14">IF(COLUMN() - ($E14 + 5) &lt; 0, 0,
  IF(COLUMN() - ($E14 + 5) = 0, $F14,
    BB14 * (1 - IFERROR(INDEX('Inputs &amp; Assuptions'!$C$13:$C$72, COLUMN() - ($E14 + 5)), 0))
  )
)</f>
        <v>782.94268783044276</v>
      </c>
      <c r="BD14" s="32">
        <f t="array" ref="BD14">IF(COLUMN() - ($E14 + 5) &lt; 0, 0,
  IF(COLUMN() - ($E14 + 5) = 0, $F14,
    BC14 * (1 - IFERROR(INDEX('Inputs &amp; Assuptions'!$C$13:$C$72, COLUMN() - ($E14 + 5)), 0))
  )
)</f>
        <v>779.02797439129051</v>
      </c>
      <c r="BE14" s="32">
        <f t="array" ref="BE14">IF(COLUMN() - ($E14 + 5) &lt; 0, 0,
  IF(COLUMN() - ($E14 + 5) = 0, $F14,
    BD14 * (1 - IFERROR(INDEX('Inputs &amp; Assuptions'!$C$13:$C$72, COLUMN() - ($E14 + 5)), 0))
  )
)</f>
        <v>775.1328345193341</v>
      </c>
      <c r="BF14" s="32">
        <f t="array" ref="BF14">IF(COLUMN() - ($E14 + 5) &lt; 0, 0,
  IF(COLUMN() - ($E14 + 5) = 0, $F14,
    BE14 * (1 - IFERROR(INDEX('Inputs &amp; Assuptions'!$C$13:$C$72, COLUMN() - ($E14 + 5)), 0))
  )
)</f>
        <v>771.25717034673744</v>
      </c>
      <c r="BG14" s="32">
        <f t="array" ref="BG14">IF(COLUMN() - ($E14 + 5) &lt; 0, 0,
  IF(COLUMN() - ($E14 + 5) = 0, $F14,
    BF14 * (1 - IFERROR(INDEX('Inputs &amp; Assuptions'!$C$13:$C$72, COLUMN() - ($E14 + 5)), 0))
  )
)</f>
        <v>767.40088449500377</v>
      </c>
      <c r="BH14" s="32">
        <f t="array" ref="BH14">IF(COLUMN() - ($E14 + 5) &lt; 0, 0,
  IF(COLUMN() - ($E14 + 5) = 0, $F14,
    BG14 * (1 - IFERROR(INDEX('Inputs &amp; Assuptions'!$C$13:$C$72, COLUMN() - ($E14 + 5)), 0))
  )
)</f>
        <v>763.56388007252872</v>
      </c>
      <c r="BI14" s="32">
        <f t="array" ref="BI14">IF(COLUMN() - ($E14 + 5) &lt; 0, 0,
  IF(COLUMN() - ($E14 + 5) = 0, $F14,
    BH14 * (1 - IFERROR(INDEX('Inputs &amp; Assuptions'!$C$13:$C$72, COLUMN() - ($E14 + 5)), 0))
  )
)</f>
        <v>759.7460606721661</v>
      </c>
      <c r="BJ14" s="32">
        <f t="array" ref="BJ14">IF(COLUMN() - ($E14 + 5) &lt; 0, 0,
  IF(COLUMN() - ($E14 + 5) = 0, $F14,
    BI14 * (1 - IFERROR(INDEX('Inputs &amp; Assuptions'!$C$13:$C$72, COLUMN() - ($E14 + 5)), 0))
  )
)</f>
        <v>755.9473303688053</v>
      </c>
      <c r="BK14" s="32">
        <f t="array" ref="BK14">IF(COLUMN() - ($E14 + 5) &lt; 0, 0,
  IF(COLUMN() - ($E14 + 5) = 0, $F14,
    BJ14 * (1 - IFERROR(INDEX('Inputs &amp; Assuptions'!$C$13:$C$72, COLUMN() - ($E14 + 5)), 0))
  )
)</f>
        <v>752.16759371696128</v>
      </c>
      <c r="BL14" s="32">
        <f t="array" ref="BL14">IF(COLUMN() - ($E14 + 5) &lt; 0, 0,
  IF(COLUMN() - ($E14 + 5) = 0, $F14,
    BK14 * (1 - IFERROR(INDEX('Inputs &amp; Assuptions'!$C$13:$C$72, COLUMN() - ($E14 + 5)), 0))
  )
)</f>
        <v>748.40675574837644</v>
      </c>
      <c r="BM14" s="66">
        <f t="array" ref="BM14">IF(COLUMN() - ($E14 + 5) &lt; 0, 0,
  IF(COLUMN() - ($E14 + 5) = 0, $F14,
    BL14 * (1 - IFERROR(INDEX('Inputs &amp; Assuptions'!$C$13:$C$72, COLUMN() - ($E14 + 5)), 0))
  )
)</f>
        <v>744.66472196963457</v>
      </c>
      <c r="BN14" s="33"/>
    </row>
    <row r="15" spans="1:67" x14ac:dyDescent="0.3">
      <c r="A15" s="71">
        <f t="shared" si="2"/>
        <v>10</v>
      </c>
      <c r="B15" s="75">
        <f t="shared" si="4"/>
        <v>1500</v>
      </c>
      <c r="C15" s="81">
        <f>$B15*(1-'Inputs &amp; Assuptions'!$C$12)</f>
        <v>1170</v>
      </c>
      <c r="E15" s="71">
        <f t="shared" si="3"/>
        <v>10</v>
      </c>
      <c r="F15" s="65"/>
      <c r="G15" s="32"/>
      <c r="H15" s="32"/>
      <c r="I15" s="32"/>
      <c r="J15" s="32"/>
      <c r="K15" s="32"/>
      <c r="L15" s="32"/>
      <c r="M15" s="32"/>
      <c r="N15" s="32"/>
      <c r="O15" s="32">
        <f>$C15</f>
        <v>1170</v>
      </c>
      <c r="P15" s="32">
        <f t="array" ref="P15">IF(COLUMN() - ($E15 + 5) &lt; 0, 0,
  IF(COLUMN() - ($E15 + 5) = 0, $F15,
    O15 * (1 - IFERROR(INDEX('Inputs &amp; Assuptions'!$C$13:$C$72, COLUMN() - ($E15 + 5)), 0))
  )
)</f>
        <v>1108.575</v>
      </c>
      <c r="Q15" s="32">
        <f t="array" ref="Q15">IF(COLUMN() - ($E15 + 5) &lt; 0, 0,
  IF(COLUMN() - ($E15 + 5) = 0, $F15,
    P15 * (1 - IFERROR(INDEX('Inputs &amp; Assuptions'!$C$13:$C$72, COLUMN() - ($E15 + 5)), 0))
  )
)</f>
        <v>1064.232</v>
      </c>
      <c r="R15" s="32">
        <f t="array" ref="R15">IF(COLUMN() - ($E15 + 5) &lt; 0, 0,
  IF(COLUMN() - ($E15 + 5) = 0, $F15,
    Q15 * (1 - IFERROR(INDEX('Inputs &amp; Assuptions'!$C$13:$C$72, COLUMN() - ($E15 + 5)), 0))
  )
)</f>
        <v>1034.9656199999999</v>
      </c>
      <c r="S15" s="32">
        <f t="array" ref="S15">IF(COLUMN() - ($E15 + 5) &lt; 0, 0,
  IF(COLUMN() - ($E15 + 5) = 0, $F15,
    R15 * (1 - IFERROR(INDEX('Inputs &amp; Assuptions'!$C$13:$C$72, COLUMN() - ($E15 + 5)), 0))
  )
)</f>
        <v>1009.0914794999999</v>
      </c>
      <c r="T15" s="32">
        <f t="array" ref="T15">IF(COLUMN() - ($E15 + 5) &lt; 0, 0,
  IF(COLUMN() - ($E15 + 5) = 0, $F15,
    S15 * (1 - IFERROR(INDEX('Inputs &amp; Assuptions'!$C$13:$C$72, COLUMN() - ($E15 + 5)), 0))
  )
)</f>
        <v>986.38692121124996</v>
      </c>
      <c r="U15" s="32">
        <f t="array" ref="U15">IF(COLUMN() - ($E15 + 5) &lt; 0, 0,
  IF(COLUMN() - ($E15 + 5) = 0, $F15,
    T15 * (1 - IFERROR(INDEX('Inputs &amp; Assuptions'!$C$13:$C$72, COLUMN() - ($E15 + 5)), 0))
  )
)</f>
        <v>966.65918278702497</v>
      </c>
      <c r="V15" s="32">
        <f t="array" ref="V15">IF(COLUMN() - ($E15 + 5) &lt; 0, 0,
  IF(COLUMN() - ($E15 + 5) = 0, $F15,
    U15 * (1 - IFERROR(INDEX('Inputs &amp; Assuptions'!$C$13:$C$72, COLUMN() - ($E15 + 5)), 0))
  )
)</f>
        <v>949.74264708825206</v>
      </c>
      <c r="W15" s="32">
        <f t="array" ref="W15">IF(COLUMN() - ($E15 + 5) &lt; 0, 0,
  IF(COLUMN() - ($E15 + 5) = 0, $F15,
    V15 * (1 - IFERROR(INDEX('Inputs &amp; Assuptions'!$C$13:$C$72, COLUMN() - ($E15 + 5)), 0))
  )
)</f>
        <v>935.49650738192827</v>
      </c>
      <c r="X15" s="32">
        <f t="array" ref="X15">IF(COLUMN() - ($E15 + 5) &lt; 0, 0,
  IF(COLUMN() - ($E15 + 5) = 0, $F15,
    W15 * (1 - IFERROR(INDEX('Inputs &amp; Assuptions'!$C$13:$C$72, COLUMN() - ($E15 + 5)), 0))
  )
)</f>
        <v>923.80280103965424</v>
      </c>
      <c r="Y15" s="32">
        <f t="array" ref="Y15">IF(COLUMN() - ($E15 + 5) &lt; 0, 0,
  IF(COLUMN() - ($E15 + 5) = 0, $F15,
    X15 * (1 - IFERROR(INDEX('Inputs &amp; Assuptions'!$C$13:$C$72, COLUMN() - ($E15 + 5)), 0))
  )
)</f>
        <v>914.56477302925771</v>
      </c>
      <c r="Z15" s="32">
        <f t="array" ref="Z15">IF(COLUMN() - ($E15 + 5) &lt; 0, 0,
  IF(COLUMN() - ($E15 + 5) = 0, $F15,
    Y15 * (1 - IFERROR(INDEX('Inputs &amp; Assuptions'!$C$13:$C$72, COLUMN() - ($E15 + 5)), 0))
  )
)</f>
        <v>909.99194916411136</v>
      </c>
      <c r="AA15" s="32">
        <f t="array" ref="AA15">IF(COLUMN() - ($E15 + 5) &lt; 0, 0,
  IF(COLUMN() - ($E15 + 5) = 0, $F15,
    Z15 * (1 - IFERROR(INDEX('Inputs &amp; Assuptions'!$C$13:$C$72, COLUMN() - ($E15 + 5)), 0))
  )
)</f>
        <v>905.44198941829075</v>
      </c>
      <c r="AB15" s="32">
        <f t="array" ref="AB15">IF(COLUMN() - ($E15 + 5) &lt; 0, 0,
  IF(COLUMN() - ($E15 + 5) = 0, $F15,
    AA15 * (1 - IFERROR(INDEX('Inputs &amp; Assuptions'!$C$13:$C$72, COLUMN() - ($E15 + 5)), 0))
  )
)</f>
        <v>900.91477947119927</v>
      </c>
      <c r="AC15" s="32">
        <f t="array" ref="AC15">IF(COLUMN() - ($E15 + 5) &lt; 0, 0,
  IF(COLUMN() - ($E15 + 5) = 0, $F15,
    AB15 * (1 - IFERROR(INDEX('Inputs &amp; Assuptions'!$C$13:$C$72, COLUMN() - ($E15 + 5)), 0))
  )
)</f>
        <v>896.41020557384331</v>
      </c>
      <c r="AD15" s="32">
        <f t="array" ref="AD15">IF(COLUMN() - ($E15 + 5) &lt; 0, 0,
  IF(COLUMN() - ($E15 + 5) = 0, $F15,
    AC15 * (1 - IFERROR(INDEX('Inputs &amp; Assuptions'!$C$13:$C$72, COLUMN() - ($E15 + 5)), 0))
  )
)</f>
        <v>891.92815454597405</v>
      </c>
      <c r="AE15" s="32">
        <f t="array" ref="AE15">IF(COLUMN() - ($E15 + 5) &lt; 0, 0,
  IF(COLUMN() - ($E15 + 5) = 0, $F15,
    AD15 * (1 - IFERROR(INDEX('Inputs &amp; Assuptions'!$C$13:$C$72, COLUMN() - ($E15 + 5)), 0))
  )
)</f>
        <v>887.46851377324413</v>
      </c>
      <c r="AF15" s="32">
        <f t="array" ref="AF15">IF(COLUMN() - ($E15 + 5) &lt; 0, 0,
  IF(COLUMN() - ($E15 + 5) = 0, $F15,
    AE15 * (1 - IFERROR(INDEX('Inputs &amp; Assuptions'!$C$13:$C$72, COLUMN() - ($E15 + 5)), 0))
  )
)</f>
        <v>883.03117120437787</v>
      </c>
      <c r="AG15" s="32">
        <f t="array" ref="AG15">IF(COLUMN() - ($E15 + 5) &lt; 0, 0,
  IF(COLUMN() - ($E15 + 5) = 0, $F15,
    AF15 * (1 - IFERROR(INDEX('Inputs &amp; Assuptions'!$C$13:$C$72, COLUMN() - ($E15 + 5)), 0))
  )
)</f>
        <v>878.61601534835597</v>
      </c>
      <c r="AH15" s="32">
        <f t="array" ref="AH15">IF(COLUMN() - ($E15 + 5) &lt; 0, 0,
  IF(COLUMN() - ($E15 + 5) = 0, $F15,
    AG15 * (1 - IFERROR(INDEX('Inputs &amp; Assuptions'!$C$13:$C$72, COLUMN() - ($E15 + 5)), 0))
  )
)</f>
        <v>874.22293527161423</v>
      </c>
      <c r="AI15" s="32">
        <f t="array" ref="AI15">IF(COLUMN() - ($E15 + 5) &lt; 0, 0,
  IF(COLUMN() - ($E15 + 5) = 0, $F15,
    AH15 * (1 - IFERROR(INDEX('Inputs &amp; Assuptions'!$C$13:$C$72, COLUMN() - ($E15 + 5)), 0))
  )
)</f>
        <v>869.85182059525619</v>
      </c>
      <c r="AJ15" s="32">
        <f t="array" ref="AJ15">IF(COLUMN() - ($E15 + 5) &lt; 0, 0,
  IF(COLUMN() - ($E15 + 5) = 0, $F15,
    AI15 * (1 - IFERROR(INDEX('Inputs &amp; Assuptions'!$C$13:$C$72, COLUMN() - ($E15 + 5)), 0))
  )
)</f>
        <v>865.50256149227994</v>
      </c>
      <c r="AK15" s="32">
        <f t="array" ref="AK15">IF(COLUMN() - ($E15 + 5) &lt; 0, 0,
  IF(COLUMN() - ($E15 + 5) = 0, $F15,
    AJ15 * (1 - IFERROR(INDEX('Inputs &amp; Assuptions'!$C$13:$C$72, COLUMN() - ($E15 + 5)), 0))
  )
)</f>
        <v>861.17504868481853</v>
      </c>
      <c r="AL15" s="32">
        <f t="array" ref="AL15">IF(COLUMN() - ($E15 + 5) &lt; 0, 0,
  IF(COLUMN() - ($E15 + 5) = 0, $F15,
    AK15 * (1 - IFERROR(INDEX('Inputs &amp; Assuptions'!$C$13:$C$72, COLUMN() - ($E15 + 5)), 0))
  )
)</f>
        <v>856.86917344139442</v>
      </c>
      <c r="AM15" s="32">
        <f t="array" ref="AM15">IF(COLUMN() - ($E15 + 5) &lt; 0, 0,
  IF(COLUMN() - ($E15 + 5) = 0, $F15,
    AL15 * (1 - IFERROR(INDEX('Inputs &amp; Assuptions'!$C$13:$C$72, COLUMN() - ($E15 + 5)), 0))
  )
)</f>
        <v>852.58482757418744</v>
      </c>
      <c r="AN15" s="32">
        <f t="array" ref="AN15">IF(COLUMN() - ($E15 + 5) &lt; 0, 0,
  IF(COLUMN() - ($E15 + 5) = 0, $F15,
    AM15 * (1 - IFERROR(INDEX('Inputs &amp; Assuptions'!$C$13:$C$72, COLUMN() - ($E15 + 5)), 0))
  )
)</f>
        <v>848.32190343631646</v>
      </c>
      <c r="AO15" s="32">
        <f t="array" ref="AO15">IF(COLUMN() - ($E15 + 5) &lt; 0, 0,
  IF(COLUMN() - ($E15 + 5) = 0, $F15,
    AN15 * (1 - IFERROR(INDEX('Inputs &amp; Assuptions'!$C$13:$C$72, COLUMN() - ($E15 + 5)), 0))
  )
)</f>
        <v>844.08029391913487</v>
      </c>
      <c r="AP15" s="32">
        <f t="array" ref="AP15">IF(COLUMN() - ($E15 + 5) &lt; 0, 0,
  IF(COLUMN() - ($E15 + 5) = 0, $F15,
    AO15 * (1 - IFERROR(INDEX('Inputs &amp; Assuptions'!$C$13:$C$72, COLUMN() - ($E15 + 5)), 0))
  )
)</f>
        <v>839.85989244953919</v>
      </c>
      <c r="AQ15" s="32">
        <f t="array" ref="AQ15">IF(COLUMN() - ($E15 + 5) &lt; 0, 0,
  IF(COLUMN() - ($E15 + 5) = 0, $F15,
    AP15 * (1 - IFERROR(INDEX('Inputs &amp; Assuptions'!$C$13:$C$72, COLUMN() - ($E15 + 5)), 0))
  )
)</f>
        <v>835.66059298729147</v>
      </c>
      <c r="AR15" s="32">
        <f t="array" ref="AR15">IF(COLUMN() - ($E15 + 5) &lt; 0, 0,
  IF(COLUMN() - ($E15 + 5) = 0, $F15,
    AQ15 * (1 - IFERROR(INDEX('Inputs &amp; Assuptions'!$C$13:$C$72, COLUMN() - ($E15 + 5)), 0))
  )
)</f>
        <v>831.48229002235496</v>
      </c>
      <c r="AS15" s="32">
        <f t="array" ref="AS15">IF(COLUMN() - ($E15 + 5) &lt; 0, 0,
  IF(COLUMN() - ($E15 + 5) = 0, $F15,
    AR15 * (1 - IFERROR(INDEX('Inputs &amp; Assuptions'!$C$13:$C$72, COLUMN() - ($E15 + 5)), 0))
  )
)</f>
        <v>827.32487857224316</v>
      </c>
      <c r="AT15" s="32">
        <f t="array" ref="AT15">IF(COLUMN() - ($E15 + 5) &lt; 0, 0,
  IF(COLUMN() - ($E15 + 5) = 0, $F15,
    AS15 * (1 - IFERROR(INDEX('Inputs &amp; Assuptions'!$C$13:$C$72, COLUMN() - ($E15 + 5)), 0))
  )
)</f>
        <v>823.18825417938194</v>
      </c>
      <c r="AU15" s="32">
        <f t="array" ref="AU15">IF(COLUMN() - ($E15 + 5) &lt; 0, 0,
  IF(COLUMN() - ($E15 + 5) = 0, $F15,
    AT15 * (1 - IFERROR(INDEX('Inputs &amp; Assuptions'!$C$13:$C$72, COLUMN() - ($E15 + 5)), 0))
  )
)</f>
        <v>819.07231290848506</v>
      </c>
      <c r="AV15" s="32">
        <f t="array" ref="AV15">IF(COLUMN() - ($E15 + 5) &lt; 0, 0,
  IF(COLUMN() - ($E15 + 5) = 0, $F15,
    AU15 * (1 - IFERROR(INDEX('Inputs &amp; Assuptions'!$C$13:$C$72, COLUMN() - ($E15 + 5)), 0))
  )
)</f>
        <v>814.97695134394269</v>
      </c>
      <c r="AW15" s="32">
        <f t="array" ref="AW15">IF(COLUMN() - ($E15 + 5) &lt; 0, 0,
  IF(COLUMN() - ($E15 + 5) = 0, $F15,
    AV15 * (1 - IFERROR(INDEX('Inputs &amp; Assuptions'!$C$13:$C$72, COLUMN() - ($E15 + 5)), 0))
  )
)</f>
        <v>810.90206658722298</v>
      </c>
      <c r="AX15" s="32">
        <f t="array" ref="AX15">IF(COLUMN() - ($E15 + 5) &lt; 0, 0,
  IF(COLUMN() - ($E15 + 5) = 0, $F15,
    AW15 * (1 - IFERROR(INDEX('Inputs &amp; Assuptions'!$C$13:$C$72, COLUMN() - ($E15 + 5)), 0))
  )
)</f>
        <v>806.84755625428681</v>
      </c>
      <c r="AY15" s="32">
        <f t="array" ref="AY15">IF(COLUMN() - ($E15 + 5) &lt; 0, 0,
  IF(COLUMN() - ($E15 + 5) = 0, $F15,
    AX15 * (1 - IFERROR(INDEX('Inputs &amp; Assuptions'!$C$13:$C$72, COLUMN() - ($E15 + 5)), 0))
  )
)</f>
        <v>802.81331847301533</v>
      </c>
      <c r="AZ15" s="32">
        <f t="array" ref="AZ15">IF(COLUMN() - ($E15 + 5) &lt; 0, 0,
  IF(COLUMN() - ($E15 + 5) = 0, $F15,
    AY15 * (1 - IFERROR(INDEX('Inputs &amp; Assuptions'!$C$13:$C$72, COLUMN() - ($E15 + 5)), 0))
  )
)</f>
        <v>798.79925188065022</v>
      </c>
      <c r="BA15" s="32">
        <f t="array" ref="BA15">IF(COLUMN() - ($E15 + 5) &lt; 0, 0,
  IF(COLUMN() - ($E15 + 5) = 0, $F15,
    AZ15 * (1 - IFERROR(INDEX('Inputs &amp; Assuptions'!$C$13:$C$72, COLUMN() - ($E15 + 5)), 0))
  )
)</f>
        <v>794.80525562124694</v>
      </c>
      <c r="BB15" s="32">
        <f t="array" ref="BB15">IF(COLUMN() - ($E15 + 5) &lt; 0, 0,
  IF(COLUMN() - ($E15 + 5) = 0, $F15,
    BA15 * (1 - IFERROR(INDEX('Inputs &amp; Assuptions'!$C$13:$C$72, COLUMN() - ($E15 + 5)), 0))
  )
)</f>
        <v>790.83122934314065</v>
      </c>
      <c r="BC15" s="32">
        <f t="array" ref="BC15">IF(COLUMN() - ($E15 + 5) &lt; 0, 0,
  IF(COLUMN() - ($E15 + 5) = 0, $F15,
    BB15 * (1 - IFERROR(INDEX('Inputs &amp; Assuptions'!$C$13:$C$72, COLUMN() - ($E15 + 5)), 0))
  )
)</f>
        <v>786.87707319642493</v>
      </c>
      <c r="BD15" s="32">
        <f t="array" ref="BD15">IF(COLUMN() - ($E15 + 5) &lt; 0, 0,
  IF(COLUMN() - ($E15 + 5) = 0, $F15,
    BC15 * (1 - IFERROR(INDEX('Inputs &amp; Assuptions'!$C$13:$C$72, COLUMN() - ($E15 + 5)), 0))
  )
)</f>
        <v>782.94268783044276</v>
      </c>
      <c r="BE15" s="32">
        <f t="array" ref="BE15">IF(COLUMN() - ($E15 + 5) &lt; 0, 0,
  IF(COLUMN() - ($E15 + 5) = 0, $F15,
    BD15 * (1 - IFERROR(INDEX('Inputs &amp; Assuptions'!$C$13:$C$72, COLUMN() - ($E15 + 5)), 0))
  )
)</f>
        <v>779.02797439129051</v>
      </c>
      <c r="BF15" s="32">
        <f t="array" ref="BF15">IF(COLUMN() - ($E15 + 5) &lt; 0, 0,
  IF(COLUMN() - ($E15 + 5) = 0, $F15,
    BE15 * (1 - IFERROR(INDEX('Inputs &amp; Assuptions'!$C$13:$C$72, COLUMN() - ($E15 + 5)), 0))
  )
)</f>
        <v>775.1328345193341</v>
      </c>
      <c r="BG15" s="32">
        <f t="array" ref="BG15">IF(COLUMN() - ($E15 + 5) &lt; 0, 0,
  IF(COLUMN() - ($E15 + 5) = 0, $F15,
    BF15 * (1 - IFERROR(INDEX('Inputs &amp; Assuptions'!$C$13:$C$72, COLUMN() - ($E15 + 5)), 0))
  )
)</f>
        <v>771.25717034673744</v>
      </c>
      <c r="BH15" s="32">
        <f t="array" ref="BH15">IF(COLUMN() - ($E15 + 5) &lt; 0, 0,
  IF(COLUMN() - ($E15 + 5) = 0, $F15,
    BG15 * (1 - IFERROR(INDEX('Inputs &amp; Assuptions'!$C$13:$C$72, COLUMN() - ($E15 + 5)), 0))
  )
)</f>
        <v>767.40088449500377</v>
      </c>
      <c r="BI15" s="32">
        <f t="array" ref="BI15">IF(COLUMN() - ($E15 + 5) &lt; 0, 0,
  IF(COLUMN() - ($E15 + 5) = 0, $F15,
    BH15 * (1 - IFERROR(INDEX('Inputs &amp; Assuptions'!$C$13:$C$72, COLUMN() - ($E15 + 5)), 0))
  )
)</f>
        <v>763.56388007252872</v>
      </c>
      <c r="BJ15" s="32">
        <f t="array" ref="BJ15">IF(COLUMN() - ($E15 + 5) &lt; 0, 0,
  IF(COLUMN() - ($E15 + 5) = 0, $F15,
    BI15 * (1 - IFERROR(INDEX('Inputs &amp; Assuptions'!$C$13:$C$72, COLUMN() - ($E15 + 5)), 0))
  )
)</f>
        <v>759.7460606721661</v>
      </c>
      <c r="BK15" s="32">
        <f t="array" ref="BK15">IF(COLUMN() - ($E15 + 5) &lt; 0, 0,
  IF(COLUMN() - ($E15 + 5) = 0, $F15,
    BJ15 * (1 - IFERROR(INDEX('Inputs &amp; Assuptions'!$C$13:$C$72, COLUMN() - ($E15 + 5)), 0))
  )
)</f>
        <v>755.9473303688053</v>
      </c>
      <c r="BL15" s="32">
        <f t="array" ref="BL15">IF(COLUMN() - ($E15 + 5) &lt; 0, 0,
  IF(COLUMN() - ($E15 + 5) = 0, $F15,
    BK15 * (1 - IFERROR(INDEX('Inputs &amp; Assuptions'!$C$13:$C$72, COLUMN() - ($E15 + 5)), 0))
  )
)</f>
        <v>752.16759371696128</v>
      </c>
      <c r="BM15" s="66">
        <f t="array" ref="BM15">IF(COLUMN() - ($E15 + 5) &lt; 0, 0,
  IF(COLUMN() - ($E15 + 5) = 0, $F15,
    BL15 * (1 - IFERROR(INDEX('Inputs &amp; Assuptions'!$C$13:$C$72, COLUMN() - ($E15 + 5)), 0))
  )
)</f>
        <v>748.40675574837644</v>
      </c>
      <c r="BN15" s="33"/>
    </row>
    <row r="16" spans="1:67" x14ac:dyDescent="0.3">
      <c r="A16" s="71">
        <f t="shared" si="2"/>
        <v>11</v>
      </c>
      <c r="B16" s="75">
        <f t="shared" si="4"/>
        <v>1500</v>
      </c>
      <c r="C16" s="81">
        <f>$B16*(1-'Inputs &amp; Assuptions'!$C$12)</f>
        <v>1170</v>
      </c>
      <c r="E16" s="71">
        <f t="shared" si="3"/>
        <v>11</v>
      </c>
      <c r="F16" s="65"/>
      <c r="G16" s="32"/>
      <c r="H16" s="32"/>
      <c r="I16" s="32"/>
      <c r="J16" s="32"/>
      <c r="K16" s="32"/>
      <c r="L16" s="32"/>
      <c r="M16" s="32"/>
      <c r="N16" s="32"/>
      <c r="O16" s="32"/>
      <c r="P16" s="32">
        <f>$C16</f>
        <v>1170</v>
      </c>
      <c r="Q16" s="32">
        <f t="array" ref="Q16">IF(COLUMN() - ($E16 + 5) &lt; 0, 0,
  IF(COLUMN() - ($E16 + 5) = 0, $F16,
    P16 * (1 - IFERROR(INDEX('Inputs &amp; Assuptions'!$C$13:$C$72, COLUMN() - ($E16 + 5)), 0))
  )
)</f>
        <v>1108.575</v>
      </c>
      <c r="R16" s="32">
        <f t="array" ref="R16">IF(COLUMN() - ($E16 + 5) &lt; 0, 0,
  IF(COLUMN() - ($E16 + 5) = 0, $F16,
    Q16 * (1 - IFERROR(INDEX('Inputs &amp; Assuptions'!$C$13:$C$72, COLUMN() - ($E16 + 5)), 0))
  )
)</f>
        <v>1064.232</v>
      </c>
      <c r="S16" s="32">
        <f t="array" ref="S16">IF(COLUMN() - ($E16 + 5) &lt; 0, 0,
  IF(COLUMN() - ($E16 + 5) = 0, $F16,
    R16 * (1 - IFERROR(INDEX('Inputs &amp; Assuptions'!$C$13:$C$72, COLUMN() - ($E16 + 5)), 0))
  )
)</f>
        <v>1034.9656199999999</v>
      </c>
      <c r="T16" s="32">
        <f t="array" ref="T16">IF(COLUMN() - ($E16 + 5) &lt; 0, 0,
  IF(COLUMN() - ($E16 + 5) = 0, $F16,
    S16 * (1 - IFERROR(INDEX('Inputs &amp; Assuptions'!$C$13:$C$72, COLUMN() - ($E16 + 5)), 0))
  )
)</f>
        <v>1009.0914794999999</v>
      </c>
      <c r="U16" s="32">
        <f t="array" ref="U16">IF(COLUMN() - ($E16 + 5) &lt; 0, 0,
  IF(COLUMN() - ($E16 + 5) = 0, $F16,
    T16 * (1 - IFERROR(INDEX('Inputs &amp; Assuptions'!$C$13:$C$72, COLUMN() - ($E16 + 5)), 0))
  )
)</f>
        <v>986.38692121124996</v>
      </c>
      <c r="V16" s="32">
        <f t="array" ref="V16">IF(COLUMN() - ($E16 + 5) &lt; 0, 0,
  IF(COLUMN() - ($E16 + 5) = 0, $F16,
    U16 * (1 - IFERROR(INDEX('Inputs &amp; Assuptions'!$C$13:$C$72, COLUMN() - ($E16 + 5)), 0))
  )
)</f>
        <v>966.65918278702497</v>
      </c>
      <c r="W16" s="32">
        <f t="array" ref="W16">IF(COLUMN() - ($E16 + 5) &lt; 0, 0,
  IF(COLUMN() - ($E16 + 5) = 0, $F16,
    V16 * (1 - IFERROR(INDEX('Inputs &amp; Assuptions'!$C$13:$C$72, COLUMN() - ($E16 + 5)), 0))
  )
)</f>
        <v>949.74264708825206</v>
      </c>
      <c r="X16" s="32">
        <f t="array" ref="X16">IF(COLUMN() - ($E16 + 5) &lt; 0, 0,
  IF(COLUMN() - ($E16 + 5) = 0, $F16,
    W16 * (1 - IFERROR(INDEX('Inputs &amp; Assuptions'!$C$13:$C$72, COLUMN() - ($E16 + 5)), 0))
  )
)</f>
        <v>935.49650738192827</v>
      </c>
      <c r="Y16" s="32">
        <f t="array" ref="Y16">IF(COLUMN() - ($E16 + 5) &lt; 0, 0,
  IF(COLUMN() - ($E16 + 5) = 0, $F16,
    X16 * (1 - IFERROR(INDEX('Inputs &amp; Assuptions'!$C$13:$C$72, COLUMN() - ($E16 + 5)), 0))
  )
)</f>
        <v>923.80280103965424</v>
      </c>
      <c r="Z16" s="32">
        <f t="array" ref="Z16">IF(COLUMN() - ($E16 + 5) &lt; 0, 0,
  IF(COLUMN() - ($E16 + 5) = 0, $F16,
    Y16 * (1 - IFERROR(INDEX('Inputs &amp; Assuptions'!$C$13:$C$72, COLUMN() - ($E16 + 5)), 0))
  )
)</f>
        <v>914.56477302925771</v>
      </c>
      <c r="AA16" s="32">
        <f t="array" ref="AA16">IF(COLUMN() - ($E16 + 5) &lt; 0, 0,
  IF(COLUMN() - ($E16 + 5) = 0, $F16,
    Z16 * (1 - IFERROR(INDEX('Inputs &amp; Assuptions'!$C$13:$C$72, COLUMN() - ($E16 + 5)), 0))
  )
)</f>
        <v>909.99194916411136</v>
      </c>
      <c r="AB16" s="32">
        <f t="array" ref="AB16">IF(COLUMN() - ($E16 + 5) &lt; 0, 0,
  IF(COLUMN() - ($E16 + 5) = 0, $F16,
    AA16 * (1 - IFERROR(INDEX('Inputs &amp; Assuptions'!$C$13:$C$72, COLUMN() - ($E16 + 5)), 0))
  )
)</f>
        <v>905.44198941829075</v>
      </c>
      <c r="AC16" s="32">
        <f t="array" ref="AC16">IF(COLUMN() - ($E16 + 5) &lt; 0, 0,
  IF(COLUMN() - ($E16 + 5) = 0, $F16,
    AB16 * (1 - IFERROR(INDEX('Inputs &amp; Assuptions'!$C$13:$C$72, COLUMN() - ($E16 + 5)), 0))
  )
)</f>
        <v>900.91477947119927</v>
      </c>
      <c r="AD16" s="32">
        <f t="array" ref="AD16">IF(COLUMN() - ($E16 + 5) &lt; 0, 0,
  IF(COLUMN() - ($E16 + 5) = 0, $F16,
    AC16 * (1 - IFERROR(INDEX('Inputs &amp; Assuptions'!$C$13:$C$72, COLUMN() - ($E16 + 5)), 0))
  )
)</f>
        <v>896.41020557384331</v>
      </c>
      <c r="AE16" s="32">
        <f t="array" ref="AE16">IF(COLUMN() - ($E16 + 5) &lt; 0, 0,
  IF(COLUMN() - ($E16 + 5) = 0, $F16,
    AD16 * (1 - IFERROR(INDEX('Inputs &amp; Assuptions'!$C$13:$C$72, COLUMN() - ($E16 + 5)), 0))
  )
)</f>
        <v>891.92815454597405</v>
      </c>
      <c r="AF16" s="32">
        <f t="array" ref="AF16">IF(COLUMN() - ($E16 + 5) &lt; 0, 0,
  IF(COLUMN() - ($E16 + 5) = 0, $F16,
    AE16 * (1 - IFERROR(INDEX('Inputs &amp; Assuptions'!$C$13:$C$72, COLUMN() - ($E16 + 5)), 0))
  )
)</f>
        <v>887.46851377324413</v>
      </c>
      <c r="AG16" s="32">
        <f t="array" ref="AG16">IF(COLUMN() - ($E16 + 5) &lt; 0, 0,
  IF(COLUMN() - ($E16 + 5) = 0, $F16,
    AF16 * (1 - IFERROR(INDEX('Inputs &amp; Assuptions'!$C$13:$C$72, COLUMN() - ($E16 + 5)), 0))
  )
)</f>
        <v>883.03117120437787</v>
      </c>
      <c r="AH16" s="32">
        <f t="array" ref="AH16">IF(COLUMN() - ($E16 + 5) &lt; 0, 0,
  IF(COLUMN() - ($E16 + 5) = 0, $F16,
    AG16 * (1 - IFERROR(INDEX('Inputs &amp; Assuptions'!$C$13:$C$72, COLUMN() - ($E16 + 5)), 0))
  )
)</f>
        <v>878.61601534835597</v>
      </c>
      <c r="AI16" s="32">
        <f t="array" ref="AI16">IF(COLUMN() - ($E16 + 5) &lt; 0, 0,
  IF(COLUMN() - ($E16 + 5) = 0, $F16,
    AH16 * (1 - IFERROR(INDEX('Inputs &amp; Assuptions'!$C$13:$C$72, COLUMN() - ($E16 + 5)), 0))
  )
)</f>
        <v>874.22293527161423</v>
      </c>
      <c r="AJ16" s="32">
        <f t="array" ref="AJ16">IF(COLUMN() - ($E16 + 5) &lt; 0, 0,
  IF(COLUMN() - ($E16 + 5) = 0, $F16,
    AI16 * (1 - IFERROR(INDEX('Inputs &amp; Assuptions'!$C$13:$C$72, COLUMN() - ($E16 + 5)), 0))
  )
)</f>
        <v>869.85182059525619</v>
      </c>
      <c r="AK16" s="32">
        <f t="array" ref="AK16">IF(COLUMN() - ($E16 + 5) &lt; 0, 0,
  IF(COLUMN() - ($E16 + 5) = 0, $F16,
    AJ16 * (1 - IFERROR(INDEX('Inputs &amp; Assuptions'!$C$13:$C$72, COLUMN() - ($E16 + 5)), 0))
  )
)</f>
        <v>865.50256149227994</v>
      </c>
      <c r="AL16" s="32">
        <f t="array" ref="AL16">IF(COLUMN() - ($E16 + 5) &lt; 0, 0,
  IF(COLUMN() - ($E16 + 5) = 0, $F16,
    AK16 * (1 - IFERROR(INDEX('Inputs &amp; Assuptions'!$C$13:$C$72, COLUMN() - ($E16 + 5)), 0))
  )
)</f>
        <v>861.17504868481853</v>
      </c>
      <c r="AM16" s="32">
        <f t="array" ref="AM16">IF(COLUMN() - ($E16 + 5) &lt; 0, 0,
  IF(COLUMN() - ($E16 + 5) = 0, $F16,
    AL16 * (1 - IFERROR(INDEX('Inputs &amp; Assuptions'!$C$13:$C$72, COLUMN() - ($E16 + 5)), 0))
  )
)</f>
        <v>856.86917344139442</v>
      </c>
      <c r="AN16" s="32">
        <f t="array" ref="AN16">IF(COLUMN() - ($E16 + 5) &lt; 0, 0,
  IF(COLUMN() - ($E16 + 5) = 0, $F16,
    AM16 * (1 - IFERROR(INDEX('Inputs &amp; Assuptions'!$C$13:$C$72, COLUMN() - ($E16 + 5)), 0))
  )
)</f>
        <v>852.58482757418744</v>
      </c>
      <c r="AO16" s="32">
        <f t="array" ref="AO16">IF(COLUMN() - ($E16 + 5) &lt; 0, 0,
  IF(COLUMN() - ($E16 + 5) = 0, $F16,
    AN16 * (1 - IFERROR(INDEX('Inputs &amp; Assuptions'!$C$13:$C$72, COLUMN() - ($E16 + 5)), 0))
  )
)</f>
        <v>848.32190343631646</v>
      </c>
      <c r="AP16" s="32">
        <f t="array" ref="AP16">IF(COLUMN() - ($E16 + 5) &lt; 0, 0,
  IF(COLUMN() - ($E16 + 5) = 0, $F16,
    AO16 * (1 - IFERROR(INDEX('Inputs &amp; Assuptions'!$C$13:$C$72, COLUMN() - ($E16 + 5)), 0))
  )
)</f>
        <v>844.08029391913487</v>
      </c>
      <c r="AQ16" s="32">
        <f t="array" ref="AQ16">IF(COLUMN() - ($E16 + 5) &lt; 0, 0,
  IF(COLUMN() - ($E16 + 5) = 0, $F16,
    AP16 * (1 - IFERROR(INDEX('Inputs &amp; Assuptions'!$C$13:$C$72, COLUMN() - ($E16 + 5)), 0))
  )
)</f>
        <v>839.85989244953919</v>
      </c>
      <c r="AR16" s="32">
        <f t="array" ref="AR16">IF(COLUMN() - ($E16 + 5) &lt; 0, 0,
  IF(COLUMN() - ($E16 + 5) = 0, $F16,
    AQ16 * (1 - IFERROR(INDEX('Inputs &amp; Assuptions'!$C$13:$C$72, COLUMN() - ($E16 + 5)), 0))
  )
)</f>
        <v>835.66059298729147</v>
      </c>
      <c r="AS16" s="32">
        <f t="array" ref="AS16">IF(COLUMN() - ($E16 + 5) &lt; 0, 0,
  IF(COLUMN() - ($E16 + 5) = 0, $F16,
    AR16 * (1 - IFERROR(INDEX('Inputs &amp; Assuptions'!$C$13:$C$72, COLUMN() - ($E16 + 5)), 0))
  )
)</f>
        <v>831.48229002235496</v>
      </c>
      <c r="AT16" s="32">
        <f t="array" ref="AT16">IF(COLUMN() - ($E16 + 5) &lt; 0, 0,
  IF(COLUMN() - ($E16 + 5) = 0, $F16,
    AS16 * (1 - IFERROR(INDEX('Inputs &amp; Assuptions'!$C$13:$C$72, COLUMN() - ($E16 + 5)), 0))
  )
)</f>
        <v>827.32487857224316</v>
      </c>
      <c r="AU16" s="32">
        <f t="array" ref="AU16">IF(COLUMN() - ($E16 + 5) &lt; 0, 0,
  IF(COLUMN() - ($E16 + 5) = 0, $F16,
    AT16 * (1 - IFERROR(INDEX('Inputs &amp; Assuptions'!$C$13:$C$72, COLUMN() - ($E16 + 5)), 0))
  )
)</f>
        <v>823.18825417938194</v>
      </c>
      <c r="AV16" s="32">
        <f t="array" ref="AV16">IF(COLUMN() - ($E16 + 5) &lt; 0, 0,
  IF(COLUMN() - ($E16 + 5) = 0, $F16,
    AU16 * (1 - IFERROR(INDEX('Inputs &amp; Assuptions'!$C$13:$C$72, COLUMN() - ($E16 + 5)), 0))
  )
)</f>
        <v>819.07231290848506</v>
      </c>
      <c r="AW16" s="32">
        <f t="array" ref="AW16">IF(COLUMN() - ($E16 + 5) &lt; 0, 0,
  IF(COLUMN() - ($E16 + 5) = 0, $F16,
    AV16 * (1 - IFERROR(INDEX('Inputs &amp; Assuptions'!$C$13:$C$72, COLUMN() - ($E16 + 5)), 0))
  )
)</f>
        <v>814.97695134394269</v>
      </c>
      <c r="AX16" s="32">
        <f t="array" ref="AX16">IF(COLUMN() - ($E16 + 5) &lt; 0, 0,
  IF(COLUMN() - ($E16 + 5) = 0, $F16,
    AW16 * (1 - IFERROR(INDEX('Inputs &amp; Assuptions'!$C$13:$C$72, COLUMN() - ($E16 + 5)), 0))
  )
)</f>
        <v>810.90206658722298</v>
      </c>
      <c r="AY16" s="32">
        <f t="array" ref="AY16">IF(COLUMN() - ($E16 + 5) &lt; 0, 0,
  IF(COLUMN() - ($E16 + 5) = 0, $F16,
    AX16 * (1 - IFERROR(INDEX('Inputs &amp; Assuptions'!$C$13:$C$72, COLUMN() - ($E16 + 5)), 0))
  )
)</f>
        <v>806.84755625428681</v>
      </c>
      <c r="AZ16" s="32">
        <f t="array" ref="AZ16">IF(COLUMN() - ($E16 + 5) &lt; 0, 0,
  IF(COLUMN() - ($E16 + 5) = 0, $F16,
    AY16 * (1 - IFERROR(INDEX('Inputs &amp; Assuptions'!$C$13:$C$72, COLUMN() - ($E16 + 5)), 0))
  )
)</f>
        <v>802.81331847301533</v>
      </c>
      <c r="BA16" s="32">
        <f t="array" ref="BA16">IF(COLUMN() - ($E16 + 5) &lt; 0, 0,
  IF(COLUMN() - ($E16 + 5) = 0, $F16,
    AZ16 * (1 - IFERROR(INDEX('Inputs &amp; Assuptions'!$C$13:$C$72, COLUMN() - ($E16 + 5)), 0))
  )
)</f>
        <v>798.79925188065022</v>
      </c>
      <c r="BB16" s="32">
        <f t="array" ref="BB16">IF(COLUMN() - ($E16 + 5) &lt; 0, 0,
  IF(COLUMN() - ($E16 + 5) = 0, $F16,
    BA16 * (1 - IFERROR(INDEX('Inputs &amp; Assuptions'!$C$13:$C$72, COLUMN() - ($E16 + 5)), 0))
  )
)</f>
        <v>794.80525562124694</v>
      </c>
      <c r="BC16" s="32">
        <f t="array" ref="BC16">IF(COLUMN() - ($E16 + 5) &lt; 0, 0,
  IF(COLUMN() - ($E16 + 5) = 0, $F16,
    BB16 * (1 - IFERROR(INDEX('Inputs &amp; Assuptions'!$C$13:$C$72, COLUMN() - ($E16 + 5)), 0))
  )
)</f>
        <v>790.83122934314065</v>
      </c>
      <c r="BD16" s="32">
        <f t="array" ref="BD16">IF(COLUMN() - ($E16 + 5) &lt; 0, 0,
  IF(COLUMN() - ($E16 + 5) = 0, $F16,
    BC16 * (1 - IFERROR(INDEX('Inputs &amp; Assuptions'!$C$13:$C$72, COLUMN() - ($E16 + 5)), 0))
  )
)</f>
        <v>786.87707319642493</v>
      </c>
      <c r="BE16" s="32">
        <f t="array" ref="BE16">IF(COLUMN() - ($E16 + 5) &lt; 0, 0,
  IF(COLUMN() - ($E16 + 5) = 0, $F16,
    BD16 * (1 - IFERROR(INDEX('Inputs &amp; Assuptions'!$C$13:$C$72, COLUMN() - ($E16 + 5)), 0))
  )
)</f>
        <v>782.94268783044276</v>
      </c>
      <c r="BF16" s="32">
        <f t="array" ref="BF16">IF(COLUMN() - ($E16 + 5) &lt; 0, 0,
  IF(COLUMN() - ($E16 + 5) = 0, $F16,
    BE16 * (1 - IFERROR(INDEX('Inputs &amp; Assuptions'!$C$13:$C$72, COLUMN() - ($E16 + 5)), 0))
  )
)</f>
        <v>779.02797439129051</v>
      </c>
      <c r="BG16" s="32">
        <f t="array" ref="BG16">IF(COLUMN() - ($E16 + 5) &lt; 0, 0,
  IF(COLUMN() - ($E16 + 5) = 0, $F16,
    BF16 * (1 - IFERROR(INDEX('Inputs &amp; Assuptions'!$C$13:$C$72, COLUMN() - ($E16 + 5)), 0))
  )
)</f>
        <v>775.1328345193341</v>
      </c>
      <c r="BH16" s="32">
        <f t="array" ref="BH16">IF(COLUMN() - ($E16 + 5) &lt; 0, 0,
  IF(COLUMN() - ($E16 + 5) = 0, $F16,
    BG16 * (1 - IFERROR(INDEX('Inputs &amp; Assuptions'!$C$13:$C$72, COLUMN() - ($E16 + 5)), 0))
  )
)</f>
        <v>771.25717034673744</v>
      </c>
      <c r="BI16" s="32">
        <f t="array" ref="BI16">IF(COLUMN() - ($E16 + 5) &lt; 0, 0,
  IF(COLUMN() - ($E16 + 5) = 0, $F16,
    BH16 * (1 - IFERROR(INDEX('Inputs &amp; Assuptions'!$C$13:$C$72, COLUMN() - ($E16 + 5)), 0))
  )
)</f>
        <v>767.40088449500377</v>
      </c>
      <c r="BJ16" s="32">
        <f t="array" ref="BJ16">IF(COLUMN() - ($E16 + 5) &lt; 0, 0,
  IF(COLUMN() - ($E16 + 5) = 0, $F16,
    BI16 * (1 - IFERROR(INDEX('Inputs &amp; Assuptions'!$C$13:$C$72, COLUMN() - ($E16 + 5)), 0))
  )
)</f>
        <v>763.56388007252872</v>
      </c>
      <c r="BK16" s="32">
        <f t="array" ref="BK16">IF(COLUMN() - ($E16 + 5) &lt; 0, 0,
  IF(COLUMN() - ($E16 + 5) = 0, $F16,
    BJ16 * (1 - IFERROR(INDEX('Inputs &amp; Assuptions'!$C$13:$C$72, COLUMN() - ($E16 + 5)), 0))
  )
)</f>
        <v>759.7460606721661</v>
      </c>
      <c r="BL16" s="32">
        <f t="array" ref="BL16">IF(COLUMN() - ($E16 + 5) &lt; 0, 0,
  IF(COLUMN() - ($E16 + 5) = 0, $F16,
    BK16 * (1 - IFERROR(INDEX('Inputs &amp; Assuptions'!$C$13:$C$72, COLUMN() - ($E16 + 5)), 0))
  )
)</f>
        <v>755.9473303688053</v>
      </c>
      <c r="BM16" s="66">
        <f t="array" ref="BM16">IF(COLUMN() - ($E16 + 5) &lt; 0, 0,
  IF(COLUMN() - ($E16 + 5) = 0, $F16,
    BL16 * (1 - IFERROR(INDEX('Inputs &amp; Assuptions'!$C$13:$C$72, COLUMN() - ($E16 + 5)), 0))
  )
)</f>
        <v>752.16759371696128</v>
      </c>
      <c r="BN16" s="33"/>
    </row>
    <row r="17" spans="1:66" x14ac:dyDescent="0.3">
      <c r="A17" s="71">
        <f t="shared" si="2"/>
        <v>12</v>
      </c>
      <c r="B17" s="75">
        <f t="shared" si="4"/>
        <v>1500</v>
      </c>
      <c r="C17" s="81">
        <f>$B17*(1-'Inputs &amp; Assuptions'!$C$12)</f>
        <v>1170</v>
      </c>
      <c r="E17" s="71">
        <f t="shared" si="3"/>
        <v>12</v>
      </c>
      <c r="F17" s="65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>
        <f>$C17</f>
        <v>1170</v>
      </c>
      <c r="R17" s="32">
        <f t="array" ref="R17">IF(COLUMN() - ($E17 + 5) &lt; 0, 0,
  IF(COLUMN() - ($E17 + 5) = 0, $F17,
    Q17 * (1 - IFERROR(INDEX('Inputs &amp; Assuptions'!$C$13:$C$72, COLUMN() - ($E17 + 5)), 0))
  )
)</f>
        <v>1108.575</v>
      </c>
      <c r="S17" s="32">
        <f t="array" ref="S17">IF(COLUMN() - ($E17 + 5) &lt; 0, 0,
  IF(COLUMN() - ($E17 + 5) = 0, $F17,
    R17 * (1 - IFERROR(INDEX('Inputs &amp; Assuptions'!$C$13:$C$72, COLUMN() - ($E17 + 5)), 0))
  )
)</f>
        <v>1064.232</v>
      </c>
      <c r="T17" s="32">
        <f t="array" ref="T17">IF(COLUMN() - ($E17 + 5) &lt; 0, 0,
  IF(COLUMN() - ($E17 + 5) = 0, $F17,
    S17 * (1 - IFERROR(INDEX('Inputs &amp; Assuptions'!$C$13:$C$72, COLUMN() - ($E17 + 5)), 0))
  )
)</f>
        <v>1034.9656199999999</v>
      </c>
      <c r="U17" s="32">
        <f t="array" ref="U17">IF(COLUMN() - ($E17 + 5) &lt; 0, 0,
  IF(COLUMN() - ($E17 + 5) = 0, $F17,
    T17 * (1 - IFERROR(INDEX('Inputs &amp; Assuptions'!$C$13:$C$72, COLUMN() - ($E17 + 5)), 0))
  )
)</f>
        <v>1009.0914794999999</v>
      </c>
      <c r="V17" s="32">
        <f t="array" ref="V17">IF(COLUMN() - ($E17 + 5) &lt; 0, 0,
  IF(COLUMN() - ($E17 + 5) = 0, $F17,
    U17 * (1 - IFERROR(INDEX('Inputs &amp; Assuptions'!$C$13:$C$72, COLUMN() - ($E17 + 5)), 0))
  )
)</f>
        <v>986.38692121124996</v>
      </c>
      <c r="W17" s="32">
        <f t="array" ref="W17">IF(COLUMN() - ($E17 + 5) &lt; 0, 0,
  IF(COLUMN() - ($E17 + 5) = 0, $F17,
    V17 * (1 - IFERROR(INDEX('Inputs &amp; Assuptions'!$C$13:$C$72, COLUMN() - ($E17 + 5)), 0))
  )
)</f>
        <v>966.65918278702497</v>
      </c>
      <c r="X17" s="32">
        <f t="array" ref="X17">IF(COLUMN() - ($E17 + 5) &lt; 0, 0,
  IF(COLUMN() - ($E17 + 5) = 0, $F17,
    W17 * (1 - IFERROR(INDEX('Inputs &amp; Assuptions'!$C$13:$C$72, COLUMN() - ($E17 + 5)), 0))
  )
)</f>
        <v>949.74264708825206</v>
      </c>
      <c r="Y17" s="32">
        <f t="array" ref="Y17">IF(COLUMN() - ($E17 + 5) &lt; 0, 0,
  IF(COLUMN() - ($E17 + 5) = 0, $F17,
    X17 * (1 - IFERROR(INDEX('Inputs &amp; Assuptions'!$C$13:$C$72, COLUMN() - ($E17 + 5)), 0))
  )
)</f>
        <v>935.49650738192827</v>
      </c>
      <c r="Z17" s="32">
        <f t="array" ref="Z17">IF(COLUMN() - ($E17 + 5) &lt; 0, 0,
  IF(COLUMN() - ($E17 + 5) = 0, $F17,
    Y17 * (1 - IFERROR(INDEX('Inputs &amp; Assuptions'!$C$13:$C$72, COLUMN() - ($E17 + 5)), 0))
  )
)</f>
        <v>923.80280103965424</v>
      </c>
      <c r="AA17" s="32">
        <f t="array" ref="AA17">IF(COLUMN() - ($E17 + 5) &lt; 0, 0,
  IF(COLUMN() - ($E17 + 5) = 0, $F17,
    Z17 * (1 - IFERROR(INDEX('Inputs &amp; Assuptions'!$C$13:$C$72, COLUMN() - ($E17 + 5)), 0))
  )
)</f>
        <v>914.56477302925771</v>
      </c>
      <c r="AB17" s="32">
        <f t="array" ref="AB17">IF(COLUMN() - ($E17 + 5) &lt; 0, 0,
  IF(COLUMN() - ($E17 + 5) = 0, $F17,
    AA17 * (1 - IFERROR(INDEX('Inputs &amp; Assuptions'!$C$13:$C$72, COLUMN() - ($E17 + 5)), 0))
  )
)</f>
        <v>909.99194916411136</v>
      </c>
      <c r="AC17" s="32">
        <f t="array" ref="AC17">IF(COLUMN() - ($E17 + 5) &lt; 0, 0,
  IF(COLUMN() - ($E17 + 5) = 0, $F17,
    AB17 * (1 - IFERROR(INDEX('Inputs &amp; Assuptions'!$C$13:$C$72, COLUMN() - ($E17 + 5)), 0))
  )
)</f>
        <v>905.44198941829075</v>
      </c>
      <c r="AD17" s="32">
        <f t="array" ref="AD17">IF(COLUMN() - ($E17 + 5) &lt; 0, 0,
  IF(COLUMN() - ($E17 + 5) = 0, $F17,
    AC17 * (1 - IFERROR(INDEX('Inputs &amp; Assuptions'!$C$13:$C$72, COLUMN() - ($E17 + 5)), 0))
  )
)</f>
        <v>900.91477947119927</v>
      </c>
      <c r="AE17" s="32">
        <f t="array" ref="AE17">IF(COLUMN() - ($E17 + 5) &lt; 0, 0,
  IF(COLUMN() - ($E17 + 5) = 0, $F17,
    AD17 * (1 - IFERROR(INDEX('Inputs &amp; Assuptions'!$C$13:$C$72, COLUMN() - ($E17 + 5)), 0))
  )
)</f>
        <v>896.41020557384331</v>
      </c>
      <c r="AF17" s="32">
        <f t="array" ref="AF17">IF(COLUMN() - ($E17 + 5) &lt; 0, 0,
  IF(COLUMN() - ($E17 + 5) = 0, $F17,
    AE17 * (1 - IFERROR(INDEX('Inputs &amp; Assuptions'!$C$13:$C$72, COLUMN() - ($E17 + 5)), 0))
  )
)</f>
        <v>891.92815454597405</v>
      </c>
      <c r="AG17" s="32">
        <f t="array" ref="AG17">IF(COLUMN() - ($E17 + 5) &lt; 0, 0,
  IF(COLUMN() - ($E17 + 5) = 0, $F17,
    AF17 * (1 - IFERROR(INDEX('Inputs &amp; Assuptions'!$C$13:$C$72, COLUMN() - ($E17 + 5)), 0))
  )
)</f>
        <v>887.46851377324413</v>
      </c>
      <c r="AH17" s="32">
        <f t="array" ref="AH17">IF(COLUMN() - ($E17 + 5) &lt; 0, 0,
  IF(COLUMN() - ($E17 + 5) = 0, $F17,
    AG17 * (1 - IFERROR(INDEX('Inputs &amp; Assuptions'!$C$13:$C$72, COLUMN() - ($E17 + 5)), 0))
  )
)</f>
        <v>883.03117120437787</v>
      </c>
      <c r="AI17" s="32">
        <f t="array" ref="AI17">IF(COLUMN() - ($E17 + 5) &lt; 0, 0,
  IF(COLUMN() - ($E17 + 5) = 0, $F17,
    AH17 * (1 - IFERROR(INDEX('Inputs &amp; Assuptions'!$C$13:$C$72, COLUMN() - ($E17 + 5)), 0))
  )
)</f>
        <v>878.61601534835597</v>
      </c>
      <c r="AJ17" s="32">
        <f t="array" ref="AJ17">IF(COLUMN() - ($E17 + 5) &lt; 0, 0,
  IF(COLUMN() - ($E17 + 5) = 0, $F17,
    AI17 * (1 - IFERROR(INDEX('Inputs &amp; Assuptions'!$C$13:$C$72, COLUMN() - ($E17 + 5)), 0))
  )
)</f>
        <v>874.22293527161423</v>
      </c>
      <c r="AK17" s="32">
        <f t="array" ref="AK17">IF(COLUMN() - ($E17 + 5) &lt; 0, 0,
  IF(COLUMN() - ($E17 + 5) = 0, $F17,
    AJ17 * (1 - IFERROR(INDEX('Inputs &amp; Assuptions'!$C$13:$C$72, COLUMN() - ($E17 + 5)), 0))
  )
)</f>
        <v>869.85182059525619</v>
      </c>
      <c r="AL17" s="32">
        <f t="array" ref="AL17">IF(COLUMN() - ($E17 + 5) &lt; 0, 0,
  IF(COLUMN() - ($E17 + 5) = 0, $F17,
    AK17 * (1 - IFERROR(INDEX('Inputs &amp; Assuptions'!$C$13:$C$72, COLUMN() - ($E17 + 5)), 0))
  )
)</f>
        <v>865.50256149227994</v>
      </c>
      <c r="AM17" s="32">
        <f t="array" ref="AM17">IF(COLUMN() - ($E17 + 5) &lt; 0, 0,
  IF(COLUMN() - ($E17 + 5) = 0, $F17,
    AL17 * (1 - IFERROR(INDEX('Inputs &amp; Assuptions'!$C$13:$C$72, COLUMN() - ($E17 + 5)), 0))
  )
)</f>
        <v>861.17504868481853</v>
      </c>
      <c r="AN17" s="32">
        <f t="array" ref="AN17">IF(COLUMN() - ($E17 + 5) &lt; 0, 0,
  IF(COLUMN() - ($E17 + 5) = 0, $F17,
    AM17 * (1 - IFERROR(INDEX('Inputs &amp; Assuptions'!$C$13:$C$72, COLUMN() - ($E17 + 5)), 0))
  )
)</f>
        <v>856.86917344139442</v>
      </c>
      <c r="AO17" s="32">
        <f t="array" ref="AO17">IF(COLUMN() - ($E17 + 5) &lt; 0, 0,
  IF(COLUMN() - ($E17 + 5) = 0, $F17,
    AN17 * (1 - IFERROR(INDEX('Inputs &amp; Assuptions'!$C$13:$C$72, COLUMN() - ($E17 + 5)), 0))
  )
)</f>
        <v>852.58482757418744</v>
      </c>
      <c r="AP17" s="32">
        <f t="array" ref="AP17">IF(COLUMN() - ($E17 + 5) &lt; 0, 0,
  IF(COLUMN() - ($E17 + 5) = 0, $F17,
    AO17 * (1 - IFERROR(INDEX('Inputs &amp; Assuptions'!$C$13:$C$72, COLUMN() - ($E17 + 5)), 0))
  )
)</f>
        <v>848.32190343631646</v>
      </c>
      <c r="AQ17" s="32">
        <f t="array" ref="AQ17">IF(COLUMN() - ($E17 + 5) &lt; 0, 0,
  IF(COLUMN() - ($E17 + 5) = 0, $F17,
    AP17 * (1 - IFERROR(INDEX('Inputs &amp; Assuptions'!$C$13:$C$72, COLUMN() - ($E17 + 5)), 0))
  )
)</f>
        <v>844.08029391913487</v>
      </c>
      <c r="AR17" s="32">
        <f t="array" ref="AR17">IF(COLUMN() - ($E17 + 5) &lt; 0, 0,
  IF(COLUMN() - ($E17 + 5) = 0, $F17,
    AQ17 * (1 - IFERROR(INDEX('Inputs &amp; Assuptions'!$C$13:$C$72, COLUMN() - ($E17 + 5)), 0))
  )
)</f>
        <v>839.85989244953919</v>
      </c>
      <c r="AS17" s="32">
        <f t="array" ref="AS17">IF(COLUMN() - ($E17 + 5) &lt; 0, 0,
  IF(COLUMN() - ($E17 + 5) = 0, $F17,
    AR17 * (1 - IFERROR(INDEX('Inputs &amp; Assuptions'!$C$13:$C$72, COLUMN() - ($E17 + 5)), 0))
  )
)</f>
        <v>835.66059298729147</v>
      </c>
      <c r="AT17" s="32">
        <f t="array" ref="AT17">IF(COLUMN() - ($E17 + 5) &lt; 0, 0,
  IF(COLUMN() - ($E17 + 5) = 0, $F17,
    AS17 * (1 - IFERROR(INDEX('Inputs &amp; Assuptions'!$C$13:$C$72, COLUMN() - ($E17 + 5)), 0))
  )
)</f>
        <v>831.48229002235496</v>
      </c>
      <c r="AU17" s="32">
        <f t="array" ref="AU17">IF(COLUMN() - ($E17 + 5) &lt; 0, 0,
  IF(COLUMN() - ($E17 + 5) = 0, $F17,
    AT17 * (1 - IFERROR(INDEX('Inputs &amp; Assuptions'!$C$13:$C$72, COLUMN() - ($E17 + 5)), 0))
  )
)</f>
        <v>827.32487857224316</v>
      </c>
      <c r="AV17" s="32">
        <f t="array" ref="AV17">IF(COLUMN() - ($E17 + 5) &lt; 0, 0,
  IF(COLUMN() - ($E17 + 5) = 0, $F17,
    AU17 * (1 - IFERROR(INDEX('Inputs &amp; Assuptions'!$C$13:$C$72, COLUMN() - ($E17 + 5)), 0))
  )
)</f>
        <v>823.18825417938194</v>
      </c>
      <c r="AW17" s="32">
        <f t="array" ref="AW17">IF(COLUMN() - ($E17 + 5) &lt; 0, 0,
  IF(COLUMN() - ($E17 + 5) = 0, $F17,
    AV17 * (1 - IFERROR(INDEX('Inputs &amp; Assuptions'!$C$13:$C$72, COLUMN() - ($E17 + 5)), 0))
  )
)</f>
        <v>819.07231290848506</v>
      </c>
      <c r="AX17" s="32">
        <f t="array" ref="AX17">IF(COLUMN() - ($E17 + 5) &lt; 0, 0,
  IF(COLUMN() - ($E17 + 5) = 0, $F17,
    AW17 * (1 - IFERROR(INDEX('Inputs &amp; Assuptions'!$C$13:$C$72, COLUMN() - ($E17 + 5)), 0))
  )
)</f>
        <v>814.97695134394269</v>
      </c>
      <c r="AY17" s="32">
        <f t="array" ref="AY17">IF(COLUMN() - ($E17 + 5) &lt; 0, 0,
  IF(COLUMN() - ($E17 + 5) = 0, $F17,
    AX17 * (1 - IFERROR(INDEX('Inputs &amp; Assuptions'!$C$13:$C$72, COLUMN() - ($E17 + 5)), 0))
  )
)</f>
        <v>810.90206658722298</v>
      </c>
      <c r="AZ17" s="32">
        <f t="array" ref="AZ17">IF(COLUMN() - ($E17 + 5) &lt; 0, 0,
  IF(COLUMN() - ($E17 + 5) = 0, $F17,
    AY17 * (1 - IFERROR(INDEX('Inputs &amp; Assuptions'!$C$13:$C$72, COLUMN() - ($E17 + 5)), 0))
  )
)</f>
        <v>806.84755625428681</v>
      </c>
      <c r="BA17" s="32">
        <f t="array" ref="BA17">IF(COLUMN() - ($E17 + 5) &lt; 0, 0,
  IF(COLUMN() - ($E17 + 5) = 0, $F17,
    AZ17 * (1 - IFERROR(INDEX('Inputs &amp; Assuptions'!$C$13:$C$72, COLUMN() - ($E17 + 5)), 0))
  )
)</f>
        <v>802.81331847301533</v>
      </c>
      <c r="BB17" s="32">
        <f t="array" ref="BB17">IF(COLUMN() - ($E17 + 5) &lt; 0, 0,
  IF(COLUMN() - ($E17 + 5) = 0, $F17,
    BA17 * (1 - IFERROR(INDEX('Inputs &amp; Assuptions'!$C$13:$C$72, COLUMN() - ($E17 + 5)), 0))
  )
)</f>
        <v>798.79925188065022</v>
      </c>
      <c r="BC17" s="32">
        <f t="array" ref="BC17">IF(COLUMN() - ($E17 + 5) &lt; 0, 0,
  IF(COLUMN() - ($E17 + 5) = 0, $F17,
    BB17 * (1 - IFERROR(INDEX('Inputs &amp; Assuptions'!$C$13:$C$72, COLUMN() - ($E17 + 5)), 0))
  )
)</f>
        <v>794.80525562124694</v>
      </c>
      <c r="BD17" s="32">
        <f t="array" ref="BD17">IF(COLUMN() - ($E17 + 5) &lt; 0, 0,
  IF(COLUMN() - ($E17 + 5) = 0, $F17,
    BC17 * (1 - IFERROR(INDEX('Inputs &amp; Assuptions'!$C$13:$C$72, COLUMN() - ($E17 + 5)), 0))
  )
)</f>
        <v>790.83122934314065</v>
      </c>
      <c r="BE17" s="32">
        <f t="array" ref="BE17">IF(COLUMN() - ($E17 + 5) &lt; 0, 0,
  IF(COLUMN() - ($E17 + 5) = 0, $F17,
    BD17 * (1 - IFERROR(INDEX('Inputs &amp; Assuptions'!$C$13:$C$72, COLUMN() - ($E17 + 5)), 0))
  )
)</f>
        <v>786.87707319642493</v>
      </c>
      <c r="BF17" s="32">
        <f t="array" ref="BF17">IF(COLUMN() - ($E17 + 5) &lt; 0, 0,
  IF(COLUMN() - ($E17 + 5) = 0, $F17,
    BE17 * (1 - IFERROR(INDEX('Inputs &amp; Assuptions'!$C$13:$C$72, COLUMN() - ($E17 + 5)), 0))
  )
)</f>
        <v>782.94268783044276</v>
      </c>
      <c r="BG17" s="32">
        <f t="array" ref="BG17">IF(COLUMN() - ($E17 + 5) &lt; 0, 0,
  IF(COLUMN() - ($E17 + 5) = 0, $F17,
    BF17 * (1 - IFERROR(INDEX('Inputs &amp; Assuptions'!$C$13:$C$72, COLUMN() - ($E17 + 5)), 0))
  )
)</f>
        <v>779.02797439129051</v>
      </c>
      <c r="BH17" s="32">
        <f t="array" ref="BH17">IF(COLUMN() - ($E17 + 5) &lt; 0, 0,
  IF(COLUMN() - ($E17 + 5) = 0, $F17,
    BG17 * (1 - IFERROR(INDEX('Inputs &amp; Assuptions'!$C$13:$C$72, COLUMN() - ($E17 + 5)), 0))
  )
)</f>
        <v>775.1328345193341</v>
      </c>
      <c r="BI17" s="32">
        <f t="array" ref="BI17">IF(COLUMN() - ($E17 + 5) &lt; 0, 0,
  IF(COLUMN() - ($E17 + 5) = 0, $F17,
    BH17 * (1 - IFERROR(INDEX('Inputs &amp; Assuptions'!$C$13:$C$72, COLUMN() - ($E17 + 5)), 0))
  )
)</f>
        <v>771.25717034673744</v>
      </c>
      <c r="BJ17" s="32">
        <f t="array" ref="BJ17">IF(COLUMN() - ($E17 + 5) &lt; 0, 0,
  IF(COLUMN() - ($E17 + 5) = 0, $F17,
    BI17 * (1 - IFERROR(INDEX('Inputs &amp; Assuptions'!$C$13:$C$72, COLUMN() - ($E17 + 5)), 0))
  )
)</f>
        <v>767.40088449500377</v>
      </c>
      <c r="BK17" s="32">
        <f t="array" ref="BK17">IF(COLUMN() - ($E17 + 5) &lt; 0, 0,
  IF(COLUMN() - ($E17 + 5) = 0, $F17,
    BJ17 * (1 - IFERROR(INDEX('Inputs &amp; Assuptions'!$C$13:$C$72, COLUMN() - ($E17 + 5)), 0))
  )
)</f>
        <v>763.56388007252872</v>
      </c>
      <c r="BL17" s="32">
        <f t="array" ref="BL17">IF(COLUMN() - ($E17 + 5) &lt; 0, 0,
  IF(COLUMN() - ($E17 + 5) = 0, $F17,
    BK17 * (1 - IFERROR(INDEX('Inputs &amp; Assuptions'!$C$13:$C$72, COLUMN() - ($E17 + 5)), 0))
  )
)</f>
        <v>759.7460606721661</v>
      </c>
      <c r="BM17" s="66">
        <f t="array" ref="BM17">IF(COLUMN() - ($E17 + 5) &lt; 0, 0,
  IF(COLUMN() - ($E17 + 5) = 0, $F17,
    BL17 * (1 - IFERROR(INDEX('Inputs &amp; Assuptions'!$C$13:$C$72, COLUMN() - ($E17 + 5)), 0))
  )
)</f>
        <v>755.9473303688053</v>
      </c>
      <c r="BN17" s="33"/>
    </row>
    <row r="18" spans="1:66" x14ac:dyDescent="0.3">
      <c r="A18" s="71">
        <f t="shared" si="2"/>
        <v>13</v>
      </c>
      <c r="B18" s="75">
        <f t="shared" si="4"/>
        <v>1575</v>
      </c>
      <c r="C18" s="81">
        <f>$B18*(1-'Inputs &amp; Assuptions'!$C$12)</f>
        <v>1228.5</v>
      </c>
      <c r="E18" s="71">
        <f t="shared" si="3"/>
        <v>13</v>
      </c>
      <c r="F18" s="65"/>
      <c r="G18" s="32"/>
      <c r="H18" s="32"/>
      <c r="I18" s="67"/>
      <c r="J18" s="32"/>
      <c r="K18" s="32"/>
      <c r="L18" s="32"/>
      <c r="M18" s="32"/>
      <c r="N18" s="32"/>
      <c r="O18" s="32"/>
      <c r="P18" s="32"/>
      <c r="Q18" s="32"/>
      <c r="R18" s="32">
        <f>$C18</f>
        <v>1228.5</v>
      </c>
      <c r="S18" s="32">
        <f t="array" ref="S18">IF(COLUMN() - ($E18 + 5) &lt; 0, 0,
  IF(COLUMN() - ($E18 + 5) = 0, $F18,
    R18 * (1 - IFERROR(INDEX('Inputs &amp; Assuptions'!$C$13:$C$72, COLUMN() - ($E18 + 5)), 0))
  )
)</f>
        <v>1164.0037500000001</v>
      </c>
      <c r="T18" s="32">
        <f t="array" ref="T18">IF(COLUMN() - ($E18 + 5) &lt; 0, 0,
  IF(COLUMN() - ($E18 + 5) = 0, $F18,
    S18 * (1 - IFERROR(INDEX('Inputs &amp; Assuptions'!$C$13:$C$72, COLUMN() - ($E18 + 5)), 0))
  )
)</f>
        <v>1117.4436000000001</v>
      </c>
      <c r="U18" s="32">
        <f t="array" ref="U18">IF(COLUMN() - ($E18 + 5) &lt; 0, 0,
  IF(COLUMN() - ($E18 + 5) = 0, $F18,
    T18 * (1 - IFERROR(INDEX('Inputs &amp; Assuptions'!$C$13:$C$72, COLUMN() - ($E18 + 5)), 0))
  )
)</f>
        <v>1086.7139010000001</v>
      </c>
      <c r="V18" s="32">
        <f t="array" ref="V18">IF(COLUMN() - ($E18 + 5) &lt; 0, 0,
  IF(COLUMN() - ($E18 + 5) = 0, $F18,
    U18 * (1 - IFERROR(INDEX('Inputs &amp; Assuptions'!$C$13:$C$72, COLUMN() - ($E18 + 5)), 0))
  )
)</f>
        <v>1059.546053475</v>
      </c>
      <c r="W18" s="32">
        <f t="array" ref="W18">IF(COLUMN() - ($E18 + 5) &lt; 0, 0,
  IF(COLUMN() - ($E18 + 5) = 0, $F18,
    V18 * (1 - IFERROR(INDEX('Inputs &amp; Assuptions'!$C$13:$C$72, COLUMN() - ($E18 + 5)), 0))
  )
)</f>
        <v>1035.7062672718125</v>
      </c>
      <c r="X18" s="32">
        <f t="array" ref="X18">IF(COLUMN() - ($E18 + 5) &lt; 0, 0,
  IF(COLUMN() - ($E18 + 5) = 0, $F18,
    W18 * (1 - IFERROR(INDEX('Inputs &amp; Assuptions'!$C$13:$C$72, COLUMN() - ($E18 + 5)), 0))
  )
)</f>
        <v>1014.9921419263762</v>
      </c>
      <c r="Y18" s="32">
        <f t="array" ref="Y18">IF(COLUMN() - ($E18 + 5) &lt; 0, 0,
  IF(COLUMN() - ($E18 + 5) = 0, $F18,
    X18 * (1 - IFERROR(INDEX('Inputs &amp; Assuptions'!$C$13:$C$72, COLUMN() - ($E18 + 5)), 0))
  )
)</f>
        <v>997.22977944266472</v>
      </c>
      <c r="Z18" s="32">
        <f t="array" ref="Z18">IF(COLUMN() - ($E18 + 5) &lt; 0, 0,
  IF(COLUMN() - ($E18 + 5) = 0, $F18,
    Y18 * (1 - IFERROR(INDEX('Inputs &amp; Assuptions'!$C$13:$C$72, COLUMN() - ($E18 + 5)), 0))
  )
)</f>
        <v>982.27133275102472</v>
      </c>
      <c r="AA18" s="32">
        <f t="array" ref="AA18">IF(COLUMN() - ($E18 + 5) &lt; 0, 0,
  IF(COLUMN() - ($E18 + 5) = 0, $F18,
    Z18 * (1 - IFERROR(INDEX('Inputs &amp; Assuptions'!$C$13:$C$72, COLUMN() - ($E18 + 5)), 0))
  )
)</f>
        <v>969.99294109163691</v>
      </c>
      <c r="AB18" s="32">
        <f t="array" ref="AB18">IF(COLUMN() - ($E18 + 5) &lt; 0, 0,
  IF(COLUMN() - ($E18 + 5) = 0, $F18,
    AA18 * (1 - IFERROR(INDEX('Inputs &amp; Assuptions'!$C$13:$C$72, COLUMN() - ($E18 + 5)), 0))
  )
)</f>
        <v>960.2930116807205</v>
      </c>
      <c r="AC18" s="32">
        <f t="array" ref="AC18">IF(COLUMN() - ($E18 + 5) &lt; 0, 0,
  IF(COLUMN() - ($E18 + 5) = 0, $F18,
    AB18 * (1 - IFERROR(INDEX('Inputs &amp; Assuptions'!$C$13:$C$72, COLUMN() - ($E18 + 5)), 0))
  )
)</f>
        <v>955.49154662231695</v>
      </c>
      <c r="AD18" s="32">
        <f t="array" ref="AD18">IF(COLUMN() - ($E18 + 5) &lt; 0, 0,
  IF(COLUMN() - ($E18 + 5) = 0, $F18,
    AC18 * (1 - IFERROR(INDEX('Inputs &amp; Assuptions'!$C$13:$C$72, COLUMN() - ($E18 + 5)), 0))
  )
)</f>
        <v>950.71408888920541</v>
      </c>
      <c r="AE18" s="32">
        <f t="array" ref="AE18">IF(COLUMN() - ($E18 + 5) &lt; 0, 0,
  IF(COLUMN() - ($E18 + 5) = 0, $F18,
    AD18 * (1 - IFERROR(INDEX('Inputs &amp; Assuptions'!$C$13:$C$72, COLUMN() - ($E18 + 5)), 0))
  )
)</f>
        <v>945.96051844475937</v>
      </c>
      <c r="AF18" s="32">
        <f t="array" ref="AF18">IF(COLUMN() - ($E18 + 5) &lt; 0, 0,
  IF(COLUMN() - ($E18 + 5) = 0, $F18,
    AE18 * (1 - IFERROR(INDEX('Inputs &amp; Assuptions'!$C$13:$C$72, COLUMN() - ($E18 + 5)), 0))
  )
)</f>
        <v>941.23071585253558</v>
      </c>
      <c r="AG18" s="32">
        <f t="array" ref="AG18">IF(COLUMN() - ($E18 + 5) &lt; 0, 0,
  IF(COLUMN() - ($E18 + 5) = 0, $F18,
    AF18 * (1 - IFERROR(INDEX('Inputs &amp; Assuptions'!$C$13:$C$72, COLUMN() - ($E18 + 5)), 0))
  )
)</f>
        <v>936.52456227327286</v>
      </c>
      <c r="AH18" s="32">
        <f t="array" ref="AH18">IF(COLUMN() - ($E18 + 5) &lt; 0, 0,
  IF(COLUMN() - ($E18 + 5) = 0, $F18,
    AG18 * (1 - IFERROR(INDEX('Inputs &amp; Assuptions'!$C$13:$C$72, COLUMN() - ($E18 + 5)), 0))
  )
)</f>
        <v>931.84193946190646</v>
      </c>
      <c r="AI18" s="32">
        <f t="array" ref="AI18">IF(COLUMN() - ($E18 + 5) &lt; 0, 0,
  IF(COLUMN() - ($E18 + 5) = 0, $F18,
    AH18 * (1 - IFERROR(INDEX('Inputs &amp; Assuptions'!$C$13:$C$72, COLUMN() - ($E18 + 5)), 0))
  )
)</f>
        <v>927.18272976459696</v>
      </c>
      <c r="AJ18" s="32">
        <f t="array" ref="AJ18">IF(COLUMN() - ($E18 + 5) &lt; 0, 0,
  IF(COLUMN() - ($E18 + 5) = 0, $F18,
    AI18 * (1 - IFERROR(INDEX('Inputs &amp; Assuptions'!$C$13:$C$72, COLUMN() - ($E18 + 5)), 0))
  )
)</f>
        <v>922.54681611577394</v>
      </c>
      <c r="AK18" s="32">
        <f t="array" ref="AK18">IF(COLUMN() - ($E18 + 5) &lt; 0, 0,
  IF(COLUMN() - ($E18 + 5) = 0, $F18,
    AJ18 * (1 - IFERROR(INDEX('Inputs &amp; Assuptions'!$C$13:$C$72, COLUMN() - ($E18 + 5)), 0))
  )
)</f>
        <v>917.93408203519505</v>
      </c>
      <c r="AL18" s="32">
        <f t="array" ref="AL18">IF(COLUMN() - ($E18 + 5) &lt; 0, 0,
  IF(COLUMN() - ($E18 + 5) = 0, $F18,
    AK18 * (1 - IFERROR(INDEX('Inputs &amp; Assuptions'!$C$13:$C$72, COLUMN() - ($E18 + 5)), 0))
  )
)</f>
        <v>913.34441162501912</v>
      </c>
      <c r="AM18" s="32">
        <f t="array" ref="AM18">IF(COLUMN() - ($E18 + 5) &lt; 0, 0,
  IF(COLUMN() - ($E18 + 5) = 0, $F18,
    AL18 * (1 - IFERROR(INDEX('Inputs &amp; Assuptions'!$C$13:$C$72, COLUMN() - ($E18 + 5)), 0))
  )
)</f>
        <v>908.77768956689397</v>
      </c>
      <c r="AN18" s="32">
        <f t="array" ref="AN18">IF(COLUMN() - ($E18 + 5) &lt; 0, 0,
  IF(COLUMN() - ($E18 + 5) = 0, $F18,
    AM18 * (1 - IFERROR(INDEX('Inputs &amp; Assuptions'!$C$13:$C$72, COLUMN() - ($E18 + 5)), 0))
  )
)</f>
        <v>904.23380111905954</v>
      </c>
      <c r="AO18" s="32">
        <f t="array" ref="AO18">IF(COLUMN() - ($E18 + 5) &lt; 0, 0,
  IF(COLUMN() - ($E18 + 5) = 0, $F18,
    AN18 * (1 - IFERROR(INDEX('Inputs &amp; Assuptions'!$C$13:$C$72, COLUMN() - ($E18 + 5)), 0))
  )
)</f>
        <v>899.71263211346422</v>
      </c>
      <c r="AP18" s="32">
        <f t="array" ref="AP18">IF(COLUMN() - ($E18 + 5) &lt; 0, 0,
  IF(COLUMN() - ($E18 + 5) = 0, $F18,
    AO18 * (1 - IFERROR(INDEX('Inputs &amp; Assuptions'!$C$13:$C$72, COLUMN() - ($E18 + 5)), 0))
  )
)</f>
        <v>895.21406895289692</v>
      </c>
      <c r="AQ18" s="32">
        <f t="array" ref="AQ18">IF(COLUMN() - ($E18 + 5) &lt; 0, 0,
  IF(COLUMN() - ($E18 + 5) = 0, $F18,
    AP18 * (1 - IFERROR(INDEX('Inputs &amp; Assuptions'!$C$13:$C$72, COLUMN() - ($E18 + 5)), 0))
  )
)</f>
        <v>890.73799860813244</v>
      </c>
      <c r="AR18" s="32">
        <f t="array" ref="AR18">IF(COLUMN() - ($E18 + 5) &lt; 0, 0,
  IF(COLUMN() - ($E18 + 5) = 0, $F18,
    AQ18 * (1 - IFERROR(INDEX('Inputs &amp; Assuptions'!$C$13:$C$72, COLUMN() - ($E18 + 5)), 0))
  )
)</f>
        <v>886.28430861509173</v>
      </c>
      <c r="AS18" s="32">
        <f t="array" ref="AS18">IF(COLUMN() - ($E18 + 5) &lt; 0, 0,
  IF(COLUMN() - ($E18 + 5) = 0, $F18,
    AR18 * (1 - IFERROR(INDEX('Inputs &amp; Assuptions'!$C$13:$C$72, COLUMN() - ($E18 + 5)), 0))
  )
)</f>
        <v>881.8528870720163</v>
      </c>
      <c r="AT18" s="32">
        <f t="array" ref="AT18">IF(COLUMN() - ($E18 + 5) &lt; 0, 0,
  IF(COLUMN() - ($E18 + 5) = 0, $F18,
    AS18 * (1 - IFERROR(INDEX('Inputs &amp; Assuptions'!$C$13:$C$72, COLUMN() - ($E18 + 5)), 0))
  )
)</f>
        <v>877.44362263665619</v>
      </c>
      <c r="AU18" s="32">
        <f t="array" ref="AU18">IF(COLUMN() - ($E18 + 5) &lt; 0, 0,
  IF(COLUMN() - ($E18 + 5) = 0, $F18,
    AT18 * (1 - IFERROR(INDEX('Inputs &amp; Assuptions'!$C$13:$C$72, COLUMN() - ($E18 + 5)), 0))
  )
)</f>
        <v>873.05640452347291</v>
      </c>
      <c r="AV18" s="32">
        <f t="array" ref="AV18">IF(COLUMN() - ($E18 + 5) &lt; 0, 0,
  IF(COLUMN() - ($E18 + 5) = 0, $F18,
    AU18 * (1 - IFERROR(INDEX('Inputs &amp; Assuptions'!$C$13:$C$72, COLUMN() - ($E18 + 5)), 0))
  )
)</f>
        <v>868.6911225008555</v>
      </c>
      <c r="AW18" s="32">
        <f t="array" ref="AW18">IF(COLUMN() - ($E18 + 5) &lt; 0, 0,
  IF(COLUMN() - ($E18 + 5) = 0, $F18,
    AV18 * (1 - IFERROR(INDEX('Inputs &amp; Assuptions'!$C$13:$C$72, COLUMN() - ($E18 + 5)), 0))
  )
)</f>
        <v>864.34766688835123</v>
      </c>
      <c r="AX18" s="32">
        <f t="array" ref="AX18">IF(COLUMN() - ($E18 + 5) &lt; 0, 0,
  IF(COLUMN() - ($E18 + 5) = 0, $F18,
    AW18 * (1 - IFERROR(INDEX('Inputs &amp; Assuptions'!$C$13:$C$72, COLUMN() - ($E18 + 5)), 0))
  )
)</f>
        <v>860.02592855390947</v>
      </c>
      <c r="AY18" s="32">
        <f t="array" ref="AY18">IF(COLUMN() - ($E18 + 5) &lt; 0, 0,
  IF(COLUMN() - ($E18 + 5) = 0, $F18,
    AX18 * (1 - IFERROR(INDEX('Inputs &amp; Assuptions'!$C$13:$C$72, COLUMN() - ($E18 + 5)), 0))
  )
)</f>
        <v>855.72579891113992</v>
      </c>
      <c r="AZ18" s="32">
        <f t="array" ref="AZ18">IF(COLUMN() - ($E18 + 5) &lt; 0, 0,
  IF(COLUMN() - ($E18 + 5) = 0, $F18,
    AY18 * (1 - IFERROR(INDEX('Inputs &amp; Assuptions'!$C$13:$C$72, COLUMN() - ($E18 + 5)), 0))
  )
)</f>
        <v>851.44716991658424</v>
      </c>
      <c r="BA18" s="32">
        <f t="array" ref="BA18">IF(COLUMN() - ($E18 + 5) &lt; 0, 0,
  IF(COLUMN() - ($E18 + 5) = 0, $F18,
    AZ18 * (1 - IFERROR(INDEX('Inputs &amp; Assuptions'!$C$13:$C$72, COLUMN() - ($E18 + 5)), 0))
  )
)</f>
        <v>847.18993406700133</v>
      </c>
      <c r="BB18" s="32">
        <f t="array" ref="BB18">IF(COLUMN() - ($E18 + 5) &lt; 0, 0,
  IF(COLUMN() - ($E18 + 5) = 0, $F18,
    BA18 * (1 - IFERROR(INDEX('Inputs &amp; Assuptions'!$C$13:$C$72, COLUMN() - ($E18 + 5)), 0))
  )
)</f>
        <v>842.95398439666633</v>
      </c>
      <c r="BC18" s="32">
        <f t="array" ref="BC18">IF(COLUMN() - ($E18 + 5) &lt; 0, 0,
  IF(COLUMN() - ($E18 + 5) = 0, $F18,
    BB18 * (1 - IFERROR(INDEX('Inputs &amp; Assuptions'!$C$13:$C$72, COLUMN() - ($E18 + 5)), 0))
  )
)</f>
        <v>838.73921447468297</v>
      </c>
      <c r="BD18" s="32">
        <f t="array" ref="BD18">IF(COLUMN() - ($E18 + 5) &lt; 0, 0,
  IF(COLUMN() - ($E18 + 5) = 0, $F18,
    BC18 * (1 - IFERROR(INDEX('Inputs &amp; Assuptions'!$C$13:$C$72, COLUMN() - ($E18 + 5)), 0))
  )
)</f>
        <v>834.54551840230954</v>
      </c>
      <c r="BE18" s="32">
        <f t="array" ref="BE18">IF(COLUMN() - ($E18 + 5) &lt; 0, 0,
  IF(COLUMN() - ($E18 + 5) = 0, $F18,
    BD18 * (1 - IFERROR(INDEX('Inputs &amp; Assuptions'!$C$13:$C$72, COLUMN() - ($E18 + 5)), 0))
  )
)</f>
        <v>830.37279081029794</v>
      </c>
      <c r="BF18" s="32">
        <f t="array" ref="BF18">IF(COLUMN() - ($E18 + 5) &lt; 0, 0,
  IF(COLUMN() - ($E18 + 5) = 0, $F18,
    BE18 * (1 - IFERROR(INDEX('Inputs &amp; Assuptions'!$C$13:$C$72, COLUMN() - ($E18 + 5)), 0))
  )
)</f>
        <v>826.22092685624648</v>
      </c>
      <c r="BG18" s="32">
        <f t="array" ref="BG18">IF(COLUMN() - ($E18 + 5) &lt; 0, 0,
  IF(COLUMN() - ($E18 + 5) = 0, $F18,
    BF18 * (1 - IFERROR(INDEX('Inputs &amp; Assuptions'!$C$13:$C$72, COLUMN() - ($E18 + 5)), 0))
  )
)</f>
        <v>822.08982222196528</v>
      </c>
      <c r="BH18" s="32">
        <f t="array" ref="BH18">IF(COLUMN() - ($E18 + 5) &lt; 0, 0,
  IF(COLUMN() - ($E18 + 5) = 0, $F18,
    BG18 * (1 - IFERROR(INDEX('Inputs &amp; Assuptions'!$C$13:$C$72, COLUMN() - ($E18 + 5)), 0))
  )
)</f>
        <v>817.97937311085548</v>
      </c>
      <c r="BI18" s="32">
        <f t="array" ref="BI18">IF(COLUMN() - ($E18 + 5) &lt; 0, 0,
  IF(COLUMN() - ($E18 + 5) = 0, $F18,
    BH18 * (1 - IFERROR(INDEX('Inputs &amp; Assuptions'!$C$13:$C$72, COLUMN() - ($E18 + 5)), 0))
  )
)</f>
        <v>813.88947624530124</v>
      </c>
      <c r="BJ18" s="32">
        <f t="array" ref="BJ18">IF(COLUMN() - ($E18 + 5) &lt; 0, 0,
  IF(COLUMN() - ($E18 + 5) = 0, $F18,
    BI18 * (1 - IFERROR(INDEX('Inputs &amp; Assuptions'!$C$13:$C$72, COLUMN() - ($E18 + 5)), 0))
  )
)</f>
        <v>809.82002886407474</v>
      </c>
      <c r="BK18" s="32">
        <f t="array" ref="BK18">IF(COLUMN() - ($E18 + 5) &lt; 0, 0,
  IF(COLUMN() - ($E18 + 5) = 0, $F18,
    BJ18 * (1 - IFERROR(INDEX('Inputs &amp; Assuptions'!$C$13:$C$72, COLUMN() - ($E18 + 5)), 0))
  )
)</f>
        <v>805.77092871975435</v>
      </c>
      <c r="BL18" s="32">
        <f t="array" ref="BL18">IF(COLUMN() - ($E18 + 5) &lt; 0, 0,
  IF(COLUMN() - ($E18 + 5) = 0, $F18,
    BK18 * (1 - IFERROR(INDEX('Inputs &amp; Assuptions'!$C$13:$C$72, COLUMN() - ($E18 + 5)), 0))
  )
)</f>
        <v>801.74207407615563</v>
      </c>
      <c r="BM18" s="66">
        <f t="array" ref="BM18">IF(COLUMN() - ($E18 + 5) &lt; 0, 0,
  IF(COLUMN() - ($E18 + 5) = 0, $F18,
    BL18 * (1 - IFERROR(INDEX('Inputs &amp; Assuptions'!$C$13:$C$72, COLUMN() - ($E18 + 5)), 0))
  )
)</f>
        <v>797.73336370577488</v>
      </c>
      <c r="BN18" s="33"/>
    </row>
    <row r="19" spans="1:66" x14ac:dyDescent="0.3">
      <c r="A19" s="71">
        <f t="shared" si="2"/>
        <v>14</v>
      </c>
      <c r="B19" s="75">
        <f t="shared" si="4"/>
        <v>1575</v>
      </c>
      <c r="C19" s="81">
        <f>$B19*(1-'Inputs &amp; Assuptions'!$C$12)</f>
        <v>1228.5</v>
      </c>
      <c r="E19" s="71">
        <f t="shared" si="3"/>
        <v>14</v>
      </c>
      <c r="F19" s="65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>
        <f>$C19</f>
        <v>1228.5</v>
      </c>
      <c r="T19" s="32">
        <f t="array" ref="T19">IF(COLUMN() - ($E19 + 5) &lt; 0, 0,
  IF(COLUMN() - ($E19 + 5) = 0, $F19,
    S19 * (1 - IFERROR(INDEX('Inputs &amp; Assuptions'!$C$13:$C$72, COLUMN() - ($E19 + 5)), 0))
  )
)</f>
        <v>1164.0037500000001</v>
      </c>
      <c r="U19" s="32">
        <f t="array" ref="U19">IF(COLUMN() - ($E19 + 5) &lt; 0, 0,
  IF(COLUMN() - ($E19 + 5) = 0, $F19,
    T19 * (1 - IFERROR(INDEX('Inputs &amp; Assuptions'!$C$13:$C$72, COLUMN() - ($E19 + 5)), 0))
  )
)</f>
        <v>1117.4436000000001</v>
      </c>
      <c r="V19" s="32">
        <f t="array" ref="V19">IF(COLUMN() - ($E19 + 5) &lt; 0, 0,
  IF(COLUMN() - ($E19 + 5) = 0, $F19,
    U19 * (1 - IFERROR(INDEX('Inputs &amp; Assuptions'!$C$13:$C$72, COLUMN() - ($E19 + 5)), 0))
  )
)</f>
        <v>1086.7139010000001</v>
      </c>
      <c r="W19" s="32">
        <f t="array" ref="W19">IF(COLUMN() - ($E19 + 5) &lt; 0, 0,
  IF(COLUMN() - ($E19 + 5) = 0, $F19,
    V19 * (1 - IFERROR(INDEX('Inputs &amp; Assuptions'!$C$13:$C$72, COLUMN() - ($E19 + 5)), 0))
  )
)</f>
        <v>1059.546053475</v>
      </c>
      <c r="X19" s="32">
        <f t="array" ref="X19">IF(COLUMN() - ($E19 + 5) &lt; 0, 0,
  IF(COLUMN() - ($E19 + 5) = 0, $F19,
    W19 * (1 - IFERROR(INDEX('Inputs &amp; Assuptions'!$C$13:$C$72, COLUMN() - ($E19 + 5)), 0))
  )
)</f>
        <v>1035.7062672718125</v>
      </c>
      <c r="Y19" s="32">
        <f t="array" ref="Y19">IF(COLUMN() - ($E19 + 5) &lt; 0, 0,
  IF(COLUMN() - ($E19 + 5) = 0, $F19,
    X19 * (1 - IFERROR(INDEX('Inputs &amp; Assuptions'!$C$13:$C$72, COLUMN() - ($E19 + 5)), 0))
  )
)</f>
        <v>1014.9921419263762</v>
      </c>
      <c r="Z19" s="32">
        <f t="array" ref="Z19">IF(COLUMN() - ($E19 + 5) &lt; 0, 0,
  IF(COLUMN() - ($E19 + 5) = 0, $F19,
    Y19 * (1 - IFERROR(INDEX('Inputs &amp; Assuptions'!$C$13:$C$72, COLUMN() - ($E19 + 5)), 0))
  )
)</f>
        <v>997.22977944266472</v>
      </c>
      <c r="AA19" s="32">
        <f t="array" ref="AA19">IF(COLUMN() - ($E19 + 5) &lt; 0, 0,
  IF(COLUMN() - ($E19 + 5) = 0, $F19,
    Z19 * (1 - IFERROR(INDEX('Inputs &amp; Assuptions'!$C$13:$C$72, COLUMN() - ($E19 + 5)), 0))
  )
)</f>
        <v>982.27133275102472</v>
      </c>
      <c r="AB19" s="32">
        <f t="array" ref="AB19">IF(COLUMN() - ($E19 + 5) &lt; 0, 0,
  IF(COLUMN() - ($E19 + 5) = 0, $F19,
    AA19 * (1 - IFERROR(INDEX('Inputs &amp; Assuptions'!$C$13:$C$72, COLUMN() - ($E19 + 5)), 0))
  )
)</f>
        <v>969.99294109163691</v>
      </c>
      <c r="AC19" s="32">
        <f t="array" ref="AC19">IF(COLUMN() - ($E19 + 5) &lt; 0, 0,
  IF(COLUMN() - ($E19 + 5) = 0, $F19,
    AB19 * (1 - IFERROR(INDEX('Inputs &amp; Assuptions'!$C$13:$C$72, COLUMN() - ($E19 + 5)), 0))
  )
)</f>
        <v>960.2930116807205</v>
      </c>
      <c r="AD19" s="32">
        <f t="array" ref="AD19">IF(COLUMN() - ($E19 + 5) &lt; 0, 0,
  IF(COLUMN() - ($E19 + 5) = 0, $F19,
    AC19 * (1 - IFERROR(INDEX('Inputs &amp; Assuptions'!$C$13:$C$72, COLUMN() - ($E19 + 5)), 0))
  )
)</f>
        <v>955.49154662231695</v>
      </c>
      <c r="AE19" s="32">
        <f t="array" ref="AE19">IF(COLUMN() - ($E19 + 5) &lt; 0, 0,
  IF(COLUMN() - ($E19 + 5) = 0, $F19,
    AD19 * (1 - IFERROR(INDEX('Inputs &amp; Assuptions'!$C$13:$C$72, COLUMN() - ($E19 + 5)), 0))
  )
)</f>
        <v>950.71408888920541</v>
      </c>
      <c r="AF19" s="32">
        <f t="array" ref="AF19">IF(COLUMN() - ($E19 + 5) &lt; 0, 0,
  IF(COLUMN() - ($E19 + 5) = 0, $F19,
    AE19 * (1 - IFERROR(INDEX('Inputs &amp; Assuptions'!$C$13:$C$72, COLUMN() - ($E19 + 5)), 0))
  )
)</f>
        <v>945.96051844475937</v>
      </c>
      <c r="AG19" s="32">
        <f t="array" ref="AG19">IF(COLUMN() - ($E19 + 5) &lt; 0, 0,
  IF(COLUMN() - ($E19 + 5) = 0, $F19,
    AF19 * (1 - IFERROR(INDEX('Inputs &amp; Assuptions'!$C$13:$C$72, COLUMN() - ($E19 + 5)), 0))
  )
)</f>
        <v>941.23071585253558</v>
      </c>
      <c r="AH19" s="32">
        <f t="array" ref="AH19">IF(COLUMN() - ($E19 + 5) &lt; 0, 0,
  IF(COLUMN() - ($E19 + 5) = 0, $F19,
    AG19 * (1 - IFERROR(INDEX('Inputs &amp; Assuptions'!$C$13:$C$72, COLUMN() - ($E19 + 5)), 0))
  )
)</f>
        <v>936.52456227327286</v>
      </c>
      <c r="AI19" s="32">
        <f t="array" ref="AI19">IF(COLUMN() - ($E19 + 5) &lt; 0, 0,
  IF(COLUMN() - ($E19 + 5) = 0, $F19,
    AH19 * (1 - IFERROR(INDEX('Inputs &amp; Assuptions'!$C$13:$C$72, COLUMN() - ($E19 + 5)), 0))
  )
)</f>
        <v>931.84193946190646</v>
      </c>
      <c r="AJ19" s="32">
        <f t="array" ref="AJ19">IF(COLUMN() - ($E19 + 5) &lt; 0, 0,
  IF(COLUMN() - ($E19 + 5) = 0, $F19,
    AI19 * (1 - IFERROR(INDEX('Inputs &amp; Assuptions'!$C$13:$C$72, COLUMN() - ($E19 + 5)), 0))
  )
)</f>
        <v>927.18272976459696</v>
      </c>
      <c r="AK19" s="32">
        <f t="array" ref="AK19">IF(COLUMN() - ($E19 + 5) &lt; 0, 0,
  IF(COLUMN() - ($E19 + 5) = 0, $F19,
    AJ19 * (1 - IFERROR(INDEX('Inputs &amp; Assuptions'!$C$13:$C$72, COLUMN() - ($E19 + 5)), 0))
  )
)</f>
        <v>922.54681611577394</v>
      </c>
      <c r="AL19" s="32">
        <f t="array" ref="AL19">IF(COLUMN() - ($E19 + 5) &lt; 0, 0,
  IF(COLUMN() - ($E19 + 5) = 0, $F19,
    AK19 * (1 - IFERROR(INDEX('Inputs &amp; Assuptions'!$C$13:$C$72, COLUMN() - ($E19 + 5)), 0))
  )
)</f>
        <v>917.93408203519505</v>
      </c>
      <c r="AM19" s="32">
        <f t="array" ref="AM19">IF(COLUMN() - ($E19 + 5) &lt; 0, 0,
  IF(COLUMN() - ($E19 + 5) = 0, $F19,
    AL19 * (1 - IFERROR(INDEX('Inputs &amp; Assuptions'!$C$13:$C$72, COLUMN() - ($E19 + 5)), 0))
  )
)</f>
        <v>913.34441162501912</v>
      </c>
      <c r="AN19" s="32">
        <f t="array" ref="AN19">IF(COLUMN() - ($E19 + 5) &lt; 0, 0,
  IF(COLUMN() - ($E19 + 5) = 0, $F19,
    AM19 * (1 - IFERROR(INDEX('Inputs &amp; Assuptions'!$C$13:$C$72, COLUMN() - ($E19 + 5)), 0))
  )
)</f>
        <v>908.77768956689397</v>
      </c>
      <c r="AO19" s="32">
        <f t="array" ref="AO19">IF(COLUMN() - ($E19 + 5) &lt; 0, 0,
  IF(COLUMN() - ($E19 + 5) = 0, $F19,
    AN19 * (1 - IFERROR(INDEX('Inputs &amp; Assuptions'!$C$13:$C$72, COLUMN() - ($E19 + 5)), 0))
  )
)</f>
        <v>904.23380111905954</v>
      </c>
      <c r="AP19" s="32">
        <f t="array" ref="AP19">IF(COLUMN() - ($E19 + 5) &lt; 0, 0,
  IF(COLUMN() - ($E19 + 5) = 0, $F19,
    AO19 * (1 - IFERROR(INDEX('Inputs &amp; Assuptions'!$C$13:$C$72, COLUMN() - ($E19 + 5)), 0))
  )
)</f>
        <v>899.71263211346422</v>
      </c>
      <c r="AQ19" s="32">
        <f t="array" ref="AQ19">IF(COLUMN() - ($E19 + 5) &lt; 0, 0,
  IF(COLUMN() - ($E19 + 5) = 0, $F19,
    AP19 * (1 - IFERROR(INDEX('Inputs &amp; Assuptions'!$C$13:$C$72, COLUMN() - ($E19 + 5)), 0))
  )
)</f>
        <v>895.21406895289692</v>
      </c>
      <c r="AR19" s="32">
        <f t="array" ref="AR19">IF(COLUMN() - ($E19 + 5) &lt; 0, 0,
  IF(COLUMN() - ($E19 + 5) = 0, $F19,
    AQ19 * (1 - IFERROR(INDEX('Inputs &amp; Assuptions'!$C$13:$C$72, COLUMN() - ($E19 + 5)), 0))
  )
)</f>
        <v>890.73799860813244</v>
      </c>
      <c r="AS19" s="32">
        <f t="array" ref="AS19">IF(COLUMN() - ($E19 + 5) &lt; 0, 0,
  IF(COLUMN() - ($E19 + 5) = 0, $F19,
    AR19 * (1 - IFERROR(INDEX('Inputs &amp; Assuptions'!$C$13:$C$72, COLUMN() - ($E19 + 5)), 0))
  )
)</f>
        <v>886.28430861509173</v>
      </c>
      <c r="AT19" s="32">
        <f t="array" ref="AT19">IF(COLUMN() - ($E19 + 5) &lt; 0, 0,
  IF(COLUMN() - ($E19 + 5) = 0, $F19,
    AS19 * (1 - IFERROR(INDEX('Inputs &amp; Assuptions'!$C$13:$C$72, COLUMN() - ($E19 + 5)), 0))
  )
)</f>
        <v>881.8528870720163</v>
      </c>
      <c r="AU19" s="32">
        <f t="array" ref="AU19">IF(COLUMN() - ($E19 + 5) &lt; 0, 0,
  IF(COLUMN() - ($E19 + 5) = 0, $F19,
    AT19 * (1 - IFERROR(INDEX('Inputs &amp; Assuptions'!$C$13:$C$72, COLUMN() - ($E19 + 5)), 0))
  )
)</f>
        <v>877.44362263665619</v>
      </c>
      <c r="AV19" s="32">
        <f t="array" ref="AV19">IF(COLUMN() - ($E19 + 5) &lt; 0, 0,
  IF(COLUMN() - ($E19 + 5) = 0, $F19,
    AU19 * (1 - IFERROR(INDEX('Inputs &amp; Assuptions'!$C$13:$C$72, COLUMN() - ($E19 + 5)), 0))
  )
)</f>
        <v>873.05640452347291</v>
      </c>
      <c r="AW19" s="32">
        <f t="array" ref="AW19">IF(COLUMN() - ($E19 + 5) &lt; 0, 0,
  IF(COLUMN() - ($E19 + 5) = 0, $F19,
    AV19 * (1 - IFERROR(INDEX('Inputs &amp; Assuptions'!$C$13:$C$72, COLUMN() - ($E19 + 5)), 0))
  )
)</f>
        <v>868.6911225008555</v>
      </c>
      <c r="AX19" s="32">
        <f t="array" ref="AX19">IF(COLUMN() - ($E19 + 5) &lt; 0, 0,
  IF(COLUMN() - ($E19 + 5) = 0, $F19,
    AW19 * (1 - IFERROR(INDEX('Inputs &amp; Assuptions'!$C$13:$C$72, COLUMN() - ($E19 + 5)), 0))
  )
)</f>
        <v>864.34766688835123</v>
      </c>
      <c r="AY19" s="32">
        <f t="array" ref="AY19">IF(COLUMN() - ($E19 + 5) &lt; 0, 0,
  IF(COLUMN() - ($E19 + 5) = 0, $F19,
    AX19 * (1 - IFERROR(INDEX('Inputs &amp; Assuptions'!$C$13:$C$72, COLUMN() - ($E19 + 5)), 0))
  )
)</f>
        <v>860.02592855390947</v>
      </c>
      <c r="AZ19" s="32">
        <f t="array" ref="AZ19">IF(COLUMN() - ($E19 + 5) &lt; 0, 0,
  IF(COLUMN() - ($E19 + 5) = 0, $F19,
    AY19 * (1 - IFERROR(INDEX('Inputs &amp; Assuptions'!$C$13:$C$72, COLUMN() - ($E19 + 5)), 0))
  )
)</f>
        <v>855.72579891113992</v>
      </c>
      <c r="BA19" s="32">
        <f t="array" ref="BA19">IF(COLUMN() - ($E19 + 5) &lt; 0, 0,
  IF(COLUMN() - ($E19 + 5) = 0, $F19,
    AZ19 * (1 - IFERROR(INDEX('Inputs &amp; Assuptions'!$C$13:$C$72, COLUMN() - ($E19 + 5)), 0))
  )
)</f>
        <v>851.44716991658424</v>
      </c>
      <c r="BB19" s="32">
        <f t="array" ref="BB19">IF(COLUMN() - ($E19 + 5) &lt; 0, 0,
  IF(COLUMN() - ($E19 + 5) = 0, $F19,
    BA19 * (1 - IFERROR(INDEX('Inputs &amp; Assuptions'!$C$13:$C$72, COLUMN() - ($E19 + 5)), 0))
  )
)</f>
        <v>847.18993406700133</v>
      </c>
      <c r="BC19" s="32">
        <f t="array" ref="BC19">IF(COLUMN() - ($E19 + 5) &lt; 0, 0,
  IF(COLUMN() - ($E19 + 5) = 0, $F19,
    BB19 * (1 - IFERROR(INDEX('Inputs &amp; Assuptions'!$C$13:$C$72, COLUMN() - ($E19 + 5)), 0))
  )
)</f>
        <v>842.95398439666633</v>
      </c>
      <c r="BD19" s="32">
        <f t="array" ref="BD19">IF(COLUMN() - ($E19 + 5) &lt; 0, 0,
  IF(COLUMN() - ($E19 + 5) = 0, $F19,
    BC19 * (1 - IFERROR(INDEX('Inputs &amp; Assuptions'!$C$13:$C$72, COLUMN() - ($E19 + 5)), 0))
  )
)</f>
        <v>838.73921447468297</v>
      </c>
      <c r="BE19" s="32">
        <f t="array" ref="BE19">IF(COLUMN() - ($E19 + 5) &lt; 0, 0,
  IF(COLUMN() - ($E19 + 5) = 0, $F19,
    BD19 * (1 - IFERROR(INDEX('Inputs &amp; Assuptions'!$C$13:$C$72, COLUMN() - ($E19 + 5)), 0))
  )
)</f>
        <v>834.54551840230954</v>
      </c>
      <c r="BF19" s="32">
        <f t="array" ref="BF19">IF(COLUMN() - ($E19 + 5) &lt; 0, 0,
  IF(COLUMN() - ($E19 + 5) = 0, $F19,
    BE19 * (1 - IFERROR(INDEX('Inputs &amp; Assuptions'!$C$13:$C$72, COLUMN() - ($E19 + 5)), 0))
  )
)</f>
        <v>830.37279081029794</v>
      </c>
      <c r="BG19" s="32">
        <f t="array" ref="BG19">IF(COLUMN() - ($E19 + 5) &lt; 0, 0,
  IF(COLUMN() - ($E19 + 5) = 0, $F19,
    BF19 * (1 - IFERROR(INDEX('Inputs &amp; Assuptions'!$C$13:$C$72, COLUMN() - ($E19 + 5)), 0))
  )
)</f>
        <v>826.22092685624648</v>
      </c>
      <c r="BH19" s="32">
        <f t="array" ref="BH19">IF(COLUMN() - ($E19 + 5) &lt; 0, 0,
  IF(COLUMN() - ($E19 + 5) = 0, $F19,
    BG19 * (1 - IFERROR(INDEX('Inputs &amp; Assuptions'!$C$13:$C$72, COLUMN() - ($E19 + 5)), 0))
  )
)</f>
        <v>822.08982222196528</v>
      </c>
      <c r="BI19" s="32">
        <f t="array" ref="BI19">IF(COLUMN() - ($E19 + 5) &lt; 0, 0,
  IF(COLUMN() - ($E19 + 5) = 0, $F19,
    BH19 * (1 - IFERROR(INDEX('Inputs &amp; Assuptions'!$C$13:$C$72, COLUMN() - ($E19 + 5)), 0))
  )
)</f>
        <v>817.97937311085548</v>
      </c>
      <c r="BJ19" s="32">
        <f t="array" ref="BJ19">IF(COLUMN() - ($E19 + 5) &lt; 0, 0,
  IF(COLUMN() - ($E19 + 5) = 0, $F19,
    BI19 * (1 - IFERROR(INDEX('Inputs &amp; Assuptions'!$C$13:$C$72, COLUMN() - ($E19 + 5)), 0))
  )
)</f>
        <v>813.88947624530124</v>
      </c>
      <c r="BK19" s="32">
        <f t="array" ref="BK19">IF(COLUMN() - ($E19 + 5) &lt; 0, 0,
  IF(COLUMN() - ($E19 + 5) = 0, $F19,
    BJ19 * (1 - IFERROR(INDEX('Inputs &amp; Assuptions'!$C$13:$C$72, COLUMN() - ($E19 + 5)), 0))
  )
)</f>
        <v>809.82002886407474</v>
      </c>
      <c r="BL19" s="32">
        <f t="array" ref="BL19">IF(COLUMN() - ($E19 + 5) &lt; 0, 0,
  IF(COLUMN() - ($E19 + 5) = 0, $F19,
    BK19 * (1 - IFERROR(INDEX('Inputs &amp; Assuptions'!$C$13:$C$72, COLUMN() - ($E19 + 5)), 0))
  )
)</f>
        <v>805.77092871975435</v>
      </c>
      <c r="BM19" s="66">
        <f t="array" ref="BM19">IF(COLUMN() - ($E19 + 5) &lt; 0, 0,
  IF(COLUMN() - ($E19 + 5) = 0, $F19,
    BL19 * (1 - IFERROR(INDEX('Inputs &amp; Assuptions'!$C$13:$C$72, COLUMN() - ($E19 + 5)), 0))
  )
)</f>
        <v>801.74207407615563</v>
      </c>
      <c r="BN19" s="33"/>
    </row>
    <row r="20" spans="1:66" x14ac:dyDescent="0.3">
      <c r="A20" s="71">
        <f t="shared" si="2"/>
        <v>15</v>
      </c>
      <c r="B20" s="75">
        <f t="shared" si="4"/>
        <v>1575</v>
      </c>
      <c r="C20" s="81">
        <f>$B20*(1-'Inputs &amp; Assuptions'!$C$12)</f>
        <v>1228.5</v>
      </c>
      <c r="E20" s="71">
        <f t="shared" si="3"/>
        <v>15</v>
      </c>
      <c r="F20" s="65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>
        <f>$C20</f>
        <v>1228.5</v>
      </c>
      <c r="U20" s="32">
        <f t="array" ref="U20">IF(COLUMN() - ($E20 + 5) &lt; 0, 0,
  IF(COLUMN() - ($E20 + 5) = 0, $F20,
    T20 * (1 - IFERROR(INDEX('Inputs &amp; Assuptions'!$C$13:$C$72, COLUMN() - ($E20 + 5)), 0))
  )
)</f>
        <v>1164.0037500000001</v>
      </c>
      <c r="V20" s="32">
        <f t="array" ref="V20">IF(COLUMN() - ($E20 + 5) &lt; 0, 0,
  IF(COLUMN() - ($E20 + 5) = 0, $F20,
    U20 * (1 - IFERROR(INDEX('Inputs &amp; Assuptions'!$C$13:$C$72, COLUMN() - ($E20 + 5)), 0))
  )
)</f>
        <v>1117.4436000000001</v>
      </c>
      <c r="W20" s="32">
        <f t="array" ref="W20">IF(COLUMN() - ($E20 + 5) &lt; 0, 0,
  IF(COLUMN() - ($E20 + 5) = 0, $F20,
    V20 * (1 - IFERROR(INDEX('Inputs &amp; Assuptions'!$C$13:$C$72, COLUMN() - ($E20 + 5)), 0))
  )
)</f>
        <v>1086.7139010000001</v>
      </c>
      <c r="X20" s="32">
        <f t="array" ref="X20">IF(COLUMN() - ($E20 + 5) &lt; 0, 0,
  IF(COLUMN() - ($E20 + 5) = 0, $F20,
    W20 * (1 - IFERROR(INDEX('Inputs &amp; Assuptions'!$C$13:$C$72, COLUMN() - ($E20 + 5)), 0))
  )
)</f>
        <v>1059.546053475</v>
      </c>
      <c r="Y20" s="32">
        <f t="array" ref="Y20">IF(COLUMN() - ($E20 + 5) &lt; 0, 0,
  IF(COLUMN() - ($E20 + 5) = 0, $F20,
    X20 * (1 - IFERROR(INDEX('Inputs &amp; Assuptions'!$C$13:$C$72, COLUMN() - ($E20 + 5)), 0))
  )
)</f>
        <v>1035.7062672718125</v>
      </c>
      <c r="Z20" s="32">
        <f t="array" ref="Z20">IF(COLUMN() - ($E20 + 5) &lt; 0, 0,
  IF(COLUMN() - ($E20 + 5) = 0, $F20,
    Y20 * (1 - IFERROR(INDEX('Inputs &amp; Assuptions'!$C$13:$C$72, COLUMN() - ($E20 + 5)), 0))
  )
)</f>
        <v>1014.9921419263762</v>
      </c>
      <c r="AA20" s="32">
        <f t="array" ref="AA20">IF(COLUMN() - ($E20 + 5) &lt; 0, 0,
  IF(COLUMN() - ($E20 + 5) = 0, $F20,
    Z20 * (1 - IFERROR(INDEX('Inputs &amp; Assuptions'!$C$13:$C$72, COLUMN() - ($E20 + 5)), 0))
  )
)</f>
        <v>997.22977944266472</v>
      </c>
      <c r="AB20" s="32">
        <f t="array" ref="AB20">IF(COLUMN() - ($E20 + 5) &lt; 0, 0,
  IF(COLUMN() - ($E20 + 5) = 0, $F20,
    AA20 * (1 - IFERROR(INDEX('Inputs &amp; Assuptions'!$C$13:$C$72, COLUMN() - ($E20 + 5)), 0))
  )
)</f>
        <v>982.27133275102472</v>
      </c>
      <c r="AC20" s="32">
        <f t="array" ref="AC20">IF(COLUMN() - ($E20 + 5) &lt; 0, 0,
  IF(COLUMN() - ($E20 + 5) = 0, $F20,
    AB20 * (1 - IFERROR(INDEX('Inputs &amp; Assuptions'!$C$13:$C$72, COLUMN() - ($E20 + 5)), 0))
  )
)</f>
        <v>969.99294109163691</v>
      </c>
      <c r="AD20" s="32">
        <f t="array" ref="AD20">IF(COLUMN() - ($E20 + 5) &lt; 0, 0,
  IF(COLUMN() - ($E20 + 5) = 0, $F20,
    AC20 * (1 - IFERROR(INDEX('Inputs &amp; Assuptions'!$C$13:$C$72, COLUMN() - ($E20 + 5)), 0))
  )
)</f>
        <v>960.2930116807205</v>
      </c>
      <c r="AE20" s="32">
        <f t="array" ref="AE20">IF(COLUMN() - ($E20 + 5) &lt; 0, 0,
  IF(COLUMN() - ($E20 + 5) = 0, $F20,
    AD20 * (1 - IFERROR(INDEX('Inputs &amp; Assuptions'!$C$13:$C$72, COLUMN() - ($E20 + 5)), 0))
  )
)</f>
        <v>955.49154662231695</v>
      </c>
      <c r="AF20" s="32">
        <f t="array" ref="AF20">IF(COLUMN() - ($E20 + 5) &lt; 0, 0,
  IF(COLUMN() - ($E20 + 5) = 0, $F20,
    AE20 * (1 - IFERROR(INDEX('Inputs &amp; Assuptions'!$C$13:$C$72, COLUMN() - ($E20 + 5)), 0))
  )
)</f>
        <v>950.71408888920541</v>
      </c>
      <c r="AG20" s="32">
        <f t="array" ref="AG20">IF(COLUMN() - ($E20 + 5) &lt; 0, 0,
  IF(COLUMN() - ($E20 + 5) = 0, $F20,
    AF20 * (1 - IFERROR(INDEX('Inputs &amp; Assuptions'!$C$13:$C$72, COLUMN() - ($E20 + 5)), 0))
  )
)</f>
        <v>945.96051844475937</v>
      </c>
      <c r="AH20" s="32">
        <f t="array" ref="AH20">IF(COLUMN() - ($E20 + 5) &lt; 0, 0,
  IF(COLUMN() - ($E20 + 5) = 0, $F20,
    AG20 * (1 - IFERROR(INDEX('Inputs &amp; Assuptions'!$C$13:$C$72, COLUMN() - ($E20 + 5)), 0))
  )
)</f>
        <v>941.23071585253558</v>
      </c>
      <c r="AI20" s="32">
        <f t="array" ref="AI20">IF(COLUMN() - ($E20 + 5) &lt; 0, 0,
  IF(COLUMN() - ($E20 + 5) = 0, $F20,
    AH20 * (1 - IFERROR(INDEX('Inputs &amp; Assuptions'!$C$13:$C$72, COLUMN() - ($E20 + 5)), 0))
  )
)</f>
        <v>936.52456227327286</v>
      </c>
      <c r="AJ20" s="32">
        <f t="array" ref="AJ20">IF(COLUMN() - ($E20 + 5) &lt; 0, 0,
  IF(COLUMN() - ($E20 + 5) = 0, $F20,
    AI20 * (1 - IFERROR(INDEX('Inputs &amp; Assuptions'!$C$13:$C$72, COLUMN() - ($E20 + 5)), 0))
  )
)</f>
        <v>931.84193946190646</v>
      </c>
      <c r="AK20" s="32">
        <f t="array" ref="AK20">IF(COLUMN() - ($E20 + 5) &lt; 0, 0,
  IF(COLUMN() - ($E20 + 5) = 0, $F20,
    AJ20 * (1 - IFERROR(INDEX('Inputs &amp; Assuptions'!$C$13:$C$72, COLUMN() - ($E20 + 5)), 0))
  )
)</f>
        <v>927.18272976459696</v>
      </c>
      <c r="AL20" s="32">
        <f t="array" ref="AL20">IF(COLUMN() - ($E20 + 5) &lt; 0, 0,
  IF(COLUMN() - ($E20 + 5) = 0, $F20,
    AK20 * (1 - IFERROR(INDEX('Inputs &amp; Assuptions'!$C$13:$C$72, COLUMN() - ($E20 + 5)), 0))
  )
)</f>
        <v>922.54681611577394</v>
      </c>
      <c r="AM20" s="32">
        <f t="array" ref="AM20">IF(COLUMN() - ($E20 + 5) &lt; 0, 0,
  IF(COLUMN() - ($E20 + 5) = 0, $F20,
    AL20 * (1 - IFERROR(INDEX('Inputs &amp; Assuptions'!$C$13:$C$72, COLUMN() - ($E20 + 5)), 0))
  )
)</f>
        <v>917.93408203519505</v>
      </c>
      <c r="AN20" s="32">
        <f t="array" ref="AN20">IF(COLUMN() - ($E20 + 5) &lt; 0, 0,
  IF(COLUMN() - ($E20 + 5) = 0, $F20,
    AM20 * (1 - IFERROR(INDEX('Inputs &amp; Assuptions'!$C$13:$C$72, COLUMN() - ($E20 + 5)), 0))
  )
)</f>
        <v>913.34441162501912</v>
      </c>
      <c r="AO20" s="32">
        <f t="array" ref="AO20">IF(COLUMN() - ($E20 + 5) &lt; 0, 0,
  IF(COLUMN() - ($E20 + 5) = 0, $F20,
    AN20 * (1 - IFERROR(INDEX('Inputs &amp; Assuptions'!$C$13:$C$72, COLUMN() - ($E20 + 5)), 0))
  )
)</f>
        <v>908.77768956689397</v>
      </c>
      <c r="AP20" s="32">
        <f t="array" ref="AP20">IF(COLUMN() - ($E20 + 5) &lt; 0, 0,
  IF(COLUMN() - ($E20 + 5) = 0, $F20,
    AO20 * (1 - IFERROR(INDEX('Inputs &amp; Assuptions'!$C$13:$C$72, COLUMN() - ($E20 + 5)), 0))
  )
)</f>
        <v>904.23380111905954</v>
      </c>
      <c r="AQ20" s="32">
        <f t="array" ref="AQ20">IF(COLUMN() - ($E20 + 5) &lt; 0, 0,
  IF(COLUMN() - ($E20 + 5) = 0, $F20,
    AP20 * (1 - IFERROR(INDEX('Inputs &amp; Assuptions'!$C$13:$C$72, COLUMN() - ($E20 + 5)), 0))
  )
)</f>
        <v>899.71263211346422</v>
      </c>
      <c r="AR20" s="32">
        <f t="array" ref="AR20">IF(COLUMN() - ($E20 + 5) &lt; 0, 0,
  IF(COLUMN() - ($E20 + 5) = 0, $F20,
    AQ20 * (1 - IFERROR(INDEX('Inputs &amp; Assuptions'!$C$13:$C$72, COLUMN() - ($E20 + 5)), 0))
  )
)</f>
        <v>895.21406895289692</v>
      </c>
      <c r="AS20" s="32">
        <f t="array" ref="AS20">IF(COLUMN() - ($E20 + 5) &lt; 0, 0,
  IF(COLUMN() - ($E20 + 5) = 0, $F20,
    AR20 * (1 - IFERROR(INDEX('Inputs &amp; Assuptions'!$C$13:$C$72, COLUMN() - ($E20 + 5)), 0))
  )
)</f>
        <v>890.73799860813244</v>
      </c>
      <c r="AT20" s="32">
        <f t="array" ref="AT20">IF(COLUMN() - ($E20 + 5) &lt; 0, 0,
  IF(COLUMN() - ($E20 + 5) = 0, $F20,
    AS20 * (1 - IFERROR(INDEX('Inputs &amp; Assuptions'!$C$13:$C$72, COLUMN() - ($E20 + 5)), 0))
  )
)</f>
        <v>886.28430861509173</v>
      </c>
      <c r="AU20" s="32">
        <f t="array" ref="AU20">IF(COLUMN() - ($E20 + 5) &lt; 0, 0,
  IF(COLUMN() - ($E20 + 5) = 0, $F20,
    AT20 * (1 - IFERROR(INDEX('Inputs &amp; Assuptions'!$C$13:$C$72, COLUMN() - ($E20 + 5)), 0))
  )
)</f>
        <v>881.8528870720163</v>
      </c>
      <c r="AV20" s="32">
        <f t="array" ref="AV20">IF(COLUMN() - ($E20 + 5) &lt; 0, 0,
  IF(COLUMN() - ($E20 + 5) = 0, $F20,
    AU20 * (1 - IFERROR(INDEX('Inputs &amp; Assuptions'!$C$13:$C$72, COLUMN() - ($E20 + 5)), 0))
  )
)</f>
        <v>877.44362263665619</v>
      </c>
      <c r="AW20" s="32">
        <f t="array" ref="AW20">IF(COLUMN() - ($E20 + 5) &lt; 0, 0,
  IF(COLUMN() - ($E20 + 5) = 0, $F20,
    AV20 * (1 - IFERROR(INDEX('Inputs &amp; Assuptions'!$C$13:$C$72, COLUMN() - ($E20 + 5)), 0))
  )
)</f>
        <v>873.05640452347291</v>
      </c>
      <c r="AX20" s="32">
        <f t="array" ref="AX20">IF(COLUMN() - ($E20 + 5) &lt; 0, 0,
  IF(COLUMN() - ($E20 + 5) = 0, $F20,
    AW20 * (1 - IFERROR(INDEX('Inputs &amp; Assuptions'!$C$13:$C$72, COLUMN() - ($E20 + 5)), 0))
  )
)</f>
        <v>868.6911225008555</v>
      </c>
      <c r="AY20" s="32">
        <f t="array" ref="AY20">IF(COLUMN() - ($E20 + 5) &lt; 0, 0,
  IF(COLUMN() - ($E20 + 5) = 0, $F20,
    AX20 * (1 - IFERROR(INDEX('Inputs &amp; Assuptions'!$C$13:$C$72, COLUMN() - ($E20 + 5)), 0))
  )
)</f>
        <v>864.34766688835123</v>
      </c>
      <c r="AZ20" s="32">
        <f t="array" ref="AZ20">IF(COLUMN() - ($E20 + 5) &lt; 0, 0,
  IF(COLUMN() - ($E20 + 5) = 0, $F20,
    AY20 * (1 - IFERROR(INDEX('Inputs &amp; Assuptions'!$C$13:$C$72, COLUMN() - ($E20 + 5)), 0))
  )
)</f>
        <v>860.02592855390947</v>
      </c>
      <c r="BA20" s="32">
        <f t="array" ref="BA20">IF(COLUMN() - ($E20 + 5) &lt; 0, 0,
  IF(COLUMN() - ($E20 + 5) = 0, $F20,
    AZ20 * (1 - IFERROR(INDEX('Inputs &amp; Assuptions'!$C$13:$C$72, COLUMN() - ($E20 + 5)), 0))
  )
)</f>
        <v>855.72579891113992</v>
      </c>
      <c r="BB20" s="32">
        <f t="array" ref="BB20">IF(COLUMN() - ($E20 + 5) &lt; 0, 0,
  IF(COLUMN() - ($E20 + 5) = 0, $F20,
    BA20 * (1 - IFERROR(INDEX('Inputs &amp; Assuptions'!$C$13:$C$72, COLUMN() - ($E20 + 5)), 0))
  )
)</f>
        <v>851.44716991658424</v>
      </c>
      <c r="BC20" s="32">
        <f t="array" ref="BC20">IF(COLUMN() - ($E20 + 5) &lt; 0, 0,
  IF(COLUMN() - ($E20 + 5) = 0, $F20,
    BB20 * (1 - IFERROR(INDEX('Inputs &amp; Assuptions'!$C$13:$C$72, COLUMN() - ($E20 + 5)), 0))
  )
)</f>
        <v>847.18993406700133</v>
      </c>
      <c r="BD20" s="32">
        <f t="array" ref="BD20">IF(COLUMN() - ($E20 + 5) &lt; 0, 0,
  IF(COLUMN() - ($E20 + 5) = 0, $F20,
    BC20 * (1 - IFERROR(INDEX('Inputs &amp; Assuptions'!$C$13:$C$72, COLUMN() - ($E20 + 5)), 0))
  )
)</f>
        <v>842.95398439666633</v>
      </c>
      <c r="BE20" s="32">
        <f t="array" ref="BE20">IF(COLUMN() - ($E20 + 5) &lt; 0, 0,
  IF(COLUMN() - ($E20 + 5) = 0, $F20,
    BD20 * (1 - IFERROR(INDEX('Inputs &amp; Assuptions'!$C$13:$C$72, COLUMN() - ($E20 + 5)), 0))
  )
)</f>
        <v>838.73921447468297</v>
      </c>
      <c r="BF20" s="32">
        <f t="array" ref="BF20">IF(COLUMN() - ($E20 + 5) &lt; 0, 0,
  IF(COLUMN() - ($E20 + 5) = 0, $F20,
    BE20 * (1 - IFERROR(INDEX('Inputs &amp; Assuptions'!$C$13:$C$72, COLUMN() - ($E20 + 5)), 0))
  )
)</f>
        <v>834.54551840230954</v>
      </c>
      <c r="BG20" s="32">
        <f t="array" ref="BG20">IF(COLUMN() - ($E20 + 5) &lt; 0, 0,
  IF(COLUMN() - ($E20 + 5) = 0, $F20,
    BF20 * (1 - IFERROR(INDEX('Inputs &amp; Assuptions'!$C$13:$C$72, COLUMN() - ($E20 + 5)), 0))
  )
)</f>
        <v>830.37279081029794</v>
      </c>
      <c r="BH20" s="32">
        <f t="array" ref="BH20">IF(COLUMN() - ($E20 + 5) &lt; 0, 0,
  IF(COLUMN() - ($E20 + 5) = 0, $F20,
    BG20 * (1 - IFERROR(INDEX('Inputs &amp; Assuptions'!$C$13:$C$72, COLUMN() - ($E20 + 5)), 0))
  )
)</f>
        <v>826.22092685624648</v>
      </c>
      <c r="BI20" s="32">
        <f t="array" ref="BI20">IF(COLUMN() - ($E20 + 5) &lt; 0, 0,
  IF(COLUMN() - ($E20 + 5) = 0, $F20,
    BH20 * (1 - IFERROR(INDEX('Inputs &amp; Assuptions'!$C$13:$C$72, COLUMN() - ($E20 + 5)), 0))
  )
)</f>
        <v>822.08982222196528</v>
      </c>
      <c r="BJ20" s="32">
        <f t="array" ref="BJ20">IF(COLUMN() - ($E20 + 5) &lt; 0, 0,
  IF(COLUMN() - ($E20 + 5) = 0, $F20,
    BI20 * (1 - IFERROR(INDEX('Inputs &amp; Assuptions'!$C$13:$C$72, COLUMN() - ($E20 + 5)), 0))
  )
)</f>
        <v>817.97937311085548</v>
      </c>
      <c r="BK20" s="32">
        <f t="array" ref="BK20">IF(COLUMN() - ($E20 + 5) &lt; 0, 0,
  IF(COLUMN() - ($E20 + 5) = 0, $F20,
    BJ20 * (1 - IFERROR(INDEX('Inputs &amp; Assuptions'!$C$13:$C$72, COLUMN() - ($E20 + 5)), 0))
  )
)</f>
        <v>813.88947624530124</v>
      </c>
      <c r="BL20" s="32">
        <f t="array" ref="BL20">IF(COLUMN() - ($E20 + 5) &lt; 0, 0,
  IF(COLUMN() - ($E20 + 5) = 0, $F20,
    BK20 * (1 - IFERROR(INDEX('Inputs &amp; Assuptions'!$C$13:$C$72, COLUMN() - ($E20 + 5)), 0))
  )
)</f>
        <v>809.82002886407474</v>
      </c>
      <c r="BM20" s="66">
        <f t="array" ref="BM20">IF(COLUMN() - ($E20 + 5) &lt; 0, 0,
  IF(COLUMN() - ($E20 + 5) = 0, $F20,
    BL20 * (1 - IFERROR(INDEX('Inputs &amp; Assuptions'!$C$13:$C$72, COLUMN() - ($E20 + 5)), 0))
  )
)</f>
        <v>805.77092871975435</v>
      </c>
      <c r="BN20" s="33"/>
    </row>
    <row r="21" spans="1:66" x14ac:dyDescent="0.3">
      <c r="A21" s="71">
        <f t="shared" si="2"/>
        <v>16</v>
      </c>
      <c r="B21" s="75">
        <f t="shared" si="4"/>
        <v>1575</v>
      </c>
      <c r="C21" s="81">
        <f>$B21*(1-'Inputs &amp; Assuptions'!$C$12)</f>
        <v>1228.5</v>
      </c>
      <c r="E21" s="71">
        <f t="shared" si="3"/>
        <v>16</v>
      </c>
      <c r="F21" s="65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>
        <f>$C21</f>
        <v>1228.5</v>
      </c>
      <c r="V21" s="32">
        <f t="array" ref="V21">IF(COLUMN() - ($E21 + 5) &lt; 0, 0,
  IF(COLUMN() - ($E21 + 5) = 0, $F21,
    U21 * (1 - IFERROR(INDEX('Inputs &amp; Assuptions'!$C$13:$C$72, COLUMN() - ($E21 + 5)), 0))
  )
)</f>
        <v>1164.0037500000001</v>
      </c>
      <c r="W21" s="32">
        <f t="array" ref="W21">IF(COLUMN() - ($E21 + 5) &lt; 0, 0,
  IF(COLUMN() - ($E21 + 5) = 0, $F21,
    V21 * (1 - IFERROR(INDEX('Inputs &amp; Assuptions'!$C$13:$C$72, COLUMN() - ($E21 + 5)), 0))
  )
)</f>
        <v>1117.4436000000001</v>
      </c>
      <c r="X21" s="32">
        <f t="array" ref="X21">IF(COLUMN() - ($E21 + 5) &lt; 0, 0,
  IF(COLUMN() - ($E21 + 5) = 0, $F21,
    W21 * (1 - IFERROR(INDEX('Inputs &amp; Assuptions'!$C$13:$C$72, COLUMN() - ($E21 + 5)), 0))
  )
)</f>
        <v>1086.7139010000001</v>
      </c>
      <c r="Y21" s="32">
        <f t="array" ref="Y21">IF(COLUMN() - ($E21 + 5) &lt; 0, 0,
  IF(COLUMN() - ($E21 + 5) = 0, $F21,
    X21 * (1 - IFERROR(INDEX('Inputs &amp; Assuptions'!$C$13:$C$72, COLUMN() - ($E21 + 5)), 0))
  )
)</f>
        <v>1059.546053475</v>
      </c>
      <c r="Z21" s="32">
        <f t="array" ref="Z21">IF(COLUMN() - ($E21 + 5) &lt; 0, 0,
  IF(COLUMN() - ($E21 + 5) = 0, $F21,
    Y21 * (1 - IFERROR(INDEX('Inputs &amp; Assuptions'!$C$13:$C$72, COLUMN() - ($E21 + 5)), 0))
  )
)</f>
        <v>1035.7062672718125</v>
      </c>
      <c r="AA21" s="32">
        <f t="array" ref="AA21">IF(COLUMN() - ($E21 + 5) &lt; 0, 0,
  IF(COLUMN() - ($E21 + 5) = 0, $F21,
    Z21 * (1 - IFERROR(INDEX('Inputs &amp; Assuptions'!$C$13:$C$72, COLUMN() - ($E21 + 5)), 0))
  )
)</f>
        <v>1014.9921419263762</v>
      </c>
      <c r="AB21" s="32">
        <f t="array" ref="AB21">IF(COLUMN() - ($E21 + 5) &lt; 0, 0,
  IF(COLUMN() - ($E21 + 5) = 0, $F21,
    AA21 * (1 - IFERROR(INDEX('Inputs &amp; Assuptions'!$C$13:$C$72, COLUMN() - ($E21 + 5)), 0))
  )
)</f>
        <v>997.22977944266472</v>
      </c>
      <c r="AC21" s="32">
        <f t="array" ref="AC21">IF(COLUMN() - ($E21 + 5) &lt; 0, 0,
  IF(COLUMN() - ($E21 + 5) = 0, $F21,
    AB21 * (1 - IFERROR(INDEX('Inputs &amp; Assuptions'!$C$13:$C$72, COLUMN() - ($E21 + 5)), 0))
  )
)</f>
        <v>982.27133275102472</v>
      </c>
      <c r="AD21" s="32">
        <f t="array" ref="AD21">IF(COLUMN() - ($E21 + 5) &lt; 0, 0,
  IF(COLUMN() - ($E21 + 5) = 0, $F21,
    AC21 * (1 - IFERROR(INDEX('Inputs &amp; Assuptions'!$C$13:$C$72, COLUMN() - ($E21 + 5)), 0))
  )
)</f>
        <v>969.99294109163691</v>
      </c>
      <c r="AE21" s="32">
        <f t="array" ref="AE21">IF(COLUMN() - ($E21 + 5) &lt; 0, 0,
  IF(COLUMN() - ($E21 + 5) = 0, $F21,
    AD21 * (1 - IFERROR(INDEX('Inputs &amp; Assuptions'!$C$13:$C$72, COLUMN() - ($E21 + 5)), 0))
  )
)</f>
        <v>960.2930116807205</v>
      </c>
      <c r="AF21" s="32">
        <f t="array" ref="AF21">IF(COLUMN() - ($E21 + 5) &lt; 0, 0,
  IF(COLUMN() - ($E21 + 5) = 0, $F21,
    AE21 * (1 - IFERROR(INDEX('Inputs &amp; Assuptions'!$C$13:$C$72, COLUMN() - ($E21 + 5)), 0))
  )
)</f>
        <v>955.49154662231695</v>
      </c>
      <c r="AG21" s="32">
        <f t="array" ref="AG21">IF(COLUMN() - ($E21 + 5) &lt; 0, 0,
  IF(COLUMN() - ($E21 + 5) = 0, $F21,
    AF21 * (1 - IFERROR(INDEX('Inputs &amp; Assuptions'!$C$13:$C$72, COLUMN() - ($E21 + 5)), 0))
  )
)</f>
        <v>950.71408888920541</v>
      </c>
      <c r="AH21" s="32">
        <f t="array" ref="AH21">IF(COLUMN() - ($E21 + 5) &lt; 0, 0,
  IF(COLUMN() - ($E21 + 5) = 0, $F21,
    AG21 * (1 - IFERROR(INDEX('Inputs &amp; Assuptions'!$C$13:$C$72, COLUMN() - ($E21 + 5)), 0))
  )
)</f>
        <v>945.96051844475937</v>
      </c>
      <c r="AI21" s="32">
        <f t="array" ref="AI21">IF(COLUMN() - ($E21 + 5) &lt; 0, 0,
  IF(COLUMN() - ($E21 + 5) = 0, $F21,
    AH21 * (1 - IFERROR(INDEX('Inputs &amp; Assuptions'!$C$13:$C$72, COLUMN() - ($E21 + 5)), 0))
  )
)</f>
        <v>941.23071585253558</v>
      </c>
      <c r="AJ21" s="32">
        <f t="array" ref="AJ21">IF(COLUMN() - ($E21 + 5) &lt; 0, 0,
  IF(COLUMN() - ($E21 + 5) = 0, $F21,
    AI21 * (1 - IFERROR(INDEX('Inputs &amp; Assuptions'!$C$13:$C$72, COLUMN() - ($E21 + 5)), 0))
  )
)</f>
        <v>936.52456227327286</v>
      </c>
      <c r="AK21" s="32">
        <f t="array" ref="AK21">IF(COLUMN() - ($E21 + 5) &lt; 0, 0,
  IF(COLUMN() - ($E21 + 5) = 0, $F21,
    AJ21 * (1 - IFERROR(INDEX('Inputs &amp; Assuptions'!$C$13:$C$72, COLUMN() - ($E21 + 5)), 0))
  )
)</f>
        <v>931.84193946190646</v>
      </c>
      <c r="AL21" s="32">
        <f t="array" ref="AL21">IF(COLUMN() - ($E21 + 5) &lt; 0, 0,
  IF(COLUMN() - ($E21 + 5) = 0, $F21,
    AK21 * (1 - IFERROR(INDEX('Inputs &amp; Assuptions'!$C$13:$C$72, COLUMN() - ($E21 + 5)), 0))
  )
)</f>
        <v>927.18272976459696</v>
      </c>
      <c r="AM21" s="32">
        <f t="array" ref="AM21">IF(COLUMN() - ($E21 + 5) &lt; 0, 0,
  IF(COLUMN() - ($E21 + 5) = 0, $F21,
    AL21 * (1 - IFERROR(INDEX('Inputs &amp; Assuptions'!$C$13:$C$72, COLUMN() - ($E21 + 5)), 0))
  )
)</f>
        <v>922.54681611577394</v>
      </c>
      <c r="AN21" s="32">
        <f t="array" ref="AN21">IF(COLUMN() - ($E21 + 5) &lt; 0, 0,
  IF(COLUMN() - ($E21 + 5) = 0, $F21,
    AM21 * (1 - IFERROR(INDEX('Inputs &amp; Assuptions'!$C$13:$C$72, COLUMN() - ($E21 + 5)), 0))
  )
)</f>
        <v>917.93408203519505</v>
      </c>
      <c r="AO21" s="32">
        <f t="array" ref="AO21">IF(COLUMN() - ($E21 + 5) &lt; 0, 0,
  IF(COLUMN() - ($E21 + 5) = 0, $F21,
    AN21 * (1 - IFERROR(INDEX('Inputs &amp; Assuptions'!$C$13:$C$72, COLUMN() - ($E21 + 5)), 0))
  )
)</f>
        <v>913.34441162501912</v>
      </c>
      <c r="AP21" s="32">
        <f t="array" ref="AP21">IF(COLUMN() - ($E21 + 5) &lt; 0, 0,
  IF(COLUMN() - ($E21 + 5) = 0, $F21,
    AO21 * (1 - IFERROR(INDEX('Inputs &amp; Assuptions'!$C$13:$C$72, COLUMN() - ($E21 + 5)), 0))
  )
)</f>
        <v>908.77768956689397</v>
      </c>
      <c r="AQ21" s="32">
        <f t="array" ref="AQ21">IF(COLUMN() - ($E21 + 5) &lt; 0, 0,
  IF(COLUMN() - ($E21 + 5) = 0, $F21,
    AP21 * (1 - IFERROR(INDEX('Inputs &amp; Assuptions'!$C$13:$C$72, COLUMN() - ($E21 + 5)), 0))
  )
)</f>
        <v>904.23380111905954</v>
      </c>
      <c r="AR21" s="32">
        <f t="array" ref="AR21">IF(COLUMN() - ($E21 + 5) &lt; 0, 0,
  IF(COLUMN() - ($E21 + 5) = 0, $F21,
    AQ21 * (1 - IFERROR(INDEX('Inputs &amp; Assuptions'!$C$13:$C$72, COLUMN() - ($E21 + 5)), 0))
  )
)</f>
        <v>899.71263211346422</v>
      </c>
      <c r="AS21" s="32">
        <f t="array" ref="AS21">IF(COLUMN() - ($E21 + 5) &lt; 0, 0,
  IF(COLUMN() - ($E21 + 5) = 0, $F21,
    AR21 * (1 - IFERROR(INDEX('Inputs &amp; Assuptions'!$C$13:$C$72, COLUMN() - ($E21 + 5)), 0))
  )
)</f>
        <v>895.21406895289692</v>
      </c>
      <c r="AT21" s="32">
        <f t="array" ref="AT21">IF(COLUMN() - ($E21 + 5) &lt; 0, 0,
  IF(COLUMN() - ($E21 + 5) = 0, $F21,
    AS21 * (1 - IFERROR(INDEX('Inputs &amp; Assuptions'!$C$13:$C$72, COLUMN() - ($E21 + 5)), 0))
  )
)</f>
        <v>890.73799860813244</v>
      </c>
      <c r="AU21" s="32">
        <f t="array" ref="AU21">IF(COLUMN() - ($E21 + 5) &lt; 0, 0,
  IF(COLUMN() - ($E21 + 5) = 0, $F21,
    AT21 * (1 - IFERROR(INDEX('Inputs &amp; Assuptions'!$C$13:$C$72, COLUMN() - ($E21 + 5)), 0))
  )
)</f>
        <v>886.28430861509173</v>
      </c>
      <c r="AV21" s="32">
        <f t="array" ref="AV21">IF(COLUMN() - ($E21 + 5) &lt; 0, 0,
  IF(COLUMN() - ($E21 + 5) = 0, $F21,
    AU21 * (1 - IFERROR(INDEX('Inputs &amp; Assuptions'!$C$13:$C$72, COLUMN() - ($E21 + 5)), 0))
  )
)</f>
        <v>881.8528870720163</v>
      </c>
      <c r="AW21" s="32">
        <f t="array" ref="AW21">IF(COLUMN() - ($E21 + 5) &lt; 0, 0,
  IF(COLUMN() - ($E21 + 5) = 0, $F21,
    AV21 * (1 - IFERROR(INDEX('Inputs &amp; Assuptions'!$C$13:$C$72, COLUMN() - ($E21 + 5)), 0))
  )
)</f>
        <v>877.44362263665619</v>
      </c>
      <c r="AX21" s="32">
        <f t="array" ref="AX21">IF(COLUMN() - ($E21 + 5) &lt; 0, 0,
  IF(COLUMN() - ($E21 + 5) = 0, $F21,
    AW21 * (1 - IFERROR(INDEX('Inputs &amp; Assuptions'!$C$13:$C$72, COLUMN() - ($E21 + 5)), 0))
  )
)</f>
        <v>873.05640452347291</v>
      </c>
      <c r="AY21" s="32">
        <f t="array" ref="AY21">IF(COLUMN() - ($E21 + 5) &lt; 0, 0,
  IF(COLUMN() - ($E21 + 5) = 0, $F21,
    AX21 * (1 - IFERROR(INDEX('Inputs &amp; Assuptions'!$C$13:$C$72, COLUMN() - ($E21 + 5)), 0))
  )
)</f>
        <v>868.6911225008555</v>
      </c>
      <c r="AZ21" s="32">
        <f t="array" ref="AZ21">IF(COLUMN() - ($E21 + 5) &lt; 0, 0,
  IF(COLUMN() - ($E21 + 5) = 0, $F21,
    AY21 * (1 - IFERROR(INDEX('Inputs &amp; Assuptions'!$C$13:$C$72, COLUMN() - ($E21 + 5)), 0))
  )
)</f>
        <v>864.34766688835123</v>
      </c>
      <c r="BA21" s="32">
        <f t="array" ref="BA21">IF(COLUMN() - ($E21 + 5) &lt; 0, 0,
  IF(COLUMN() - ($E21 + 5) = 0, $F21,
    AZ21 * (1 - IFERROR(INDEX('Inputs &amp; Assuptions'!$C$13:$C$72, COLUMN() - ($E21 + 5)), 0))
  )
)</f>
        <v>860.02592855390947</v>
      </c>
      <c r="BB21" s="32">
        <f t="array" ref="BB21">IF(COLUMN() - ($E21 + 5) &lt; 0, 0,
  IF(COLUMN() - ($E21 + 5) = 0, $F21,
    BA21 * (1 - IFERROR(INDEX('Inputs &amp; Assuptions'!$C$13:$C$72, COLUMN() - ($E21 + 5)), 0))
  )
)</f>
        <v>855.72579891113992</v>
      </c>
      <c r="BC21" s="32">
        <f t="array" ref="BC21">IF(COLUMN() - ($E21 + 5) &lt; 0, 0,
  IF(COLUMN() - ($E21 + 5) = 0, $F21,
    BB21 * (1 - IFERROR(INDEX('Inputs &amp; Assuptions'!$C$13:$C$72, COLUMN() - ($E21 + 5)), 0))
  )
)</f>
        <v>851.44716991658424</v>
      </c>
      <c r="BD21" s="32">
        <f t="array" ref="BD21">IF(COLUMN() - ($E21 + 5) &lt; 0, 0,
  IF(COLUMN() - ($E21 + 5) = 0, $F21,
    BC21 * (1 - IFERROR(INDEX('Inputs &amp; Assuptions'!$C$13:$C$72, COLUMN() - ($E21 + 5)), 0))
  )
)</f>
        <v>847.18993406700133</v>
      </c>
      <c r="BE21" s="32">
        <f t="array" ref="BE21">IF(COLUMN() - ($E21 + 5) &lt; 0, 0,
  IF(COLUMN() - ($E21 + 5) = 0, $F21,
    BD21 * (1 - IFERROR(INDEX('Inputs &amp; Assuptions'!$C$13:$C$72, COLUMN() - ($E21 + 5)), 0))
  )
)</f>
        <v>842.95398439666633</v>
      </c>
      <c r="BF21" s="32">
        <f t="array" ref="BF21">IF(COLUMN() - ($E21 + 5) &lt; 0, 0,
  IF(COLUMN() - ($E21 + 5) = 0, $F21,
    BE21 * (1 - IFERROR(INDEX('Inputs &amp; Assuptions'!$C$13:$C$72, COLUMN() - ($E21 + 5)), 0))
  )
)</f>
        <v>838.73921447468297</v>
      </c>
      <c r="BG21" s="32">
        <f t="array" ref="BG21">IF(COLUMN() - ($E21 + 5) &lt; 0, 0,
  IF(COLUMN() - ($E21 + 5) = 0, $F21,
    BF21 * (1 - IFERROR(INDEX('Inputs &amp; Assuptions'!$C$13:$C$72, COLUMN() - ($E21 + 5)), 0))
  )
)</f>
        <v>834.54551840230954</v>
      </c>
      <c r="BH21" s="32">
        <f t="array" ref="BH21">IF(COLUMN() - ($E21 + 5) &lt; 0, 0,
  IF(COLUMN() - ($E21 + 5) = 0, $F21,
    BG21 * (1 - IFERROR(INDEX('Inputs &amp; Assuptions'!$C$13:$C$72, COLUMN() - ($E21 + 5)), 0))
  )
)</f>
        <v>830.37279081029794</v>
      </c>
      <c r="BI21" s="32">
        <f t="array" ref="BI21">IF(COLUMN() - ($E21 + 5) &lt; 0, 0,
  IF(COLUMN() - ($E21 + 5) = 0, $F21,
    BH21 * (1 - IFERROR(INDEX('Inputs &amp; Assuptions'!$C$13:$C$72, COLUMN() - ($E21 + 5)), 0))
  )
)</f>
        <v>826.22092685624648</v>
      </c>
      <c r="BJ21" s="32">
        <f t="array" ref="BJ21">IF(COLUMN() - ($E21 + 5) &lt; 0, 0,
  IF(COLUMN() - ($E21 + 5) = 0, $F21,
    BI21 * (1 - IFERROR(INDEX('Inputs &amp; Assuptions'!$C$13:$C$72, COLUMN() - ($E21 + 5)), 0))
  )
)</f>
        <v>822.08982222196528</v>
      </c>
      <c r="BK21" s="32">
        <f t="array" ref="BK21">IF(COLUMN() - ($E21 + 5) &lt; 0, 0,
  IF(COLUMN() - ($E21 + 5) = 0, $F21,
    BJ21 * (1 - IFERROR(INDEX('Inputs &amp; Assuptions'!$C$13:$C$72, COLUMN() - ($E21 + 5)), 0))
  )
)</f>
        <v>817.97937311085548</v>
      </c>
      <c r="BL21" s="32">
        <f t="array" ref="BL21">IF(COLUMN() - ($E21 + 5) &lt; 0, 0,
  IF(COLUMN() - ($E21 + 5) = 0, $F21,
    BK21 * (1 - IFERROR(INDEX('Inputs &amp; Assuptions'!$C$13:$C$72, COLUMN() - ($E21 + 5)), 0))
  )
)</f>
        <v>813.88947624530124</v>
      </c>
      <c r="BM21" s="66">
        <f t="array" ref="BM21">IF(COLUMN() - ($E21 + 5) &lt; 0, 0,
  IF(COLUMN() - ($E21 + 5) = 0, $F21,
    BL21 * (1 - IFERROR(INDEX('Inputs &amp; Assuptions'!$C$13:$C$72, COLUMN() - ($E21 + 5)), 0))
  )
)</f>
        <v>809.82002886407474</v>
      </c>
      <c r="BN21" s="33"/>
    </row>
    <row r="22" spans="1:66" x14ac:dyDescent="0.3">
      <c r="A22" s="71">
        <f t="shared" si="2"/>
        <v>17</v>
      </c>
      <c r="B22" s="75">
        <f t="shared" si="4"/>
        <v>1575</v>
      </c>
      <c r="C22" s="81">
        <f>$B22*(1-'Inputs &amp; Assuptions'!$C$12)</f>
        <v>1228.5</v>
      </c>
      <c r="E22" s="71">
        <f t="shared" si="3"/>
        <v>17</v>
      </c>
      <c r="F22" s="65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>
        <f>$C22</f>
        <v>1228.5</v>
      </c>
      <c r="W22" s="32">
        <f t="array" ref="W22">IF(COLUMN() - ($E22 + 5) &lt; 0, 0,
  IF(COLUMN() - ($E22 + 5) = 0, $F22,
    V22 * (1 - IFERROR(INDEX('Inputs &amp; Assuptions'!$C$13:$C$72, COLUMN() - ($E22 + 5)), 0))
  )
)</f>
        <v>1164.0037500000001</v>
      </c>
      <c r="X22" s="32">
        <f t="array" ref="X22">IF(COLUMN() - ($E22 + 5) &lt; 0, 0,
  IF(COLUMN() - ($E22 + 5) = 0, $F22,
    W22 * (1 - IFERROR(INDEX('Inputs &amp; Assuptions'!$C$13:$C$72, COLUMN() - ($E22 + 5)), 0))
  )
)</f>
        <v>1117.4436000000001</v>
      </c>
      <c r="Y22" s="32">
        <f t="array" ref="Y22">IF(COLUMN() - ($E22 + 5) &lt; 0, 0,
  IF(COLUMN() - ($E22 + 5) = 0, $F22,
    X22 * (1 - IFERROR(INDEX('Inputs &amp; Assuptions'!$C$13:$C$72, COLUMN() - ($E22 + 5)), 0))
  )
)</f>
        <v>1086.7139010000001</v>
      </c>
      <c r="Z22" s="32">
        <f t="array" ref="Z22">IF(COLUMN() - ($E22 + 5) &lt; 0, 0,
  IF(COLUMN() - ($E22 + 5) = 0, $F22,
    Y22 * (1 - IFERROR(INDEX('Inputs &amp; Assuptions'!$C$13:$C$72, COLUMN() - ($E22 + 5)), 0))
  )
)</f>
        <v>1059.546053475</v>
      </c>
      <c r="AA22" s="32">
        <f t="array" ref="AA22">IF(COLUMN() - ($E22 + 5) &lt; 0, 0,
  IF(COLUMN() - ($E22 + 5) = 0, $F22,
    Z22 * (1 - IFERROR(INDEX('Inputs &amp; Assuptions'!$C$13:$C$72, COLUMN() - ($E22 + 5)), 0))
  )
)</f>
        <v>1035.7062672718125</v>
      </c>
      <c r="AB22" s="32">
        <f t="array" ref="AB22">IF(COLUMN() - ($E22 + 5) &lt; 0, 0,
  IF(COLUMN() - ($E22 + 5) = 0, $F22,
    AA22 * (1 - IFERROR(INDEX('Inputs &amp; Assuptions'!$C$13:$C$72, COLUMN() - ($E22 + 5)), 0))
  )
)</f>
        <v>1014.9921419263762</v>
      </c>
      <c r="AC22" s="32">
        <f t="array" ref="AC22">IF(COLUMN() - ($E22 + 5) &lt; 0, 0,
  IF(COLUMN() - ($E22 + 5) = 0, $F22,
    AB22 * (1 - IFERROR(INDEX('Inputs &amp; Assuptions'!$C$13:$C$72, COLUMN() - ($E22 + 5)), 0))
  )
)</f>
        <v>997.22977944266472</v>
      </c>
      <c r="AD22" s="32">
        <f t="array" ref="AD22">IF(COLUMN() - ($E22 + 5) &lt; 0, 0,
  IF(COLUMN() - ($E22 + 5) = 0, $F22,
    AC22 * (1 - IFERROR(INDEX('Inputs &amp; Assuptions'!$C$13:$C$72, COLUMN() - ($E22 + 5)), 0))
  )
)</f>
        <v>982.27133275102472</v>
      </c>
      <c r="AE22" s="32">
        <f t="array" ref="AE22">IF(COLUMN() - ($E22 + 5) &lt; 0, 0,
  IF(COLUMN() - ($E22 + 5) = 0, $F22,
    AD22 * (1 - IFERROR(INDEX('Inputs &amp; Assuptions'!$C$13:$C$72, COLUMN() - ($E22 + 5)), 0))
  )
)</f>
        <v>969.99294109163691</v>
      </c>
      <c r="AF22" s="32">
        <f t="array" ref="AF22">IF(COLUMN() - ($E22 + 5) &lt; 0, 0,
  IF(COLUMN() - ($E22 + 5) = 0, $F22,
    AE22 * (1 - IFERROR(INDEX('Inputs &amp; Assuptions'!$C$13:$C$72, COLUMN() - ($E22 + 5)), 0))
  )
)</f>
        <v>960.2930116807205</v>
      </c>
      <c r="AG22" s="32">
        <f t="array" ref="AG22">IF(COLUMN() - ($E22 + 5) &lt; 0, 0,
  IF(COLUMN() - ($E22 + 5) = 0, $F22,
    AF22 * (1 - IFERROR(INDEX('Inputs &amp; Assuptions'!$C$13:$C$72, COLUMN() - ($E22 + 5)), 0))
  )
)</f>
        <v>955.49154662231695</v>
      </c>
      <c r="AH22" s="32">
        <f t="array" ref="AH22">IF(COLUMN() - ($E22 + 5) &lt; 0, 0,
  IF(COLUMN() - ($E22 + 5) = 0, $F22,
    AG22 * (1 - IFERROR(INDEX('Inputs &amp; Assuptions'!$C$13:$C$72, COLUMN() - ($E22 + 5)), 0))
  )
)</f>
        <v>950.71408888920541</v>
      </c>
      <c r="AI22" s="32">
        <f t="array" ref="AI22">IF(COLUMN() - ($E22 + 5) &lt; 0, 0,
  IF(COLUMN() - ($E22 + 5) = 0, $F22,
    AH22 * (1 - IFERROR(INDEX('Inputs &amp; Assuptions'!$C$13:$C$72, COLUMN() - ($E22 + 5)), 0))
  )
)</f>
        <v>945.96051844475937</v>
      </c>
      <c r="AJ22" s="32">
        <f t="array" ref="AJ22">IF(COLUMN() - ($E22 + 5) &lt; 0, 0,
  IF(COLUMN() - ($E22 + 5) = 0, $F22,
    AI22 * (1 - IFERROR(INDEX('Inputs &amp; Assuptions'!$C$13:$C$72, COLUMN() - ($E22 + 5)), 0))
  )
)</f>
        <v>941.23071585253558</v>
      </c>
      <c r="AK22" s="32">
        <f t="array" ref="AK22">IF(COLUMN() - ($E22 + 5) &lt; 0, 0,
  IF(COLUMN() - ($E22 + 5) = 0, $F22,
    AJ22 * (1 - IFERROR(INDEX('Inputs &amp; Assuptions'!$C$13:$C$72, COLUMN() - ($E22 + 5)), 0))
  )
)</f>
        <v>936.52456227327286</v>
      </c>
      <c r="AL22" s="32">
        <f t="array" ref="AL22">IF(COLUMN() - ($E22 + 5) &lt; 0, 0,
  IF(COLUMN() - ($E22 + 5) = 0, $F22,
    AK22 * (1 - IFERROR(INDEX('Inputs &amp; Assuptions'!$C$13:$C$72, COLUMN() - ($E22 + 5)), 0))
  )
)</f>
        <v>931.84193946190646</v>
      </c>
      <c r="AM22" s="32">
        <f t="array" ref="AM22">IF(COLUMN() - ($E22 + 5) &lt; 0, 0,
  IF(COLUMN() - ($E22 + 5) = 0, $F22,
    AL22 * (1 - IFERROR(INDEX('Inputs &amp; Assuptions'!$C$13:$C$72, COLUMN() - ($E22 + 5)), 0))
  )
)</f>
        <v>927.18272976459696</v>
      </c>
      <c r="AN22" s="32">
        <f t="array" ref="AN22">IF(COLUMN() - ($E22 + 5) &lt; 0, 0,
  IF(COLUMN() - ($E22 + 5) = 0, $F22,
    AM22 * (1 - IFERROR(INDEX('Inputs &amp; Assuptions'!$C$13:$C$72, COLUMN() - ($E22 + 5)), 0))
  )
)</f>
        <v>922.54681611577394</v>
      </c>
      <c r="AO22" s="32">
        <f t="array" ref="AO22">IF(COLUMN() - ($E22 + 5) &lt; 0, 0,
  IF(COLUMN() - ($E22 + 5) = 0, $F22,
    AN22 * (1 - IFERROR(INDEX('Inputs &amp; Assuptions'!$C$13:$C$72, COLUMN() - ($E22 + 5)), 0))
  )
)</f>
        <v>917.93408203519505</v>
      </c>
      <c r="AP22" s="32">
        <f t="array" ref="AP22">IF(COLUMN() - ($E22 + 5) &lt; 0, 0,
  IF(COLUMN() - ($E22 + 5) = 0, $F22,
    AO22 * (1 - IFERROR(INDEX('Inputs &amp; Assuptions'!$C$13:$C$72, COLUMN() - ($E22 + 5)), 0))
  )
)</f>
        <v>913.34441162501912</v>
      </c>
      <c r="AQ22" s="32">
        <f t="array" ref="AQ22">IF(COLUMN() - ($E22 + 5) &lt; 0, 0,
  IF(COLUMN() - ($E22 + 5) = 0, $F22,
    AP22 * (1 - IFERROR(INDEX('Inputs &amp; Assuptions'!$C$13:$C$72, COLUMN() - ($E22 + 5)), 0))
  )
)</f>
        <v>908.77768956689397</v>
      </c>
      <c r="AR22" s="32">
        <f t="array" ref="AR22">IF(COLUMN() - ($E22 + 5) &lt; 0, 0,
  IF(COLUMN() - ($E22 + 5) = 0, $F22,
    AQ22 * (1 - IFERROR(INDEX('Inputs &amp; Assuptions'!$C$13:$C$72, COLUMN() - ($E22 + 5)), 0))
  )
)</f>
        <v>904.23380111905954</v>
      </c>
      <c r="AS22" s="32">
        <f t="array" ref="AS22">IF(COLUMN() - ($E22 + 5) &lt; 0, 0,
  IF(COLUMN() - ($E22 + 5) = 0, $F22,
    AR22 * (1 - IFERROR(INDEX('Inputs &amp; Assuptions'!$C$13:$C$72, COLUMN() - ($E22 + 5)), 0))
  )
)</f>
        <v>899.71263211346422</v>
      </c>
      <c r="AT22" s="32">
        <f t="array" ref="AT22">IF(COLUMN() - ($E22 + 5) &lt; 0, 0,
  IF(COLUMN() - ($E22 + 5) = 0, $F22,
    AS22 * (1 - IFERROR(INDEX('Inputs &amp; Assuptions'!$C$13:$C$72, COLUMN() - ($E22 + 5)), 0))
  )
)</f>
        <v>895.21406895289692</v>
      </c>
      <c r="AU22" s="32">
        <f t="array" ref="AU22">IF(COLUMN() - ($E22 + 5) &lt; 0, 0,
  IF(COLUMN() - ($E22 + 5) = 0, $F22,
    AT22 * (1 - IFERROR(INDEX('Inputs &amp; Assuptions'!$C$13:$C$72, COLUMN() - ($E22 + 5)), 0))
  )
)</f>
        <v>890.73799860813244</v>
      </c>
      <c r="AV22" s="32">
        <f t="array" ref="AV22">IF(COLUMN() - ($E22 + 5) &lt; 0, 0,
  IF(COLUMN() - ($E22 + 5) = 0, $F22,
    AU22 * (1 - IFERROR(INDEX('Inputs &amp; Assuptions'!$C$13:$C$72, COLUMN() - ($E22 + 5)), 0))
  )
)</f>
        <v>886.28430861509173</v>
      </c>
      <c r="AW22" s="32">
        <f t="array" ref="AW22">IF(COLUMN() - ($E22 + 5) &lt; 0, 0,
  IF(COLUMN() - ($E22 + 5) = 0, $F22,
    AV22 * (1 - IFERROR(INDEX('Inputs &amp; Assuptions'!$C$13:$C$72, COLUMN() - ($E22 + 5)), 0))
  )
)</f>
        <v>881.8528870720163</v>
      </c>
      <c r="AX22" s="32">
        <f t="array" ref="AX22">IF(COLUMN() - ($E22 + 5) &lt; 0, 0,
  IF(COLUMN() - ($E22 + 5) = 0, $F22,
    AW22 * (1 - IFERROR(INDEX('Inputs &amp; Assuptions'!$C$13:$C$72, COLUMN() - ($E22 + 5)), 0))
  )
)</f>
        <v>877.44362263665619</v>
      </c>
      <c r="AY22" s="32">
        <f t="array" ref="AY22">IF(COLUMN() - ($E22 + 5) &lt; 0, 0,
  IF(COLUMN() - ($E22 + 5) = 0, $F22,
    AX22 * (1 - IFERROR(INDEX('Inputs &amp; Assuptions'!$C$13:$C$72, COLUMN() - ($E22 + 5)), 0))
  )
)</f>
        <v>873.05640452347291</v>
      </c>
      <c r="AZ22" s="32">
        <f t="array" ref="AZ22">IF(COLUMN() - ($E22 + 5) &lt; 0, 0,
  IF(COLUMN() - ($E22 + 5) = 0, $F22,
    AY22 * (1 - IFERROR(INDEX('Inputs &amp; Assuptions'!$C$13:$C$72, COLUMN() - ($E22 + 5)), 0))
  )
)</f>
        <v>868.6911225008555</v>
      </c>
      <c r="BA22" s="32">
        <f t="array" ref="BA22">IF(COLUMN() - ($E22 + 5) &lt; 0, 0,
  IF(COLUMN() - ($E22 + 5) = 0, $F22,
    AZ22 * (1 - IFERROR(INDEX('Inputs &amp; Assuptions'!$C$13:$C$72, COLUMN() - ($E22 + 5)), 0))
  )
)</f>
        <v>864.34766688835123</v>
      </c>
      <c r="BB22" s="32">
        <f t="array" ref="BB22">IF(COLUMN() - ($E22 + 5) &lt; 0, 0,
  IF(COLUMN() - ($E22 + 5) = 0, $F22,
    BA22 * (1 - IFERROR(INDEX('Inputs &amp; Assuptions'!$C$13:$C$72, COLUMN() - ($E22 + 5)), 0))
  )
)</f>
        <v>860.02592855390947</v>
      </c>
      <c r="BC22" s="32">
        <f t="array" ref="BC22">IF(COLUMN() - ($E22 + 5) &lt; 0, 0,
  IF(COLUMN() - ($E22 + 5) = 0, $F22,
    BB22 * (1 - IFERROR(INDEX('Inputs &amp; Assuptions'!$C$13:$C$72, COLUMN() - ($E22 + 5)), 0))
  )
)</f>
        <v>855.72579891113992</v>
      </c>
      <c r="BD22" s="32">
        <f t="array" ref="BD22">IF(COLUMN() - ($E22 + 5) &lt; 0, 0,
  IF(COLUMN() - ($E22 + 5) = 0, $F22,
    BC22 * (1 - IFERROR(INDEX('Inputs &amp; Assuptions'!$C$13:$C$72, COLUMN() - ($E22 + 5)), 0))
  )
)</f>
        <v>851.44716991658424</v>
      </c>
      <c r="BE22" s="32">
        <f t="array" ref="BE22">IF(COLUMN() - ($E22 + 5) &lt; 0, 0,
  IF(COLUMN() - ($E22 + 5) = 0, $F22,
    BD22 * (1 - IFERROR(INDEX('Inputs &amp; Assuptions'!$C$13:$C$72, COLUMN() - ($E22 + 5)), 0))
  )
)</f>
        <v>847.18993406700133</v>
      </c>
      <c r="BF22" s="32">
        <f t="array" ref="BF22">IF(COLUMN() - ($E22 + 5) &lt; 0, 0,
  IF(COLUMN() - ($E22 + 5) = 0, $F22,
    BE22 * (1 - IFERROR(INDEX('Inputs &amp; Assuptions'!$C$13:$C$72, COLUMN() - ($E22 + 5)), 0))
  )
)</f>
        <v>842.95398439666633</v>
      </c>
      <c r="BG22" s="32">
        <f t="array" ref="BG22">IF(COLUMN() - ($E22 + 5) &lt; 0, 0,
  IF(COLUMN() - ($E22 + 5) = 0, $F22,
    BF22 * (1 - IFERROR(INDEX('Inputs &amp; Assuptions'!$C$13:$C$72, COLUMN() - ($E22 + 5)), 0))
  )
)</f>
        <v>838.73921447468297</v>
      </c>
      <c r="BH22" s="32">
        <f t="array" ref="BH22">IF(COLUMN() - ($E22 + 5) &lt; 0, 0,
  IF(COLUMN() - ($E22 + 5) = 0, $F22,
    BG22 * (1 - IFERROR(INDEX('Inputs &amp; Assuptions'!$C$13:$C$72, COLUMN() - ($E22 + 5)), 0))
  )
)</f>
        <v>834.54551840230954</v>
      </c>
      <c r="BI22" s="32">
        <f t="array" ref="BI22">IF(COLUMN() - ($E22 + 5) &lt; 0, 0,
  IF(COLUMN() - ($E22 + 5) = 0, $F22,
    BH22 * (1 - IFERROR(INDEX('Inputs &amp; Assuptions'!$C$13:$C$72, COLUMN() - ($E22 + 5)), 0))
  )
)</f>
        <v>830.37279081029794</v>
      </c>
      <c r="BJ22" s="32">
        <f t="array" ref="BJ22">IF(COLUMN() - ($E22 + 5) &lt; 0, 0,
  IF(COLUMN() - ($E22 + 5) = 0, $F22,
    BI22 * (1 - IFERROR(INDEX('Inputs &amp; Assuptions'!$C$13:$C$72, COLUMN() - ($E22 + 5)), 0))
  )
)</f>
        <v>826.22092685624648</v>
      </c>
      <c r="BK22" s="32">
        <f t="array" ref="BK22">IF(COLUMN() - ($E22 + 5) &lt; 0, 0,
  IF(COLUMN() - ($E22 + 5) = 0, $F22,
    BJ22 * (1 - IFERROR(INDEX('Inputs &amp; Assuptions'!$C$13:$C$72, COLUMN() - ($E22 + 5)), 0))
  )
)</f>
        <v>822.08982222196528</v>
      </c>
      <c r="BL22" s="32">
        <f t="array" ref="BL22">IF(COLUMN() - ($E22 + 5) &lt; 0, 0,
  IF(COLUMN() - ($E22 + 5) = 0, $F22,
    BK22 * (1 - IFERROR(INDEX('Inputs &amp; Assuptions'!$C$13:$C$72, COLUMN() - ($E22 + 5)), 0))
  )
)</f>
        <v>817.97937311085548</v>
      </c>
      <c r="BM22" s="66">
        <f t="array" ref="BM22">IF(COLUMN() - ($E22 + 5) &lt; 0, 0,
  IF(COLUMN() - ($E22 + 5) = 0, $F22,
    BL22 * (1 - IFERROR(INDEX('Inputs &amp; Assuptions'!$C$13:$C$72, COLUMN() - ($E22 + 5)), 0))
  )
)</f>
        <v>813.88947624530124</v>
      </c>
      <c r="BN22" s="33"/>
    </row>
    <row r="23" spans="1:66" x14ac:dyDescent="0.3">
      <c r="A23" s="71">
        <f t="shared" si="2"/>
        <v>18</v>
      </c>
      <c r="B23" s="75">
        <f t="shared" si="4"/>
        <v>1575</v>
      </c>
      <c r="C23" s="81">
        <f>$B23*(1-'Inputs &amp; Assuptions'!$C$12)</f>
        <v>1228.5</v>
      </c>
      <c r="E23" s="71">
        <f t="shared" si="3"/>
        <v>18</v>
      </c>
      <c r="F23" s="65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>
        <f>$C23</f>
        <v>1228.5</v>
      </c>
      <c r="X23" s="32">
        <f t="array" ref="X23">IF(COLUMN() - ($E23 + 5) &lt; 0, 0,
  IF(COLUMN() - ($E23 + 5) = 0, $F23,
    W23 * (1 - IFERROR(INDEX('Inputs &amp; Assuptions'!$C$13:$C$72, COLUMN() - ($E23 + 5)), 0))
  )
)</f>
        <v>1164.0037500000001</v>
      </c>
      <c r="Y23" s="32">
        <f t="array" ref="Y23">IF(COLUMN() - ($E23 + 5) &lt; 0, 0,
  IF(COLUMN() - ($E23 + 5) = 0, $F23,
    X23 * (1 - IFERROR(INDEX('Inputs &amp; Assuptions'!$C$13:$C$72, COLUMN() - ($E23 + 5)), 0))
  )
)</f>
        <v>1117.4436000000001</v>
      </c>
      <c r="Z23" s="32">
        <f t="array" ref="Z23">IF(COLUMN() - ($E23 + 5) &lt; 0, 0,
  IF(COLUMN() - ($E23 + 5) = 0, $F23,
    Y23 * (1 - IFERROR(INDEX('Inputs &amp; Assuptions'!$C$13:$C$72, COLUMN() - ($E23 + 5)), 0))
  )
)</f>
        <v>1086.7139010000001</v>
      </c>
      <c r="AA23" s="32">
        <f t="array" ref="AA23">IF(COLUMN() - ($E23 + 5) &lt; 0, 0,
  IF(COLUMN() - ($E23 + 5) = 0, $F23,
    Z23 * (1 - IFERROR(INDEX('Inputs &amp; Assuptions'!$C$13:$C$72, COLUMN() - ($E23 + 5)), 0))
  )
)</f>
        <v>1059.546053475</v>
      </c>
      <c r="AB23" s="32">
        <f t="array" ref="AB23">IF(COLUMN() - ($E23 + 5) &lt; 0, 0,
  IF(COLUMN() - ($E23 + 5) = 0, $F23,
    AA23 * (1 - IFERROR(INDEX('Inputs &amp; Assuptions'!$C$13:$C$72, COLUMN() - ($E23 + 5)), 0))
  )
)</f>
        <v>1035.7062672718125</v>
      </c>
      <c r="AC23" s="32">
        <f t="array" ref="AC23">IF(COLUMN() - ($E23 + 5) &lt; 0, 0,
  IF(COLUMN() - ($E23 + 5) = 0, $F23,
    AB23 * (1 - IFERROR(INDEX('Inputs &amp; Assuptions'!$C$13:$C$72, COLUMN() - ($E23 + 5)), 0))
  )
)</f>
        <v>1014.9921419263762</v>
      </c>
      <c r="AD23" s="32">
        <f t="array" ref="AD23">IF(COLUMN() - ($E23 + 5) &lt; 0, 0,
  IF(COLUMN() - ($E23 + 5) = 0, $F23,
    AC23 * (1 - IFERROR(INDEX('Inputs &amp; Assuptions'!$C$13:$C$72, COLUMN() - ($E23 + 5)), 0))
  )
)</f>
        <v>997.22977944266472</v>
      </c>
      <c r="AE23" s="32">
        <f t="array" ref="AE23">IF(COLUMN() - ($E23 + 5) &lt; 0, 0,
  IF(COLUMN() - ($E23 + 5) = 0, $F23,
    AD23 * (1 - IFERROR(INDEX('Inputs &amp; Assuptions'!$C$13:$C$72, COLUMN() - ($E23 + 5)), 0))
  )
)</f>
        <v>982.27133275102472</v>
      </c>
      <c r="AF23" s="32">
        <f t="array" ref="AF23">IF(COLUMN() - ($E23 + 5) &lt; 0, 0,
  IF(COLUMN() - ($E23 + 5) = 0, $F23,
    AE23 * (1 - IFERROR(INDEX('Inputs &amp; Assuptions'!$C$13:$C$72, COLUMN() - ($E23 + 5)), 0))
  )
)</f>
        <v>969.99294109163691</v>
      </c>
      <c r="AG23" s="32">
        <f t="array" ref="AG23">IF(COLUMN() - ($E23 + 5) &lt; 0, 0,
  IF(COLUMN() - ($E23 + 5) = 0, $F23,
    AF23 * (1 - IFERROR(INDEX('Inputs &amp; Assuptions'!$C$13:$C$72, COLUMN() - ($E23 + 5)), 0))
  )
)</f>
        <v>960.2930116807205</v>
      </c>
      <c r="AH23" s="32">
        <f t="array" ref="AH23">IF(COLUMN() - ($E23 + 5) &lt; 0, 0,
  IF(COLUMN() - ($E23 + 5) = 0, $F23,
    AG23 * (1 - IFERROR(INDEX('Inputs &amp; Assuptions'!$C$13:$C$72, COLUMN() - ($E23 + 5)), 0))
  )
)</f>
        <v>955.49154662231695</v>
      </c>
      <c r="AI23" s="32">
        <f t="array" ref="AI23">IF(COLUMN() - ($E23 + 5) &lt; 0, 0,
  IF(COLUMN() - ($E23 + 5) = 0, $F23,
    AH23 * (1 - IFERROR(INDEX('Inputs &amp; Assuptions'!$C$13:$C$72, COLUMN() - ($E23 + 5)), 0))
  )
)</f>
        <v>950.71408888920541</v>
      </c>
      <c r="AJ23" s="32">
        <f t="array" ref="AJ23">IF(COLUMN() - ($E23 + 5) &lt; 0, 0,
  IF(COLUMN() - ($E23 + 5) = 0, $F23,
    AI23 * (1 - IFERROR(INDEX('Inputs &amp; Assuptions'!$C$13:$C$72, COLUMN() - ($E23 + 5)), 0))
  )
)</f>
        <v>945.96051844475937</v>
      </c>
      <c r="AK23" s="32">
        <f t="array" ref="AK23">IF(COLUMN() - ($E23 + 5) &lt; 0, 0,
  IF(COLUMN() - ($E23 + 5) = 0, $F23,
    AJ23 * (1 - IFERROR(INDEX('Inputs &amp; Assuptions'!$C$13:$C$72, COLUMN() - ($E23 + 5)), 0))
  )
)</f>
        <v>941.23071585253558</v>
      </c>
      <c r="AL23" s="32">
        <f t="array" ref="AL23">IF(COLUMN() - ($E23 + 5) &lt; 0, 0,
  IF(COLUMN() - ($E23 + 5) = 0, $F23,
    AK23 * (1 - IFERROR(INDEX('Inputs &amp; Assuptions'!$C$13:$C$72, COLUMN() - ($E23 + 5)), 0))
  )
)</f>
        <v>936.52456227327286</v>
      </c>
      <c r="AM23" s="32">
        <f t="array" ref="AM23">IF(COLUMN() - ($E23 + 5) &lt; 0, 0,
  IF(COLUMN() - ($E23 + 5) = 0, $F23,
    AL23 * (1 - IFERROR(INDEX('Inputs &amp; Assuptions'!$C$13:$C$72, COLUMN() - ($E23 + 5)), 0))
  )
)</f>
        <v>931.84193946190646</v>
      </c>
      <c r="AN23" s="32">
        <f t="array" ref="AN23">IF(COLUMN() - ($E23 + 5) &lt; 0, 0,
  IF(COLUMN() - ($E23 + 5) = 0, $F23,
    AM23 * (1 - IFERROR(INDEX('Inputs &amp; Assuptions'!$C$13:$C$72, COLUMN() - ($E23 + 5)), 0))
  )
)</f>
        <v>927.18272976459696</v>
      </c>
      <c r="AO23" s="32">
        <f t="array" ref="AO23">IF(COLUMN() - ($E23 + 5) &lt; 0, 0,
  IF(COLUMN() - ($E23 + 5) = 0, $F23,
    AN23 * (1 - IFERROR(INDEX('Inputs &amp; Assuptions'!$C$13:$C$72, COLUMN() - ($E23 + 5)), 0))
  )
)</f>
        <v>922.54681611577394</v>
      </c>
      <c r="AP23" s="32">
        <f t="array" ref="AP23">IF(COLUMN() - ($E23 + 5) &lt; 0, 0,
  IF(COLUMN() - ($E23 + 5) = 0, $F23,
    AO23 * (1 - IFERROR(INDEX('Inputs &amp; Assuptions'!$C$13:$C$72, COLUMN() - ($E23 + 5)), 0))
  )
)</f>
        <v>917.93408203519505</v>
      </c>
      <c r="AQ23" s="32">
        <f t="array" ref="AQ23">IF(COLUMN() - ($E23 + 5) &lt; 0, 0,
  IF(COLUMN() - ($E23 + 5) = 0, $F23,
    AP23 * (1 - IFERROR(INDEX('Inputs &amp; Assuptions'!$C$13:$C$72, COLUMN() - ($E23 + 5)), 0))
  )
)</f>
        <v>913.34441162501912</v>
      </c>
      <c r="AR23" s="32">
        <f t="array" ref="AR23">IF(COLUMN() - ($E23 + 5) &lt; 0, 0,
  IF(COLUMN() - ($E23 + 5) = 0, $F23,
    AQ23 * (1 - IFERROR(INDEX('Inputs &amp; Assuptions'!$C$13:$C$72, COLUMN() - ($E23 + 5)), 0))
  )
)</f>
        <v>908.77768956689397</v>
      </c>
      <c r="AS23" s="32">
        <f t="array" ref="AS23">IF(COLUMN() - ($E23 + 5) &lt; 0, 0,
  IF(COLUMN() - ($E23 + 5) = 0, $F23,
    AR23 * (1 - IFERROR(INDEX('Inputs &amp; Assuptions'!$C$13:$C$72, COLUMN() - ($E23 + 5)), 0))
  )
)</f>
        <v>904.23380111905954</v>
      </c>
      <c r="AT23" s="32">
        <f t="array" ref="AT23">IF(COLUMN() - ($E23 + 5) &lt; 0, 0,
  IF(COLUMN() - ($E23 + 5) = 0, $F23,
    AS23 * (1 - IFERROR(INDEX('Inputs &amp; Assuptions'!$C$13:$C$72, COLUMN() - ($E23 + 5)), 0))
  )
)</f>
        <v>899.71263211346422</v>
      </c>
      <c r="AU23" s="32">
        <f t="array" ref="AU23">IF(COLUMN() - ($E23 + 5) &lt; 0, 0,
  IF(COLUMN() - ($E23 + 5) = 0, $F23,
    AT23 * (1 - IFERROR(INDEX('Inputs &amp; Assuptions'!$C$13:$C$72, COLUMN() - ($E23 + 5)), 0))
  )
)</f>
        <v>895.21406895289692</v>
      </c>
      <c r="AV23" s="32">
        <f t="array" ref="AV23">IF(COLUMN() - ($E23 + 5) &lt; 0, 0,
  IF(COLUMN() - ($E23 + 5) = 0, $F23,
    AU23 * (1 - IFERROR(INDEX('Inputs &amp; Assuptions'!$C$13:$C$72, COLUMN() - ($E23 + 5)), 0))
  )
)</f>
        <v>890.73799860813244</v>
      </c>
      <c r="AW23" s="32">
        <f t="array" ref="AW23">IF(COLUMN() - ($E23 + 5) &lt; 0, 0,
  IF(COLUMN() - ($E23 + 5) = 0, $F23,
    AV23 * (1 - IFERROR(INDEX('Inputs &amp; Assuptions'!$C$13:$C$72, COLUMN() - ($E23 + 5)), 0))
  )
)</f>
        <v>886.28430861509173</v>
      </c>
      <c r="AX23" s="32">
        <f t="array" ref="AX23">IF(COLUMN() - ($E23 + 5) &lt; 0, 0,
  IF(COLUMN() - ($E23 + 5) = 0, $F23,
    AW23 * (1 - IFERROR(INDEX('Inputs &amp; Assuptions'!$C$13:$C$72, COLUMN() - ($E23 + 5)), 0))
  )
)</f>
        <v>881.8528870720163</v>
      </c>
      <c r="AY23" s="32">
        <f t="array" ref="AY23">IF(COLUMN() - ($E23 + 5) &lt; 0, 0,
  IF(COLUMN() - ($E23 + 5) = 0, $F23,
    AX23 * (1 - IFERROR(INDEX('Inputs &amp; Assuptions'!$C$13:$C$72, COLUMN() - ($E23 + 5)), 0))
  )
)</f>
        <v>877.44362263665619</v>
      </c>
      <c r="AZ23" s="32">
        <f t="array" ref="AZ23">IF(COLUMN() - ($E23 + 5) &lt; 0, 0,
  IF(COLUMN() - ($E23 + 5) = 0, $F23,
    AY23 * (1 - IFERROR(INDEX('Inputs &amp; Assuptions'!$C$13:$C$72, COLUMN() - ($E23 + 5)), 0))
  )
)</f>
        <v>873.05640452347291</v>
      </c>
      <c r="BA23" s="32">
        <f t="array" ref="BA23">IF(COLUMN() - ($E23 + 5) &lt; 0, 0,
  IF(COLUMN() - ($E23 + 5) = 0, $F23,
    AZ23 * (1 - IFERROR(INDEX('Inputs &amp; Assuptions'!$C$13:$C$72, COLUMN() - ($E23 + 5)), 0))
  )
)</f>
        <v>868.6911225008555</v>
      </c>
      <c r="BB23" s="32">
        <f t="array" ref="BB23">IF(COLUMN() - ($E23 + 5) &lt; 0, 0,
  IF(COLUMN() - ($E23 + 5) = 0, $F23,
    BA23 * (1 - IFERROR(INDEX('Inputs &amp; Assuptions'!$C$13:$C$72, COLUMN() - ($E23 + 5)), 0))
  )
)</f>
        <v>864.34766688835123</v>
      </c>
      <c r="BC23" s="32">
        <f t="array" ref="BC23">IF(COLUMN() - ($E23 + 5) &lt; 0, 0,
  IF(COLUMN() - ($E23 + 5) = 0, $F23,
    BB23 * (1 - IFERROR(INDEX('Inputs &amp; Assuptions'!$C$13:$C$72, COLUMN() - ($E23 + 5)), 0))
  )
)</f>
        <v>860.02592855390947</v>
      </c>
      <c r="BD23" s="32">
        <f t="array" ref="BD23">IF(COLUMN() - ($E23 + 5) &lt; 0, 0,
  IF(COLUMN() - ($E23 + 5) = 0, $F23,
    BC23 * (1 - IFERROR(INDEX('Inputs &amp; Assuptions'!$C$13:$C$72, COLUMN() - ($E23 + 5)), 0))
  )
)</f>
        <v>855.72579891113992</v>
      </c>
      <c r="BE23" s="32">
        <f t="array" ref="BE23">IF(COLUMN() - ($E23 + 5) &lt; 0, 0,
  IF(COLUMN() - ($E23 + 5) = 0, $F23,
    BD23 * (1 - IFERROR(INDEX('Inputs &amp; Assuptions'!$C$13:$C$72, COLUMN() - ($E23 + 5)), 0))
  )
)</f>
        <v>851.44716991658424</v>
      </c>
      <c r="BF23" s="32">
        <f t="array" ref="BF23">IF(COLUMN() - ($E23 + 5) &lt; 0, 0,
  IF(COLUMN() - ($E23 + 5) = 0, $F23,
    BE23 * (1 - IFERROR(INDEX('Inputs &amp; Assuptions'!$C$13:$C$72, COLUMN() - ($E23 + 5)), 0))
  )
)</f>
        <v>847.18993406700133</v>
      </c>
      <c r="BG23" s="32">
        <f t="array" ref="BG23">IF(COLUMN() - ($E23 + 5) &lt; 0, 0,
  IF(COLUMN() - ($E23 + 5) = 0, $F23,
    BF23 * (1 - IFERROR(INDEX('Inputs &amp; Assuptions'!$C$13:$C$72, COLUMN() - ($E23 + 5)), 0))
  )
)</f>
        <v>842.95398439666633</v>
      </c>
      <c r="BH23" s="32">
        <f t="array" ref="BH23">IF(COLUMN() - ($E23 + 5) &lt; 0, 0,
  IF(COLUMN() - ($E23 + 5) = 0, $F23,
    BG23 * (1 - IFERROR(INDEX('Inputs &amp; Assuptions'!$C$13:$C$72, COLUMN() - ($E23 + 5)), 0))
  )
)</f>
        <v>838.73921447468297</v>
      </c>
      <c r="BI23" s="32">
        <f t="array" ref="BI23">IF(COLUMN() - ($E23 + 5) &lt; 0, 0,
  IF(COLUMN() - ($E23 + 5) = 0, $F23,
    BH23 * (1 - IFERROR(INDEX('Inputs &amp; Assuptions'!$C$13:$C$72, COLUMN() - ($E23 + 5)), 0))
  )
)</f>
        <v>834.54551840230954</v>
      </c>
      <c r="BJ23" s="32">
        <f t="array" ref="BJ23">IF(COLUMN() - ($E23 + 5) &lt; 0, 0,
  IF(COLUMN() - ($E23 + 5) = 0, $F23,
    BI23 * (1 - IFERROR(INDEX('Inputs &amp; Assuptions'!$C$13:$C$72, COLUMN() - ($E23 + 5)), 0))
  )
)</f>
        <v>830.37279081029794</v>
      </c>
      <c r="BK23" s="32">
        <f t="array" ref="BK23">IF(COLUMN() - ($E23 + 5) &lt; 0, 0,
  IF(COLUMN() - ($E23 + 5) = 0, $F23,
    BJ23 * (1 - IFERROR(INDEX('Inputs &amp; Assuptions'!$C$13:$C$72, COLUMN() - ($E23 + 5)), 0))
  )
)</f>
        <v>826.22092685624648</v>
      </c>
      <c r="BL23" s="32">
        <f t="array" ref="BL23">IF(COLUMN() - ($E23 + 5) &lt; 0, 0,
  IF(COLUMN() - ($E23 + 5) = 0, $F23,
    BK23 * (1 - IFERROR(INDEX('Inputs &amp; Assuptions'!$C$13:$C$72, COLUMN() - ($E23 + 5)), 0))
  )
)</f>
        <v>822.08982222196528</v>
      </c>
      <c r="BM23" s="66">
        <f t="array" ref="BM23">IF(COLUMN() - ($E23 + 5) &lt; 0, 0,
  IF(COLUMN() - ($E23 + 5) = 0, $F23,
    BL23 * (1 - IFERROR(INDEX('Inputs &amp; Assuptions'!$C$13:$C$72, COLUMN() - ($E23 + 5)), 0))
  )
)</f>
        <v>817.97937311085548</v>
      </c>
      <c r="BN23" s="33"/>
    </row>
    <row r="24" spans="1:66" x14ac:dyDescent="0.3">
      <c r="A24" s="71">
        <f t="shared" si="2"/>
        <v>19</v>
      </c>
      <c r="B24" s="75">
        <f t="shared" si="4"/>
        <v>1575</v>
      </c>
      <c r="C24" s="81">
        <f>$B24*(1-'Inputs &amp; Assuptions'!$C$12)</f>
        <v>1228.5</v>
      </c>
      <c r="E24" s="71">
        <f t="shared" si="3"/>
        <v>19</v>
      </c>
      <c r="F24" s="65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>
        <f>$C24</f>
        <v>1228.5</v>
      </c>
      <c r="Y24" s="32">
        <f t="array" ref="Y24">IF(COLUMN() - ($E24 + 5) &lt; 0, 0,
  IF(COLUMN() - ($E24 + 5) = 0, $F24,
    X24 * (1 - IFERROR(INDEX('Inputs &amp; Assuptions'!$C$13:$C$72, COLUMN() - ($E24 + 5)), 0))
  )
)</f>
        <v>1164.0037500000001</v>
      </c>
      <c r="Z24" s="32">
        <f t="array" ref="Z24">IF(COLUMN() - ($E24 + 5) &lt; 0, 0,
  IF(COLUMN() - ($E24 + 5) = 0, $F24,
    Y24 * (1 - IFERROR(INDEX('Inputs &amp; Assuptions'!$C$13:$C$72, COLUMN() - ($E24 + 5)), 0))
  )
)</f>
        <v>1117.4436000000001</v>
      </c>
      <c r="AA24" s="32">
        <f t="array" ref="AA24">IF(COLUMN() - ($E24 + 5) &lt; 0, 0,
  IF(COLUMN() - ($E24 + 5) = 0, $F24,
    Z24 * (1 - IFERROR(INDEX('Inputs &amp; Assuptions'!$C$13:$C$72, COLUMN() - ($E24 + 5)), 0))
  )
)</f>
        <v>1086.7139010000001</v>
      </c>
      <c r="AB24" s="32">
        <f t="array" ref="AB24">IF(COLUMN() - ($E24 + 5) &lt; 0, 0,
  IF(COLUMN() - ($E24 + 5) = 0, $F24,
    AA24 * (1 - IFERROR(INDEX('Inputs &amp; Assuptions'!$C$13:$C$72, COLUMN() - ($E24 + 5)), 0))
  )
)</f>
        <v>1059.546053475</v>
      </c>
      <c r="AC24" s="32">
        <f t="array" ref="AC24">IF(COLUMN() - ($E24 + 5) &lt; 0, 0,
  IF(COLUMN() - ($E24 + 5) = 0, $F24,
    AB24 * (1 - IFERROR(INDEX('Inputs &amp; Assuptions'!$C$13:$C$72, COLUMN() - ($E24 + 5)), 0))
  )
)</f>
        <v>1035.7062672718125</v>
      </c>
      <c r="AD24" s="32">
        <f t="array" ref="AD24">IF(COLUMN() - ($E24 + 5) &lt; 0, 0,
  IF(COLUMN() - ($E24 + 5) = 0, $F24,
    AC24 * (1 - IFERROR(INDEX('Inputs &amp; Assuptions'!$C$13:$C$72, COLUMN() - ($E24 + 5)), 0))
  )
)</f>
        <v>1014.9921419263762</v>
      </c>
      <c r="AE24" s="32">
        <f t="array" ref="AE24">IF(COLUMN() - ($E24 + 5) &lt; 0, 0,
  IF(COLUMN() - ($E24 + 5) = 0, $F24,
    AD24 * (1 - IFERROR(INDEX('Inputs &amp; Assuptions'!$C$13:$C$72, COLUMN() - ($E24 + 5)), 0))
  )
)</f>
        <v>997.22977944266472</v>
      </c>
      <c r="AF24" s="32">
        <f t="array" ref="AF24">IF(COLUMN() - ($E24 + 5) &lt; 0, 0,
  IF(COLUMN() - ($E24 + 5) = 0, $F24,
    AE24 * (1 - IFERROR(INDEX('Inputs &amp; Assuptions'!$C$13:$C$72, COLUMN() - ($E24 + 5)), 0))
  )
)</f>
        <v>982.27133275102472</v>
      </c>
      <c r="AG24" s="32">
        <f t="array" ref="AG24">IF(COLUMN() - ($E24 + 5) &lt; 0, 0,
  IF(COLUMN() - ($E24 + 5) = 0, $F24,
    AF24 * (1 - IFERROR(INDEX('Inputs &amp; Assuptions'!$C$13:$C$72, COLUMN() - ($E24 + 5)), 0))
  )
)</f>
        <v>969.99294109163691</v>
      </c>
      <c r="AH24" s="32">
        <f t="array" ref="AH24">IF(COLUMN() - ($E24 + 5) &lt; 0, 0,
  IF(COLUMN() - ($E24 + 5) = 0, $F24,
    AG24 * (1 - IFERROR(INDEX('Inputs &amp; Assuptions'!$C$13:$C$72, COLUMN() - ($E24 + 5)), 0))
  )
)</f>
        <v>960.2930116807205</v>
      </c>
      <c r="AI24" s="32">
        <f t="array" ref="AI24">IF(COLUMN() - ($E24 + 5) &lt; 0, 0,
  IF(COLUMN() - ($E24 + 5) = 0, $F24,
    AH24 * (1 - IFERROR(INDEX('Inputs &amp; Assuptions'!$C$13:$C$72, COLUMN() - ($E24 + 5)), 0))
  )
)</f>
        <v>955.49154662231695</v>
      </c>
      <c r="AJ24" s="32">
        <f t="array" ref="AJ24">IF(COLUMN() - ($E24 + 5) &lt; 0, 0,
  IF(COLUMN() - ($E24 + 5) = 0, $F24,
    AI24 * (1 - IFERROR(INDEX('Inputs &amp; Assuptions'!$C$13:$C$72, COLUMN() - ($E24 + 5)), 0))
  )
)</f>
        <v>950.71408888920541</v>
      </c>
      <c r="AK24" s="32">
        <f t="array" ref="AK24">IF(COLUMN() - ($E24 + 5) &lt; 0, 0,
  IF(COLUMN() - ($E24 + 5) = 0, $F24,
    AJ24 * (1 - IFERROR(INDEX('Inputs &amp; Assuptions'!$C$13:$C$72, COLUMN() - ($E24 + 5)), 0))
  )
)</f>
        <v>945.96051844475937</v>
      </c>
      <c r="AL24" s="32">
        <f t="array" ref="AL24">IF(COLUMN() - ($E24 + 5) &lt; 0, 0,
  IF(COLUMN() - ($E24 + 5) = 0, $F24,
    AK24 * (1 - IFERROR(INDEX('Inputs &amp; Assuptions'!$C$13:$C$72, COLUMN() - ($E24 + 5)), 0))
  )
)</f>
        <v>941.23071585253558</v>
      </c>
      <c r="AM24" s="32">
        <f t="array" ref="AM24">IF(COLUMN() - ($E24 + 5) &lt; 0, 0,
  IF(COLUMN() - ($E24 + 5) = 0, $F24,
    AL24 * (1 - IFERROR(INDEX('Inputs &amp; Assuptions'!$C$13:$C$72, COLUMN() - ($E24 + 5)), 0))
  )
)</f>
        <v>936.52456227327286</v>
      </c>
      <c r="AN24" s="32">
        <f t="array" ref="AN24">IF(COLUMN() - ($E24 + 5) &lt; 0, 0,
  IF(COLUMN() - ($E24 + 5) = 0, $F24,
    AM24 * (1 - IFERROR(INDEX('Inputs &amp; Assuptions'!$C$13:$C$72, COLUMN() - ($E24 + 5)), 0))
  )
)</f>
        <v>931.84193946190646</v>
      </c>
      <c r="AO24" s="32">
        <f t="array" ref="AO24">IF(COLUMN() - ($E24 + 5) &lt; 0, 0,
  IF(COLUMN() - ($E24 + 5) = 0, $F24,
    AN24 * (1 - IFERROR(INDEX('Inputs &amp; Assuptions'!$C$13:$C$72, COLUMN() - ($E24 + 5)), 0))
  )
)</f>
        <v>927.18272976459696</v>
      </c>
      <c r="AP24" s="32">
        <f t="array" ref="AP24">IF(COLUMN() - ($E24 + 5) &lt; 0, 0,
  IF(COLUMN() - ($E24 + 5) = 0, $F24,
    AO24 * (1 - IFERROR(INDEX('Inputs &amp; Assuptions'!$C$13:$C$72, COLUMN() - ($E24 + 5)), 0))
  )
)</f>
        <v>922.54681611577394</v>
      </c>
      <c r="AQ24" s="32">
        <f t="array" ref="AQ24">IF(COLUMN() - ($E24 + 5) &lt; 0, 0,
  IF(COLUMN() - ($E24 + 5) = 0, $F24,
    AP24 * (1 - IFERROR(INDEX('Inputs &amp; Assuptions'!$C$13:$C$72, COLUMN() - ($E24 + 5)), 0))
  )
)</f>
        <v>917.93408203519505</v>
      </c>
      <c r="AR24" s="32">
        <f t="array" ref="AR24">IF(COLUMN() - ($E24 + 5) &lt; 0, 0,
  IF(COLUMN() - ($E24 + 5) = 0, $F24,
    AQ24 * (1 - IFERROR(INDEX('Inputs &amp; Assuptions'!$C$13:$C$72, COLUMN() - ($E24 + 5)), 0))
  )
)</f>
        <v>913.34441162501912</v>
      </c>
      <c r="AS24" s="32">
        <f t="array" ref="AS24">IF(COLUMN() - ($E24 + 5) &lt; 0, 0,
  IF(COLUMN() - ($E24 + 5) = 0, $F24,
    AR24 * (1 - IFERROR(INDEX('Inputs &amp; Assuptions'!$C$13:$C$72, COLUMN() - ($E24 + 5)), 0))
  )
)</f>
        <v>908.77768956689397</v>
      </c>
      <c r="AT24" s="32">
        <f t="array" ref="AT24">IF(COLUMN() - ($E24 + 5) &lt; 0, 0,
  IF(COLUMN() - ($E24 + 5) = 0, $F24,
    AS24 * (1 - IFERROR(INDEX('Inputs &amp; Assuptions'!$C$13:$C$72, COLUMN() - ($E24 + 5)), 0))
  )
)</f>
        <v>904.23380111905954</v>
      </c>
      <c r="AU24" s="32">
        <f t="array" ref="AU24">IF(COLUMN() - ($E24 + 5) &lt; 0, 0,
  IF(COLUMN() - ($E24 + 5) = 0, $F24,
    AT24 * (1 - IFERROR(INDEX('Inputs &amp; Assuptions'!$C$13:$C$72, COLUMN() - ($E24 + 5)), 0))
  )
)</f>
        <v>899.71263211346422</v>
      </c>
      <c r="AV24" s="32">
        <f t="array" ref="AV24">IF(COLUMN() - ($E24 + 5) &lt; 0, 0,
  IF(COLUMN() - ($E24 + 5) = 0, $F24,
    AU24 * (1 - IFERROR(INDEX('Inputs &amp; Assuptions'!$C$13:$C$72, COLUMN() - ($E24 + 5)), 0))
  )
)</f>
        <v>895.21406895289692</v>
      </c>
      <c r="AW24" s="32">
        <f t="array" ref="AW24">IF(COLUMN() - ($E24 + 5) &lt; 0, 0,
  IF(COLUMN() - ($E24 + 5) = 0, $F24,
    AV24 * (1 - IFERROR(INDEX('Inputs &amp; Assuptions'!$C$13:$C$72, COLUMN() - ($E24 + 5)), 0))
  )
)</f>
        <v>890.73799860813244</v>
      </c>
      <c r="AX24" s="32">
        <f t="array" ref="AX24">IF(COLUMN() - ($E24 + 5) &lt; 0, 0,
  IF(COLUMN() - ($E24 + 5) = 0, $F24,
    AW24 * (1 - IFERROR(INDEX('Inputs &amp; Assuptions'!$C$13:$C$72, COLUMN() - ($E24 + 5)), 0))
  )
)</f>
        <v>886.28430861509173</v>
      </c>
      <c r="AY24" s="32">
        <f t="array" ref="AY24">IF(COLUMN() - ($E24 + 5) &lt; 0, 0,
  IF(COLUMN() - ($E24 + 5) = 0, $F24,
    AX24 * (1 - IFERROR(INDEX('Inputs &amp; Assuptions'!$C$13:$C$72, COLUMN() - ($E24 + 5)), 0))
  )
)</f>
        <v>881.8528870720163</v>
      </c>
      <c r="AZ24" s="32">
        <f t="array" ref="AZ24">IF(COLUMN() - ($E24 + 5) &lt; 0, 0,
  IF(COLUMN() - ($E24 + 5) = 0, $F24,
    AY24 * (1 - IFERROR(INDEX('Inputs &amp; Assuptions'!$C$13:$C$72, COLUMN() - ($E24 + 5)), 0))
  )
)</f>
        <v>877.44362263665619</v>
      </c>
      <c r="BA24" s="32">
        <f t="array" ref="BA24">IF(COLUMN() - ($E24 + 5) &lt; 0, 0,
  IF(COLUMN() - ($E24 + 5) = 0, $F24,
    AZ24 * (1 - IFERROR(INDEX('Inputs &amp; Assuptions'!$C$13:$C$72, COLUMN() - ($E24 + 5)), 0))
  )
)</f>
        <v>873.05640452347291</v>
      </c>
      <c r="BB24" s="32">
        <f t="array" ref="BB24">IF(COLUMN() - ($E24 + 5) &lt; 0, 0,
  IF(COLUMN() - ($E24 + 5) = 0, $F24,
    BA24 * (1 - IFERROR(INDEX('Inputs &amp; Assuptions'!$C$13:$C$72, COLUMN() - ($E24 + 5)), 0))
  )
)</f>
        <v>868.6911225008555</v>
      </c>
      <c r="BC24" s="32">
        <f t="array" ref="BC24">IF(COLUMN() - ($E24 + 5) &lt; 0, 0,
  IF(COLUMN() - ($E24 + 5) = 0, $F24,
    BB24 * (1 - IFERROR(INDEX('Inputs &amp; Assuptions'!$C$13:$C$72, COLUMN() - ($E24 + 5)), 0))
  )
)</f>
        <v>864.34766688835123</v>
      </c>
      <c r="BD24" s="32">
        <f t="array" ref="BD24">IF(COLUMN() - ($E24 + 5) &lt; 0, 0,
  IF(COLUMN() - ($E24 + 5) = 0, $F24,
    BC24 * (1 - IFERROR(INDEX('Inputs &amp; Assuptions'!$C$13:$C$72, COLUMN() - ($E24 + 5)), 0))
  )
)</f>
        <v>860.02592855390947</v>
      </c>
      <c r="BE24" s="32">
        <f t="array" ref="BE24">IF(COLUMN() - ($E24 + 5) &lt; 0, 0,
  IF(COLUMN() - ($E24 + 5) = 0, $F24,
    BD24 * (1 - IFERROR(INDEX('Inputs &amp; Assuptions'!$C$13:$C$72, COLUMN() - ($E24 + 5)), 0))
  )
)</f>
        <v>855.72579891113992</v>
      </c>
      <c r="BF24" s="32">
        <f t="array" ref="BF24">IF(COLUMN() - ($E24 + 5) &lt; 0, 0,
  IF(COLUMN() - ($E24 + 5) = 0, $F24,
    BE24 * (1 - IFERROR(INDEX('Inputs &amp; Assuptions'!$C$13:$C$72, COLUMN() - ($E24 + 5)), 0))
  )
)</f>
        <v>851.44716991658424</v>
      </c>
      <c r="BG24" s="32">
        <f t="array" ref="BG24">IF(COLUMN() - ($E24 + 5) &lt; 0, 0,
  IF(COLUMN() - ($E24 + 5) = 0, $F24,
    BF24 * (1 - IFERROR(INDEX('Inputs &amp; Assuptions'!$C$13:$C$72, COLUMN() - ($E24 + 5)), 0))
  )
)</f>
        <v>847.18993406700133</v>
      </c>
      <c r="BH24" s="32">
        <f t="array" ref="BH24">IF(COLUMN() - ($E24 + 5) &lt; 0, 0,
  IF(COLUMN() - ($E24 + 5) = 0, $F24,
    BG24 * (1 - IFERROR(INDEX('Inputs &amp; Assuptions'!$C$13:$C$72, COLUMN() - ($E24 + 5)), 0))
  )
)</f>
        <v>842.95398439666633</v>
      </c>
      <c r="BI24" s="32">
        <f t="array" ref="BI24">IF(COLUMN() - ($E24 + 5) &lt; 0, 0,
  IF(COLUMN() - ($E24 + 5) = 0, $F24,
    BH24 * (1 - IFERROR(INDEX('Inputs &amp; Assuptions'!$C$13:$C$72, COLUMN() - ($E24 + 5)), 0))
  )
)</f>
        <v>838.73921447468297</v>
      </c>
      <c r="BJ24" s="32">
        <f t="array" ref="BJ24">IF(COLUMN() - ($E24 + 5) &lt; 0, 0,
  IF(COLUMN() - ($E24 + 5) = 0, $F24,
    BI24 * (1 - IFERROR(INDEX('Inputs &amp; Assuptions'!$C$13:$C$72, COLUMN() - ($E24 + 5)), 0))
  )
)</f>
        <v>834.54551840230954</v>
      </c>
      <c r="BK24" s="32">
        <f t="array" ref="BK24">IF(COLUMN() - ($E24 + 5) &lt; 0, 0,
  IF(COLUMN() - ($E24 + 5) = 0, $F24,
    BJ24 * (1 - IFERROR(INDEX('Inputs &amp; Assuptions'!$C$13:$C$72, COLUMN() - ($E24 + 5)), 0))
  )
)</f>
        <v>830.37279081029794</v>
      </c>
      <c r="BL24" s="32">
        <f t="array" ref="BL24">IF(COLUMN() - ($E24 + 5) &lt; 0, 0,
  IF(COLUMN() - ($E24 + 5) = 0, $F24,
    BK24 * (1 - IFERROR(INDEX('Inputs &amp; Assuptions'!$C$13:$C$72, COLUMN() - ($E24 + 5)), 0))
  )
)</f>
        <v>826.22092685624648</v>
      </c>
      <c r="BM24" s="66">
        <f t="array" ref="BM24">IF(COLUMN() - ($E24 + 5) &lt; 0, 0,
  IF(COLUMN() - ($E24 + 5) = 0, $F24,
    BL24 * (1 - IFERROR(INDEX('Inputs &amp; Assuptions'!$C$13:$C$72, COLUMN() - ($E24 + 5)), 0))
  )
)</f>
        <v>822.08982222196528</v>
      </c>
      <c r="BN24" s="33"/>
    </row>
    <row r="25" spans="1:66" x14ac:dyDescent="0.3">
      <c r="A25" s="71">
        <f t="shared" si="2"/>
        <v>20</v>
      </c>
      <c r="B25" s="75">
        <f t="shared" si="4"/>
        <v>1575</v>
      </c>
      <c r="C25" s="81">
        <f>$B25*(1-'Inputs &amp; Assuptions'!$C$12)</f>
        <v>1228.5</v>
      </c>
      <c r="E25" s="71">
        <f t="shared" si="3"/>
        <v>20</v>
      </c>
      <c r="F25" s="65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>
        <f>$C25</f>
        <v>1228.5</v>
      </c>
      <c r="Z25" s="32">
        <f t="array" ref="Z25">IF(COLUMN() - ($E25 + 5) &lt; 0, 0,
  IF(COLUMN() - ($E25 + 5) = 0, $F25,
    Y25 * (1 - IFERROR(INDEX('Inputs &amp; Assuptions'!$C$13:$C$72, COLUMN() - ($E25 + 5)), 0))
  )
)</f>
        <v>1164.0037500000001</v>
      </c>
      <c r="AA25" s="32">
        <f t="array" ref="AA25">IF(COLUMN() - ($E25 + 5) &lt; 0, 0,
  IF(COLUMN() - ($E25 + 5) = 0, $F25,
    Z25 * (1 - IFERROR(INDEX('Inputs &amp; Assuptions'!$C$13:$C$72, COLUMN() - ($E25 + 5)), 0))
  )
)</f>
        <v>1117.4436000000001</v>
      </c>
      <c r="AB25" s="32">
        <f t="array" ref="AB25">IF(COLUMN() - ($E25 + 5) &lt; 0, 0,
  IF(COLUMN() - ($E25 + 5) = 0, $F25,
    AA25 * (1 - IFERROR(INDEX('Inputs &amp; Assuptions'!$C$13:$C$72, COLUMN() - ($E25 + 5)), 0))
  )
)</f>
        <v>1086.7139010000001</v>
      </c>
      <c r="AC25" s="32">
        <f t="array" ref="AC25">IF(COLUMN() - ($E25 + 5) &lt; 0, 0,
  IF(COLUMN() - ($E25 + 5) = 0, $F25,
    AB25 * (1 - IFERROR(INDEX('Inputs &amp; Assuptions'!$C$13:$C$72, COLUMN() - ($E25 + 5)), 0))
  )
)</f>
        <v>1059.546053475</v>
      </c>
      <c r="AD25" s="32">
        <f t="array" ref="AD25">IF(COLUMN() - ($E25 + 5) &lt; 0, 0,
  IF(COLUMN() - ($E25 + 5) = 0, $F25,
    AC25 * (1 - IFERROR(INDEX('Inputs &amp; Assuptions'!$C$13:$C$72, COLUMN() - ($E25 + 5)), 0))
  )
)</f>
        <v>1035.7062672718125</v>
      </c>
      <c r="AE25" s="32">
        <f t="array" ref="AE25">IF(COLUMN() - ($E25 + 5) &lt; 0, 0,
  IF(COLUMN() - ($E25 + 5) = 0, $F25,
    AD25 * (1 - IFERROR(INDEX('Inputs &amp; Assuptions'!$C$13:$C$72, COLUMN() - ($E25 + 5)), 0))
  )
)</f>
        <v>1014.9921419263762</v>
      </c>
      <c r="AF25" s="32">
        <f t="array" ref="AF25">IF(COLUMN() - ($E25 + 5) &lt; 0, 0,
  IF(COLUMN() - ($E25 + 5) = 0, $F25,
    AE25 * (1 - IFERROR(INDEX('Inputs &amp; Assuptions'!$C$13:$C$72, COLUMN() - ($E25 + 5)), 0))
  )
)</f>
        <v>997.22977944266472</v>
      </c>
      <c r="AG25" s="32">
        <f t="array" ref="AG25">IF(COLUMN() - ($E25 + 5) &lt; 0, 0,
  IF(COLUMN() - ($E25 + 5) = 0, $F25,
    AF25 * (1 - IFERROR(INDEX('Inputs &amp; Assuptions'!$C$13:$C$72, COLUMN() - ($E25 + 5)), 0))
  )
)</f>
        <v>982.27133275102472</v>
      </c>
      <c r="AH25" s="32">
        <f t="array" ref="AH25">IF(COLUMN() - ($E25 + 5) &lt; 0, 0,
  IF(COLUMN() - ($E25 + 5) = 0, $F25,
    AG25 * (1 - IFERROR(INDEX('Inputs &amp; Assuptions'!$C$13:$C$72, COLUMN() - ($E25 + 5)), 0))
  )
)</f>
        <v>969.99294109163691</v>
      </c>
      <c r="AI25" s="32">
        <f t="array" ref="AI25">IF(COLUMN() - ($E25 + 5) &lt; 0, 0,
  IF(COLUMN() - ($E25 + 5) = 0, $F25,
    AH25 * (1 - IFERROR(INDEX('Inputs &amp; Assuptions'!$C$13:$C$72, COLUMN() - ($E25 + 5)), 0))
  )
)</f>
        <v>960.2930116807205</v>
      </c>
      <c r="AJ25" s="32">
        <f t="array" ref="AJ25">IF(COLUMN() - ($E25 + 5) &lt; 0, 0,
  IF(COLUMN() - ($E25 + 5) = 0, $F25,
    AI25 * (1 - IFERROR(INDEX('Inputs &amp; Assuptions'!$C$13:$C$72, COLUMN() - ($E25 + 5)), 0))
  )
)</f>
        <v>955.49154662231695</v>
      </c>
      <c r="AK25" s="32">
        <f t="array" ref="AK25">IF(COLUMN() - ($E25 + 5) &lt; 0, 0,
  IF(COLUMN() - ($E25 + 5) = 0, $F25,
    AJ25 * (1 - IFERROR(INDEX('Inputs &amp; Assuptions'!$C$13:$C$72, COLUMN() - ($E25 + 5)), 0))
  )
)</f>
        <v>950.71408888920541</v>
      </c>
      <c r="AL25" s="32">
        <f t="array" ref="AL25">IF(COLUMN() - ($E25 + 5) &lt; 0, 0,
  IF(COLUMN() - ($E25 + 5) = 0, $F25,
    AK25 * (1 - IFERROR(INDEX('Inputs &amp; Assuptions'!$C$13:$C$72, COLUMN() - ($E25 + 5)), 0))
  )
)</f>
        <v>945.96051844475937</v>
      </c>
      <c r="AM25" s="32">
        <f t="array" ref="AM25">IF(COLUMN() - ($E25 + 5) &lt; 0, 0,
  IF(COLUMN() - ($E25 + 5) = 0, $F25,
    AL25 * (1 - IFERROR(INDEX('Inputs &amp; Assuptions'!$C$13:$C$72, COLUMN() - ($E25 + 5)), 0))
  )
)</f>
        <v>941.23071585253558</v>
      </c>
      <c r="AN25" s="32">
        <f t="array" ref="AN25">IF(COLUMN() - ($E25 + 5) &lt; 0, 0,
  IF(COLUMN() - ($E25 + 5) = 0, $F25,
    AM25 * (1 - IFERROR(INDEX('Inputs &amp; Assuptions'!$C$13:$C$72, COLUMN() - ($E25 + 5)), 0))
  )
)</f>
        <v>936.52456227327286</v>
      </c>
      <c r="AO25" s="32">
        <f t="array" ref="AO25">IF(COLUMN() - ($E25 + 5) &lt; 0, 0,
  IF(COLUMN() - ($E25 + 5) = 0, $F25,
    AN25 * (1 - IFERROR(INDEX('Inputs &amp; Assuptions'!$C$13:$C$72, COLUMN() - ($E25 + 5)), 0))
  )
)</f>
        <v>931.84193946190646</v>
      </c>
      <c r="AP25" s="32">
        <f t="array" ref="AP25">IF(COLUMN() - ($E25 + 5) &lt; 0, 0,
  IF(COLUMN() - ($E25 + 5) = 0, $F25,
    AO25 * (1 - IFERROR(INDEX('Inputs &amp; Assuptions'!$C$13:$C$72, COLUMN() - ($E25 + 5)), 0))
  )
)</f>
        <v>927.18272976459696</v>
      </c>
      <c r="AQ25" s="32">
        <f t="array" ref="AQ25">IF(COLUMN() - ($E25 + 5) &lt; 0, 0,
  IF(COLUMN() - ($E25 + 5) = 0, $F25,
    AP25 * (1 - IFERROR(INDEX('Inputs &amp; Assuptions'!$C$13:$C$72, COLUMN() - ($E25 + 5)), 0))
  )
)</f>
        <v>922.54681611577394</v>
      </c>
      <c r="AR25" s="32">
        <f t="array" ref="AR25">IF(COLUMN() - ($E25 + 5) &lt; 0, 0,
  IF(COLUMN() - ($E25 + 5) = 0, $F25,
    AQ25 * (1 - IFERROR(INDEX('Inputs &amp; Assuptions'!$C$13:$C$72, COLUMN() - ($E25 + 5)), 0))
  )
)</f>
        <v>917.93408203519505</v>
      </c>
      <c r="AS25" s="32">
        <f t="array" ref="AS25">IF(COLUMN() - ($E25 + 5) &lt; 0, 0,
  IF(COLUMN() - ($E25 + 5) = 0, $F25,
    AR25 * (1 - IFERROR(INDEX('Inputs &amp; Assuptions'!$C$13:$C$72, COLUMN() - ($E25 + 5)), 0))
  )
)</f>
        <v>913.34441162501912</v>
      </c>
      <c r="AT25" s="32">
        <f t="array" ref="AT25">IF(COLUMN() - ($E25 + 5) &lt; 0, 0,
  IF(COLUMN() - ($E25 + 5) = 0, $F25,
    AS25 * (1 - IFERROR(INDEX('Inputs &amp; Assuptions'!$C$13:$C$72, COLUMN() - ($E25 + 5)), 0))
  )
)</f>
        <v>908.77768956689397</v>
      </c>
      <c r="AU25" s="32">
        <f t="array" ref="AU25">IF(COLUMN() - ($E25 + 5) &lt; 0, 0,
  IF(COLUMN() - ($E25 + 5) = 0, $F25,
    AT25 * (1 - IFERROR(INDEX('Inputs &amp; Assuptions'!$C$13:$C$72, COLUMN() - ($E25 + 5)), 0))
  )
)</f>
        <v>904.23380111905954</v>
      </c>
      <c r="AV25" s="32">
        <f t="array" ref="AV25">IF(COLUMN() - ($E25 + 5) &lt; 0, 0,
  IF(COLUMN() - ($E25 + 5) = 0, $F25,
    AU25 * (1 - IFERROR(INDEX('Inputs &amp; Assuptions'!$C$13:$C$72, COLUMN() - ($E25 + 5)), 0))
  )
)</f>
        <v>899.71263211346422</v>
      </c>
      <c r="AW25" s="32">
        <f t="array" ref="AW25">IF(COLUMN() - ($E25 + 5) &lt; 0, 0,
  IF(COLUMN() - ($E25 + 5) = 0, $F25,
    AV25 * (1 - IFERROR(INDEX('Inputs &amp; Assuptions'!$C$13:$C$72, COLUMN() - ($E25 + 5)), 0))
  )
)</f>
        <v>895.21406895289692</v>
      </c>
      <c r="AX25" s="32">
        <f t="array" ref="AX25">IF(COLUMN() - ($E25 + 5) &lt; 0, 0,
  IF(COLUMN() - ($E25 + 5) = 0, $F25,
    AW25 * (1 - IFERROR(INDEX('Inputs &amp; Assuptions'!$C$13:$C$72, COLUMN() - ($E25 + 5)), 0))
  )
)</f>
        <v>890.73799860813244</v>
      </c>
      <c r="AY25" s="32">
        <f t="array" ref="AY25">IF(COLUMN() - ($E25 + 5) &lt; 0, 0,
  IF(COLUMN() - ($E25 + 5) = 0, $F25,
    AX25 * (1 - IFERROR(INDEX('Inputs &amp; Assuptions'!$C$13:$C$72, COLUMN() - ($E25 + 5)), 0))
  )
)</f>
        <v>886.28430861509173</v>
      </c>
      <c r="AZ25" s="32">
        <f t="array" ref="AZ25">IF(COLUMN() - ($E25 + 5) &lt; 0, 0,
  IF(COLUMN() - ($E25 + 5) = 0, $F25,
    AY25 * (1 - IFERROR(INDEX('Inputs &amp; Assuptions'!$C$13:$C$72, COLUMN() - ($E25 + 5)), 0))
  )
)</f>
        <v>881.8528870720163</v>
      </c>
      <c r="BA25" s="32">
        <f t="array" ref="BA25">IF(COLUMN() - ($E25 + 5) &lt; 0, 0,
  IF(COLUMN() - ($E25 + 5) = 0, $F25,
    AZ25 * (1 - IFERROR(INDEX('Inputs &amp; Assuptions'!$C$13:$C$72, COLUMN() - ($E25 + 5)), 0))
  )
)</f>
        <v>877.44362263665619</v>
      </c>
      <c r="BB25" s="32">
        <f t="array" ref="BB25">IF(COLUMN() - ($E25 + 5) &lt; 0, 0,
  IF(COLUMN() - ($E25 + 5) = 0, $F25,
    BA25 * (1 - IFERROR(INDEX('Inputs &amp; Assuptions'!$C$13:$C$72, COLUMN() - ($E25 + 5)), 0))
  )
)</f>
        <v>873.05640452347291</v>
      </c>
      <c r="BC25" s="32">
        <f t="array" ref="BC25">IF(COLUMN() - ($E25 + 5) &lt; 0, 0,
  IF(COLUMN() - ($E25 + 5) = 0, $F25,
    BB25 * (1 - IFERROR(INDEX('Inputs &amp; Assuptions'!$C$13:$C$72, COLUMN() - ($E25 + 5)), 0))
  )
)</f>
        <v>868.6911225008555</v>
      </c>
      <c r="BD25" s="32">
        <f t="array" ref="BD25">IF(COLUMN() - ($E25 + 5) &lt; 0, 0,
  IF(COLUMN() - ($E25 + 5) = 0, $F25,
    BC25 * (1 - IFERROR(INDEX('Inputs &amp; Assuptions'!$C$13:$C$72, COLUMN() - ($E25 + 5)), 0))
  )
)</f>
        <v>864.34766688835123</v>
      </c>
      <c r="BE25" s="32">
        <f t="array" ref="BE25">IF(COLUMN() - ($E25 + 5) &lt; 0, 0,
  IF(COLUMN() - ($E25 + 5) = 0, $F25,
    BD25 * (1 - IFERROR(INDEX('Inputs &amp; Assuptions'!$C$13:$C$72, COLUMN() - ($E25 + 5)), 0))
  )
)</f>
        <v>860.02592855390947</v>
      </c>
      <c r="BF25" s="32">
        <f t="array" ref="BF25">IF(COLUMN() - ($E25 + 5) &lt; 0, 0,
  IF(COLUMN() - ($E25 + 5) = 0, $F25,
    BE25 * (1 - IFERROR(INDEX('Inputs &amp; Assuptions'!$C$13:$C$72, COLUMN() - ($E25 + 5)), 0))
  )
)</f>
        <v>855.72579891113992</v>
      </c>
      <c r="BG25" s="32">
        <f t="array" ref="BG25">IF(COLUMN() - ($E25 + 5) &lt; 0, 0,
  IF(COLUMN() - ($E25 + 5) = 0, $F25,
    BF25 * (1 - IFERROR(INDEX('Inputs &amp; Assuptions'!$C$13:$C$72, COLUMN() - ($E25 + 5)), 0))
  )
)</f>
        <v>851.44716991658424</v>
      </c>
      <c r="BH25" s="32">
        <f t="array" ref="BH25">IF(COLUMN() - ($E25 + 5) &lt; 0, 0,
  IF(COLUMN() - ($E25 + 5) = 0, $F25,
    BG25 * (1 - IFERROR(INDEX('Inputs &amp; Assuptions'!$C$13:$C$72, COLUMN() - ($E25 + 5)), 0))
  )
)</f>
        <v>847.18993406700133</v>
      </c>
      <c r="BI25" s="32">
        <f t="array" ref="BI25">IF(COLUMN() - ($E25 + 5) &lt; 0, 0,
  IF(COLUMN() - ($E25 + 5) = 0, $F25,
    BH25 * (1 - IFERROR(INDEX('Inputs &amp; Assuptions'!$C$13:$C$72, COLUMN() - ($E25 + 5)), 0))
  )
)</f>
        <v>842.95398439666633</v>
      </c>
      <c r="BJ25" s="32">
        <f t="array" ref="BJ25">IF(COLUMN() - ($E25 + 5) &lt; 0, 0,
  IF(COLUMN() - ($E25 + 5) = 0, $F25,
    BI25 * (1 - IFERROR(INDEX('Inputs &amp; Assuptions'!$C$13:$C$72, COLUMN() - ($E25 + 5)), 0))
  )
)</f>
        <v>838.73921447468297</v>
      </c>
      <c r="BK25" s="32">
        <f t="array" ref="BK25">IF(COLUMN() - ($E25 + 5) &lt; 0, 0,
  IF(COLUMN() - ($E25 + 5) = 0, $F25,
    BJ25 * (1 - IFERROR(INDEX('Inputs &amp; Assuptions'!$C$13:$C$72, COLUMN() - ($E25 + 5)), 0))
  )
)</f>
        <v>834.54551840230954</v>
      </c>
      <c r="BL25" s="32">
        <f t="array" ref="BL25">IF(COLUMN() - ($E25 + 5) &lt; 0, 0,
  IF(COLUMN() - ($E25 + 5) = 0, $F25,
    BK25 * (1 - IFERROR(INDEX('Inputs &amp; Assuptions'!$C$13:$C$72, COLUMN() - ($E25 + 5)), 0))
  )
)</f>
        <v>830.37279081029794</v>
      </c>
      <c r="BM25" s="66">
        <f t="array" ref="BM25">IF(COLUMN() - ($E25 + 5) &lt; 0, 0,
  IF(COLUMN() - ($E25 + 5) = 0, $F25,
    BL25 * (1 - IFERROR(INDEX('Inputs &amp; Assuptions'!$C$13:$C$72, COLUMN() - ($E25 + 5)), 0))
  )
)</f>
        <v>826.22092685624648</v>
      </c>
      <c r="BN25" s="33"/>
    </row>
    <row r="26" spans="1:66" x14ac:dyDescent="0.3">
      <c r="A26" s="71">
        <f t="shared" si="2"/>
        <v>21</v>
      </c>
      <c r="B26" s="75">
        <f t="shared" si="4"/>
        <v>1575</v>
      </c>
      <c r="C26" s="81">
        <f>$B26*(1-'Inputs &amp; Assuptions'!$C$12)</f>
        <v>1228.5</v>
      </c>
      <c r="E26" s="71">
        <f t="shared" si="3"/>
        <v>21</v>
      </c>
      <c r="F26" s="6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>
        <f>$C26</f>
        <v>1228.5</v>
      </c>
      <c r="AA26" s="32">
        <f t="array" ref="AA26">IF(COLUMN() - ($E26 + 5) &lt; 0, 0,
  IF(COLUMN() - ($E26 + 5) = 0, $F26,
    Z26 * (1 - IFERROR(INDEX('Inputs &amp; Assuptions'!$C$13:$C$72, COLUMN() - ($E26 + 5)), 0))
  )
)</f>
        <v>1164.0037500000001</v>
      </c>
      <c r="AB26" s="32">
        <f t="array" ref="AB26">IF(COLUMN() - ($E26 + 5) &lt; 0, 0,
  IF(COLUMN() - ($E26 + 5) = 0, $F26,
    AA26 * (1 - IFERROR(INDEX('Inputs &amp; Assuptions'!$C$13:$C$72, COLUMN() - ($E26 + 5)), 0))
  )
)</f>
        <v>1117.4436000000001</v>
      </c>
      <c r="AC26" s="32">
        <f t="array" ref="AC26">IF(COLUMN() - ($E26 + 5) &lt; 0, 0,
  IF(COLUMN() - ($E26 + 5) = 0, $F26,
    AB26 * (1 - IFERROR(INDEX('Inputs &amp; Assuptions'!$C$13:$C$72, COLUMN() - ($E26 + 5)), 0))
  )
)</f>
        <v>1086.7139010000001</v>
      </c>
      <c r="AD26" s="32">
        <f t="array" ref="AD26">IF(COLUMN() - ($E26 + 5) &lt; 0, 0,
  IF(COLUMN() - ($E26 + 5) = 0, $F26,
    AC26 * (1 - IFERROR(INDEX('Inputs &amp; Assuptions'!$C$13:$C$72, COLUMN() - ($E26 + 5)), 0))
  )
)</f>
        <v>1059.546053475</v>
      </c>
      <c r="AE26" s="32">
        <f t="array" ref="AE26">IF(COLUMN() - ($E26 + 5) &lt; 0, 0,
  IF(COLUMN() - ($E26 + 5) = 0, $F26,
    AD26 * (1 - IFERROR(INDEX('Inputs &amp; Assuptions'!$C$13:$C$72, COLUMN() - ($E26 + 5)), 0))
  )
)</f>
        <v>1035.7062672718125</v>
      </c>
      <c r="AF26" s="32">
        <f t="array" ref="AF26">IF(COLUMN() - ($E26 + 5) &lt; 0, 0,
  IF(COLUMN() - ($E26 + 5) = 0, $F26,
    AE26 * (1 - IFERROR(INDEX('Inputs &amp; Assuptions'!$C$13:$C$72, COLUMN() - ($E26 + 5)), 0))
  )
)</f>
        <v>1014.9921419263762</v>
      </c>
      <c r="AG26" s="32">
        <f t="array" ref="AG26">IF(COLUMN() - ($E26 + 5) &lt; 0, 0,
  IF(COLUMN() - ($E26 + 5) = 0, $F26,
    AF26 * (1 - IFERROR(INDEX('Inputs &amp; Assuptions'!$C$13:$C$72, COLUMN() - ($E26 + 5)), 0))
  )
)</f>
        <v>997.22977944266472</v>
      </c>
      <c r="AH26" s="32">
        <f t="array" ref="AH26">IF(COLUMN() - ($E26 + 5) &lt; 0, 0,
  IF(COLUMN() - ($E26 + 5) = 0, $F26,
    AG26 * (1 - IFERROR(INDEX('Inputs &amp; Assuptions'!$C$13:$C$72, COLUMN() - ($E26 + 5)), 0))
  )
)</f>
        <v>982.27133275102472</v>
      </c>
      <c r="AI26" s="32">
        <f t="array" ref="AI26">IF(COLUMN() - ($E26 + 5) &lt; 0, 0,
  IF(COLUMN() - ($E26 + 5) = 0, $F26,
    AH26 * (1 - IFERROR(INDEX('Inputs &amp; Assuptions'!$C$13:$C$72, COLUMN() - ($E26 + 5)), 0))
  )
)</f>
        <v>969.99294109163691</v>
      </c>
      <c r="AJ26" s="32">
        <f t="array" ref="AJ26">IF(COLUMN() - ($E26 + 5) &lt; 0, 0,
  IF(COLUMN() - ($E26 + 5) = 0, $F26,
    AI26 * (1 - IFERROR(INDEX('Inputs &amp; Assuptions'!$C$13:$C$72, COLUMN() - ($E26 + 5)), 0))
  )
)</f>
        <v>960.2930116807205</v>
      </c>
      <c r="AK26" s="32">
        <f t="array" ref="AK26">IF(COLUMN() - ($E26 + 5) &lt; 0, 0,
  IF(COLUMN() - ($E26 + 5) = 0, $F26,
    AJ26 * (1 - IFERROR(INDEX('Inputs &amp; Assuptions'!$C$13:$C$72, COLUMN() - ($E26 + 5)), 0))
  )
)</f>
        <v>955.49154662231695</v>
      </c>
      <c r="AL26" s="32">
        <f t="array" ref="AL26">IF(COLUMN() - ($E26 + 5) &lt; 0, 0,
  IF(COLUMN() - ($E26 + 5) = 0, $F26,
    AK26 * (1 - IFERROR(INDEX('Inputs &amp; Assuptions'!$C$13:$C$72, COLUMN() - ($E26 + 5)), 0))
  )
)</f>
        <v>950.71408888920541</v>
      </c>
      <c r="AM26" s="32">
        <f t="array" ref="AM26">IF(COLUMN() - ($E26 + 5) &lt; 0, 0,
  IF(COLUMN() - ($E26 + 5) = 0, $F26,
    AL26 * (1 - IFERROR(INDEX('Inputs &amp; Assuptions'!$C$13:$C$72, COLUMN() - ($E26 + 5)), 0))
  )
)</f>
        <v>945.96051844475937</v>
      </c>
      <c r="AN26" s="32">
        <f t="array" ref="AN26">IF(COLUMN() - ($E26 + 5) &lt; 0, 0,
  IF(COLUMN() - ($E26 + 5) = 0, $F26,
    AM26 * (1 - IFERROR(INDEX('Inputs &amp; Assuptions'!$C$13:$C$72, COLUMN() - ($E26 + 5)), 0))
  )
)</f>
        <v>941.23071585253558</v>
      </c>
      <c r="AO26" s="32">
        <f t="array" ref="AO26">IF(COLUMN() - ($E26 + 5) &lt; 0, 0,
  IF(COLUMN() - ($E26 + 5) = 0, $F26,
    AN26 * (1 - IFERROR(INDEX('Inputs &amp; Assuptions'!$C$13:$C$72, COLUMN() - ($E26 + 5)), 0))
  )
)</f>
        <v>936.52456227327286</v>
      </c>
      <c r="AP26" s="32">
        <f t="array" ref="AP26">IF(COLUMN() - ($E26 + 5) &lt; 0, 0,
  IF(COLUMN() - ($E26 + 5) = 0, $F26,
    AO26 * (1 - IFERROR(INDEX('Inputs &amp; Assuptions'!$C$13:$C$72, COLUMN() - ($E26 + 5)), 0))
  )
)</f>
        <v>931.84193946190646</v>
      </c>
      <c r="AQ26" s="32">
        <f t="array" ref="AQ26">IF(COLUMN() - ($E26 + 5) &lt; 0, 0,
  IF(COLUMN() - ($E26 + 5) = 0, $F26,
    AP26 * (1 - IFERROR(INDEX('Inputs &amp; Assuptions'!$C$13:$C$72, COLUMN() - ($E26 + 5)), 0))
  )
)</f>
        <v>927.18272976459696</v>
      </c>
      <c r="AR26" s="32">
        <f t="array" ref="AR26">IF(COLUMN() - ($E26 + 5) &lt; 0, 0,
  IF(COLUMN() - ($E26 + 5) = 0, $F26,
    AQ26 * (1 - IFERROR(INDEX('Inputs &amp; Assuptions'!$C$13:$C$72, COLUMN() - ($E26 + 5)), 0))
  )
)</f>
        <v>922.54681611577394</v>
      </c>
      <c r="AS26" s="32">
        <f t="array" ref="AS26">IF(COLUMN() - ($E26 + 5) &lt; 0, 0,
  IF(COLUMN() - ($E26 + 5) = 0, $F26,
    AR26 * (1 - IFERROR(INDEX('Inputs &amp; Assuptions'!$C$13:$C$72, COLUMN() - ($E26 + 5)), 0))
  )
)</f>
        <v>917.93408203519505</v>
      </c>
      <c r="AT26" s="32">
        <f t="array" ref="AT26">IF(COLUMN() - ($E26 + 5) &lt; 0, 0,
  IF(COLUMN() - ($E26 + 5) = 0, $F26,
    AS26 * (1 - IFERROR(INDEX('Inputs &amp; Assuptions'!$C$13:$C$72, COLUMN() - ($E26 + 5)), 0))
  )
)</f>
        <v>913.34441162501912</v>
      </c>
      <c r="AU26" s="32">
        <f t="array" ref="AU26">IF(COLUMN() - ($E26 + 5) &lt; 0, 0,
  IF(COLUMN() - ($E26 + 5) = 0, $F26,
    AT26 * (1 - IFERROR(INDEX('Inputs &amp; Assuptions'!$C$13:$C$72, COLUMN() - ($E26 + 5)), 0))
  )
)</f>
        <v>908.77768956689397</v>
      </c>
      <c r="AV26" s="32">
        <f t="array" ref="AV26">IF(COLUMN() - ($E26 + 5) &lt; 0, 0,
  IF(COLUMN() - ($E26 + 5) = 0, $F26,
    AU26 * (1 - IFERROR(INDEX('Inputs &amp; Assuptions'!$C$13:$C$72, COLUMN() - ($E26 + 5)), 0))
  )
)</f>
        <v>904.23380111905954</v>
      </c>
      <c r="AW26" s="32">
        <f t="array" ref="AW26">IF(COLUMN() - ($E26 + 5) &lt; 0, 0,
  IF(COLUMN() - ($E26 + 5) = 0, $F26,
    AV26 * (1 - IFERROR(INDEX('Inputs &amp; Assuptions'!$C$13:$C$72, COLUMN() - ($E26 + 5)), 0))
  )
)</f>
        <v>899.71263211346422</v>
      </c>
      <c r="AX26" s="32">
        <f t="array" ref="AX26">IF(COLUMN() - ($E26 + 5) &lt; 0, 0,
  IF(COLUMN() - ($E26 + 5) = 0, $F26,
    AW26 * (1 - IFERROR(INDEX('Inputs &amp; Assuptions'!$C$13:$C$72, COLUMN() - ($E26 + 5)), 0))
  )
)</f>
        <v>895.21406895289692</v>
      </c>
      <c r="AY26" s="32">
        <f t="array" ref="AY26">IF(COLUMN() - ($E26 + 5) &lt; 0, 0,
  IF(COLUMN() - ($E26 + 5) = 0, $F26,
    AX26 * (1 - IFERROR(INDEX('Inputs &amp; Assuptions'!$C$13:$C$72, COLUMN() - ($E26 + 5)), 0))
  )
)</f>
        <v>890.73799860813244</v>
      </c>
      <c r="AZ26" s="32">
        <f t="array" ref="AZ26">IF(COLUMN() - ($E26 + 5) &lt; 0, 0,
  IF(COLUMN() - ($E26 + 5) = 0, $F26,
    AY26 * (1 - IFERROR(INDEX('Inputs &amp; Assuptions'!$C$13:$C$72, COLUMN() - ($E26 + 5)), 0))
  )
)</f>
        <v>886.28430861509173</v>
      </c>
      <c r="BA26" s="32">
        <f t="array" ref="BA26">IF(COLUMN() - ($E26 + 5) &lt; 0, 0,
  IF(COLUMN() - ($E26 + 5) = 0, $F26,
    AZ26 * (1 - IFERROR(INDEX('Inputs &amp; Assuptions'!$C$13:$C$72, COLUMN() - ($E26 + 5)), 0))
  )
)</f>
        <v>881.8528870720163</v>
      </c>
      <c r="BB26" s="32">
        <f t="array" ref="BB26">IF(COLUMN() - ($E26 + 5) &lt; 0, 0,
  IF(COLUMN() - ($E26 + 5) = 0, $F26,
    BA26 * (1 - IFERROR(INDEX('Inputs &amp; Assuptions'!$C$13:$C$72, COLUMN() - ($E26 + 5)), 0))
  )
)</f>
        <v>877.44362263665619</v>
      </c>
      <c r="BC26" s="32">
        <f t="array" ref="BC26">IF(COLUMN() - ($E26 + 5) &lt; 0, 0,
  IF(COLUMN() - ($E26 + 5) = 0, $F26,
    BB26 * (1 - IFERROR(INDEX('Inputs &amp; Assuptions'!$C$13:$C$72, COLUMN() - ($E26 + 5)), 0))
  )
)</f>
        <v>873.05640452347291</v>
      </c>
      <c r="BD26" s="32">
        <f t="array" ref="BD26">IF(COLUMN() - ($E26 + 5) &lt; 0, 0,
  IF(COLUMN() - ($E26 + 5) = 0, $F26,
    BC26 * (1 - IFERROR(INDEX('Inputs &amp; Assuptions'!$C$13:$C$72, COLUMN() - ($E26 + 5)), 0))
  )
)</f>
        <v>868.6911225008555</v>
      </c>
      <c r="BE26" s="32">
        <f t="array" ref="BE26">IF(COLUMN() - ($E26 + 5) &lt; 0, 0,
  IF(COLUMN() - ($E26 + 5) = 0, $F26,
    BD26 * (1 - IFERROR(INDEX('Inputs &amp; Assuptions'!$C$13:$C$72, COLUMN() - ($E26 + 5)), 0))
  )
)</f>
        <v>864.34766688835123</v>
      </c>
      <c r="BF26" s="32">
        <f t="array" ref="BF26">IF(COLUMN() - ($E26 + 5) &lt; 0, 0,
  IF(COLUMN() - ($E26 + 5) = 0, $F26,
    BE26 * (1 - IFERROR(INDEX('Inputs &amp; Assuptions'!$C$13:$C$72, COLUMN() - ($E26 + 5)), 0))
  )
)</f>
        <v>860.02592855390947</v>
      </c>
      <c r="BG26" s="32">
        <f t="array" ref="BG26">IF(COLUMN() - ($E26 + 5) &lt; 0, 0,
  IF(COLUMN() - ($E26 + 5) = 0, $F26,
    BF26 * (1 - IFERROR(INDEX('Inputs &amp; Assuptions'!$C$13:$C$72, COLUMN() - ($E26 + 5)), 0))
  )
)</f>
        <v>855.72579891113992</v>
      </c>
      <c r="BH26" s="32">
        <f t="array" ref="BH26">IF(COLUMN() - ($E26 + 5) &lt; 0, 0,
  IF(COLUMN() - ($E26 + 5) = 0, $F26,
    BG26 * (1 - IFERROR(INDEX('Inputs &amp; Assuptions'!$C$13:$C$72, COLUMN() - ($E26 + 5)), 0))
  )
)</f>
        <v>851.44716991658424</v>
      </c>
      <c r="BI26" s="32">
        <f t="array" ref="BI26">IF(COLUMN() - ($E26 + 5) &lt; 0, 0,
  IF(COLUMN() - ($E26 + 5) = 0, $F26,
    BH26 * (1 - IFERROR(INDEX('Inputs &amp; Assuptions'!$C$13:$C$72, COLUMN() - ($E26 + 5)), 0))
  )
)</f>
        <v>847.18993406700133</v>
      </c>
      <c r="BJ26" s="32">
        <f t="array" ref="BJ26">IF(COLUMN() - ($E26 + 5) &lt; 0, 0,
  IF(COLUMN() - ($E26 + 5) = 0, $F26,
    BI26 * (1 - IFERROR(INDEX('Inputs &amp; Assuptions'!$C$13:$C$72, COLUMN() - ($E26 + 5)), 0))
  )
)</f>
        <v>842.95398439666633</v>
      </c>
      <c r="BK26" s="32">
        <f t="array" ref="BK26">IF(COLUMN() - ($E26 + 5) &lt; 0, 0,
  IF(COLUMN() - ($E26 + 5) = 0, $F26,
    BJ26 * (1 - IFERROR(INDEX('Inputs &amp; Assuptions'!$C$13:$C$72, COLUMN() - ($E26 + 5)), 0))
  )
)</f>
        <v>838.73921447468297</v>
      </c>
      <c r="BL26" s="32">
        <f t="array" ref="BL26">IF(COLUMN() - ($E26 + 5) &lt; 0, 0,
  IF(COLUMN() - ($E26 + 5) = 0, $F26,
    BK26 * (1 - IFERROR(INDEX('Inputs &amp; Assuptions'!$C$13:$C$72, COLUMN() - ($E26 + 5)), 0))
  )
)</f>
        <v>834.54551840230954</v>
      </c>
      <c r="BM26" s="66">
        <f t="array" ref="BM26">IF(COLUMN() - ($E26 + 5) &lt; 0, 0,
  IF(COLUMN() - ($E26 + 5) = 0, $F26,
    BL26 * (1 - IFERROR(INDEX('Inputs &amp; Assuptions'!$C$13:$C$72, COLUMN() - ($E26 + 5)), 0))
  )
)</f>
        <v>830.37279081029794</v>
      </c>
      <c r="BN26" s="33"/>
    </row>
    <row r="27" spans="1:66" x14ac:dyDescent="0.3">
      <c r="A27" s="71">
        <f t="shared" si="2"/>
        <v>22</v>
      </c>
      <c r="B27" s="75">
        <f t="shared" si="4"/>
        <v>1575</v>
      </c>
      <c r="C27" s="81">
        <f>$B27*(1-'Inputs &amp; Assuptions'!$C$12)</f>
        <v>1228.5</v>
      </c>
      <c r="E27" s="71">
        <f t="shared" si="3"/>
        <v>22</v>
      </c>
      <c r="F27" s="65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>
        <f>$C27</f>
        <v>1228.5</v>
      </c>
      <c r="AB27" s="32">
        <f t="array" ref="AB27">IF(COLUMN() - ($E27 + 5) &lt; 0, 0,
  IF(COLUMN() - ($E27 + 5) = 0, $F27,
    AA27 * (1 - IFERROR(INDEX('Inputs &amp; Assuptions'!$C$13:$C$72, COLUMN() - ($E27 + 5)), 0))
  )
)</f>
        <v>1164.0037500000001</v>
      </c>
      <c r="AC27" s="32">
        <f t="array" ref="AC27">IF(COLUMN() - ($E27 + 5) &lt; 0, 0,
  IF(COLUMN() - ($E27 + 5) = 0, $F27,
    AB27 * (1 - IFERROR(INDEX('Inputs &amp; Assuptions'!$C$13:$C$72, COLUMN() - ($E27 + 5)), 0))
  )
)</f>
        <v>1117.4436000000001</v>
      </c>
      <c r="AD27" s="32">
        <f t="array" ref="AD27">IF(COLUMN() - ($E27 + 5) &lt; 0, 0,
  IF(COLUMN() - ($E27 + 5) = 0, $F27,
    AC27 * (1 - IFERROR(INDEX('Inputs &amp; Assuptions'!$C$13:$C$72, COLUMN() - ($E27 + 5)), 0))
  )
)</f>
        <v>1086.7139010000001</v>
      </c>
      <c r="AE27" s="32">
        <f t="array" ref="AE27">IF(COLUMN() - ($E27 + 5) &lt; 0, 0,
  IF(COLUMN() - ($E27 + 5) = 0, $F27,
    AD27 * (1 - IFERROR(INDEX('Inputs &amp; Assuptions'!$C$13:$C$72, COLUMN() - ($E27 + 5)), 0))
  )
)</f>
        <v>1059.546053475</v>
      </c>
      <c r="AF27" s="32">
        <f t="array" ref="AF27">IF(COLUMN() - ($E27 + 5) &lt; 0, 0,
  IF(COLUMN() - ($E27 + 5) = 0, $F27,
    AE27 * (1 - IFERROR(INDEX('Inputs &amp; Assuptions'!$C$13:$C$72, COLUMN() - ($E27 + 5)), 0))
  )
)</f>
        <v>1035.7062672718125</v>
      </c>
      <c r="AG27" s="32">
        <f t="array" ref="AG27">IF(COLUMN() - ($E27 + 5) &lt; 0, 0,
  IF(COLUMN() - ($E27 + 5) = 0, $F27,
    AF27 * (1 - IFERROR(INDEX('Inputs &amp; Assuptions'!$C$13:$C$72, COLUMN() - ($E27 + 5)), 0))
  )
)</f>
        <v>1014.9921419263762</v>
      </c>
      <c r="AH27" s="32">
        <f t="array" ref="AH27">IF(COLUMN() - ($E27 + 5) &lt; 0, 0,
  IF(COLUMN() - ($E27 + 5) = 0, $F27,
    AG27 * (1 - IFERROR(INDEX('Inputs &amp; Assuptions'!$C$13:$C$72, COLUMN() - ($E27 + 5)), 0))
  )
)</f>
        <v>997.22977944266472</v>
      </c>
      <c r="AI27" s="32">
        <f t="array" ref="AI27">IF(COLUMN() - ($E27 + 5) &lt; 0, 0,
  IF(COLUMN() - ($E27 + 5) = 0, $F27,
    AH27 * (1 - IFERROR(INDEX('Inputs &amp; Assuptions'!$C$13:$C$72, COLUMN() - ($E27 + 5)), 0))
  )
)</f>
        <v>982.27133275102472</v>
      </c>
      <c r="AJ27" s="32">
        <f t="array" ref="AJ27">IF(COLUMN() - ($E27 + 5) &lt; 0, 0,
  IF(COLUMN() - ($E27 + 5) = 0, $F27,
    AI27 * (1 - IFERROR(INDEX('Inputs &amp; Assuptions'!$C$13:$C$72, COLUMN() - ($E27 + 5)), 0))
  )
)</f>
        <v>969.99294109163691</v>
      </c>
      <c r="AK27" s="32">
        <f t="array" ref="AK27">IF(COLUMN() - ($E27 + 5) &lt; 0, 0,
  IF(COLUMN() - ($E27 + 5) = 0, $F27,
    AJ27 * (1 - IFERROR(INDEX('Inputs &amp; Assuptions'!$C$13:$C$72, COLUMN() - ($E27 + 5)), 0))
  )
)</f>
        <v>960.2930116807205</v>
      </c>
      <c r="AL27" s="32">
        <f t="array" ref="AL27">IF(COLUMN() - ($E27 + 5) &lt; 0, 0,
  IF(COLUMN() - ($E27 + 5) = 0, $F27,
    AK27 * (1 - IFERROR(INDEX('Inputs &amp; Assuptions'!$C$13:$C$72, COLUMN() - ($E27 + 5)), 0))
  )
)</f>
        <v>955.49154662231695</v>
      </c>
      <c r="AM27" s="32">
        <f t="array" ref="AM27">IF(COLUMN() - ($E27 + 5) &lt; 0, 0,
  IF(COLUMN() - ($E27 + 5) = 0, $F27,
    AL27 * (1 - IFERROR(INDEX('Inputs &amp; Assuptions'!$C$13:$C$72, COLUMN() - ($E27 + 5)), 0))
  )
)</f>
        <v>950.71408888920541</v>
      </c>
      <c r="AN27" s="32">
        <f t="array" ref="AN27">IF(COLUMN() - ($E27 + 5) &lt; 0, 0,
  IF(COLUMN() - ($E27 + 5) = 0, $F27,
    AM27 * (1 - IFERROR(INDEX('Inputs &amp; Assuptions'!$C$13:$C$72, COLUMN() - ($E27 + 5)), 0))
  )
)</f>
        <v>945.96051844475937</v>
      </c>
      <c r="AO27" s="32">
        <f t="array" ref="AO27">IF(COLUMN() - ($E27 + 5) &lt; 0, 0,
  IF(COLUMN() - ($E27 + 5) = 0, $F27,
    AN27 * (1 - IFERROR(INDEX('Inputs &amp; Assuptions'!$C$13:$C$72, COLUMN() - ($E27 + 5)), 0))
  )
)</f>
        <v>941.23071585253558</v>
      </c>
      <c r="AP27" s="32">
        <f t="array" ref="AP27">IF(COLUMN() - ($E27 + 5) &lt; 0, 0,
  IF(COLUMN() - ($E27 + 5) = 0, $F27,
    AO27 * (1 - IFERROR(INDEX('Inputs &amp; Assuptions'!$C$13:$C$72, COLUMN() - ($E27 + 5)), 0))
  )
)</f>
        <v>936.52456227327286</v>
      </c>
      <c r="AQ27" s="32">
        <f t="array" ref="AQ27">IF(COLUMN() - ($E27 + 5) &lt; 0, 0,
  IF(COLUMN() - ($E27 + 5) = 0, $F27,
    AP27 * (1 - IFERROR(INDEX('Inputs &amp; Assuptions'!$C$13:$C$72, COLUMN() - ($E27 + 5)), 0))
  )
)</f>
        <v>931.84193946190646</v>
      </c>
      <c r="AR27" s="32">
        <f t="array" ref="AR27">IF(COLUMN() - ($E27 + 5) &lt; 0, 0,
  IF(COLUMN() - ($E27 + 5) = 0, $F27,
    AQ27 * (1 - IFERROR(INDEX('Inputs &amp; Assuptions'!$C$13:$C$72, COLUMN() - ($E27 + 5)), 0))
  )
)</f>
        <v>927.18272976459696</v>
      </c>
      <c r="AS27" s="32">
        <f t="array" ref="AS27">IF(COLUMN() - ($E27 + 5) &lt; 0, 0,
  IF(COLUMN() - ($E27 + 5) = 0, $F27,
    AR27 * (1 - IFERROR(INDEX('Inputs &amp; Assuptions'!$C$13:$C$72, COLUMN() - ($E27 + 5)), 0))
  )
)</f>
        <v>922.54681611577394</v>
      </c>
      <c r="AT27" s="32">
        <f t="array" ref="AT27">IF(COLUMN() - ($E27 + 5) &lt; 0, 0,
  IF(COLUMN() - ($E27 + 5) = 0, $F27,
    AS27 * (1 - IFERROR(INDEX('Inputs &amp; Assuptions'!$C$13:$C$72, COLUMN() - ($E27 + 5)), 0))
  )
)</f>
        <v>917.93408203519505</v>
      </c>
      <c r="AU27" s="32">
        <f t="array" ref="AU27">IF(COLUMN() - ($E27 + 5) &lt; 0, 0,
  IF(COLUMN() - ($E27 + 5) = 0, $F27,
    AT27 * (1 - IFERROR(INDEX('Inputs &amp; Assuptions'!$C$13:$C$72, COLUMN() - ($E27 + 5)), 0))
  )
)</f>
        <v>913.34441162501912</v>
      </c>
      <c r="AV27" s="32">
        <f t="array" ref="AV27">IF(COLUMN() - ($E27 + 5) &lt; 0, 0,
  IF(COLUMN() - ($E27 + 5) = 0, $F27,
    AU27 * (1 - IFERROR(INDEX('Inputs &amp; Assuptions'!$C$13:$C$72, COLUMN() - ($E27 + 5)), 0))
  )
)</f>
        <v>908.77768956689397</v>
      </c>
      <c r="AW27" s="32">
        <f t="array" ref="AW27">IF(COLUMN() - ($E27 + 5) &lt; 0, 0,
  IF(COLUMN() - ($E27 + 5) = 0, $F27,
    AV27 * (1 - IFERROR(INDEX('Inputs &amp; Assuptions'!$C$13:$C$72, COLUMN() - ($E27 + 5)), 0))
  )
)</f>
        <v>904.23380111905954</v>
      </c>
      <c r="AX27" s="32">
        <f t="array" ref="AX27">IF(COLUMN() - ($E27 + 5) &lt; 0, 0,
  IF(COLUMN() - ($E27 + 5) = 0, $F27,
    AW27 * (1 - IFERROR(INDEX('Inputs &amp; Assuptions'!$C$13:$C$72, COLUMN() - ($E27 + 5)), 0))
  )
)</f>
        <v>899.71263211346422</v>
      </c>
      <c r="AY27" s="32">
        <f t="array" ref="AY27">IF(COLUMN() - ($E27 + 5) &lt; 0, 0,
  IF(COLUMN() - ($E27 + 5) = 0, $F27,
    AX27 * (1 - IFERROR(INDEX('Inputs &amp; Assuptions'!$C$13:$C$72, COLUMN() - ($E27 + 5)), 0))
  )
)</f>
        <v>895.21406895289692</v>
      </c>
      <c r="AZ27" s="32">
        <f t="array" ref="AZ27">IF(COLUMN() - ($E27 + 5) &lt; 0, 0,
  IF(COLUMN() - ($E27 + 5) = 0, $F27,
    AY27 * (1 - IFERROR(INDEX('Inputs &amp; Assuptions'!$C$13:$C$72, COLUMN() - ($E27 + 5)), 0))
  )
)</f>
        <v>890.73799860813244</v>
      </c>
      <c r="BA27" s="32">
        <f t="array" ref="BA27">IF(COLUMN() - ($E27 + 5) &lt; 0, 0,
  IF(COLUMN() - ($E27 + 5) = 0, $F27,
    AZ27 * (1 - IFERROR(INDEX('Inputs &amp; Assuptions'!$C$13:$C$72, COLUMN() - ($E27 + 5)), 0))
  )
)</f>
        <v>886.28430861509173</v>
      </c>
      <c r="BB27" s="32">
        <f t="array" ref="BB27">IF(COLUMN() - ($E27 + 5) &lt; 0, 0,
  IF(COLUMN() - ($E27 + 5) = 0, $F27,
    BA27 * (1 - IFERROR(INDEX('Inputs &amp; Assuptions'!$C$13:$C$72, COLUMN() - ($E27 + 5)), 0))
  )
)</f>
        <v>881.8528870720163</v>
      </c>
      <c r="BC27" s="32">
        <f t="array" ref="BC27">IF(COLUMN() - ($E27 + 5) &lt; 0, 0,
  IF(COLUMN() - ($E27 + 5) = 0, $F27,
    BB27 * (1 - IFERROR(INDEX('Inputs &amp; Assuptions'!$C$13:$C$72, COLUMN() - ($E27 + 5)), 0))
  )
)</f>
        <v>877.44362263665619</v>
      </c>
      <c r="BD27" s="32">
        <f t="array" ref="BD27">IF(COLUMN() - ($E27 + 5) &lt; 0, 0,
  IF(COLUMN() - ($E27 + 5) = 0, $F27,
    BC27 * (1 - IFERROR(INDEX('Inputs &amp; Assuptions'!$C$13:$C$72, COLUMN() - ($E27 + 5)), 0))
  )
)</f>
        <v>873.05640452347291</v>
      </c>
      <c r="BE27" s="32">
        <f t="array" ref="BE27">IF(COLUMN() - ($E27 + 5) &lt; 0, 0,
  IF(COLUMN() - ($E27 + 5) = 0, $F27,
    BD27 * (1 - IFERROR(INDEX('Inputs &amp; Assuptions'!$C$13:$C$72, COLUMN() - ($E27 + 5)), 0))
  )
)</f>
        <v>868.6911225008555</v>
      </c>
      <c r="BF27" s="32">
        <f t="array" ref="BF27">IF(COLUMN() - ($E27 + 5) &lt; 0, 0,
  IF(COLUMN() - ($E27 + 5) = 0, $F27,
    BE27 * (1 - IFERROR(INDEX('Inputs &amp; Assuptions'!$C$13:$C$72, COLUMN() - ($E27 + 5)), 0))
  )
)</f>
        <v>864.34766688835123</v>
      </c>
      <c r="BG27" s="32">
        <f t="array" ref="BG27">IF(COLUMN() - ($E27 + 5) &lt; 0, 0,
  IF(COLUMN() - ($E27 + 5) = 0, $F27,
    BF27 * (1 - IFERROR(INDEX('Inputs &amp; Assuptions'!$C$13:$C$72, COLUMN() - ($E27 + 5)), 0))
  )
)</f>
        <v>860.02592855390947</v>
      </c>
      <c r="BH27" s="32">
        <f t="array" ref="BH27">IF(COLUMN() - ($E27 + 5) &lt; 0, 0,
  IF(COLUMN() - ($E27 + 5) = 0, $F27,
    BG27 * (1 - IFERROR(INDEX('Inputs &amp; Assuptions'!$C$13:$C$72, COLUMN() - ($E27 + 5)), 0))
  )
)</f>
        <v>855.72579891113992</v>
      </c>
      <c r="BI27" s="32">
        <f t="array" ref="BI27">IF(COLUMN() - ($E27 + 5) &lt; 0, 0,
  IF(COLUMN() - ($E27 + 5) = 0, $F27,
    BH27 * (1 - IFERROR(INDEX('Inputs &amp; Assuptions'!$C$13:$C$72, COLUMN() - ($E27 + 5)), 0))
  )
)</f>
        <v>851.44716991658424</v>
      </c>
      <c r="BJ27" s="32">
        <f t="array" ref="BJ27">IF(COLUMN() - ($E27 + 5) &lt; 0, 0,
  IF(COLUMN() - ($E27 + 5) = 0, $F27,
    BI27 * (1 - IFERROR(INDEX('Inputs &amp; Assuptions'!$C$13:$C$72, COLUMN() - ($E27 + 5)), 0))
  )
)</f>
        <v>847.18993406700133</v>
      </c>
      <c r="BK27" s="32">
        <f t="array" ref="BK27">IF(COLUMN() - ($E27 + 5) &lt; 0, 0,
  IF(COLUMN() - ($E27 + 5) = 0, $F27,
    BJ27 * (1 - IFERROR(INDEX('Inputs &amp; Assuptions'!$C$13:$C$72, COLUMN() - ($E27 + 5)), 0))
  )
)</f>
        <v>842.95398439666633</v>
      </c>
      <c r="BL27" s="32">
        <f t="array" ref="BL27">IF(COLUMN() - ($E27 + 5) &lt; 0, 0,
  IF(COLUMN() - ($E27 + 5) = 0, $F27,
    BK27 * (1 - IFERROR(INDEX('Inputs &amp; Assuptions'!$C$13:$C$72, COLUMN() - ($E27 + 5)), 0))
  )
)</f>
        <v>838.73921447468297</v>
      </c>
      <c r="BM27" s="66">
        <f t="array" ref="BM27">IF(COLUMN() - ($E27 + 5) &lt; 0, 0,
  IF(COLUMN() - ($E27 + 5) = 0, $F27,
    BL27 * (1 - IFERROR(INDEX('Inputs &amp; Assuptions'!$C$13:$C$72, COLUMN() - ($E27 + 5)), 0))
  )
)</f>
        <v>834.54551840230954</v>
      </c>
      <c r="BN27" s="33"/>
    </row>
    <row r="28" spans="1:66" x14ac:dyDescent="0.3">
      <c r="A28" s="71">
        <f t="shared" si="2"/>
        <v>23</v>
      </c>
      <c r="B28" s="75">
        <f t="shared" si="4"/>
        <v>1575</v>
      </c>
      <c r="C28" s="81">
        <f>$B28*(1-'Inputs &amp; Assuptions'!$C$12)</f>
        <v>1228.5</v>
      </c>
      <c r="E28" s="71">
        <f t="shared" si="3"/>
        <v>23</v>
      </c>
      <c r="F28" s="65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>
        <f>$C28</f>
        <v>1228.5</v>
      </c>
      <c r="AC28" s="32">
        <f t="array" ref="AC28">IF(COLUMN() - ($E28 + 5) &lt; 0, 0,
  IF(COLUMN() - ($E28 + 5) = 0, $F28,
    AB28 * (1 - IFERROR(INDEX('Inputs &amp; Assuptions'!$C$13:$C$72, COLUMN() - ($E28 + 5)), 0))
  )
)</f>
        <v>1164.0037500000001</v>
      </c>
      <c r="AD28" s="32">
        <f t="array" ref="AD28">IF(COLUMN() - ($E28 + 5) &lt; 0, 0,
  IF(COLUMN() - ($E28 + 5) = 0, $F28,
    AC28 * (1 - IFERROR(INDEX('Inputs &amp; Assuptions'!$C$13:$C$72, COLUMN() - ($E28 + 5)), 0))
  )
)</f>
        <v>1117.4436000000001</v>
      </c>
      <c r="AE28" s="32">
        <f t="array" ref="AE28">IF(COLUMN() - ($E28 + 5) &lt; 0, 0,
  IF(COLUMN() - ($E28 + 5) = 0, $F28,
    AD28 * (1 - IFERROR(INDEX('Inputs &amp; Assuptions'!$C$13:$C$72, COLUMN() - ($E28 + 5)), 0))
  )
)</f>
        <v>1086.7139010000001</v>
      </c>
      <c r="AF28" s="32">
        <f t="array" ref="AF28">IF(COLUMN() - ($E28 + 5) &lt; 0, 0,
  IF(COLUMN() - ($E28 + 5) = 0, $F28,
    AE28 * (1 - IFERROR(INDEX('Inputs &amp; Assuptions'!$C$13:$C$72, COLUMN() - ($E28 + 5)), 0))
  )
)</f>
        <v>1059.546053475</v>
      </c>
      <c r="AG28" s="32">
        <f t="array" ref="AG28">IF(COLUMN() - ($E28 + 5) &lt; 0, 0,
  IF(COLUMN() - ($E28 + 5) = 0, $F28,
    AF28 * (1 - IFERROR(INDEX('Inputs &amp; Assuptions'!$C$13:$C$72, COLUMN() - ($E28 + 5)), 0))
  )
)</f>
        <v>1035.7062672718125</v>
      </c>
      <c r="AH28" s="32">
        <f t="array" ref="AH28">IF(COLUMN() - ($E28 + 5) &lt; 0, 0,
  IF(COLUMN() - ($E28 + 5) = 0, $F28,
    AG28 * (1 - IFERROR(INDEX('Inputs &amp; Assuptions'!$C$13:$C$72, COLUMN() - ($E28 + 5)), 0))
  )
)</f>
        <v>1014.9921419263762</v>
      </c>
      <c r="AI28" s="32">
        <f t="array" ref="AI28">IF(COLUMN() - ($E28 + 5) &lt; 0, 0,
  IF(COLUMN() - ($E28 + 5) = 0, $F28,
    AH28 * (1 - IFERROR(INDEX('Inputs &amp; Assuptions'!$C$13:$C$72, COLUMN() - ($E28 + 5)), 0))
  )
)</f>
        <v>997.22977944266472</v>
      </c>
      <c r="AJ28" s="32">
        <f t="array" ref="AJ28">IF(COLUMN() - ($E28 + 5) &lt; 0, 0,
  IF(COLUMN() - ($E28 + 5) = 0, $F28,
    AI28 * (1 - IFERROR(INDEX('Inputs &amp; Assuptions'!$C$13:$C$72, COLUMN() - ($E28 + 5)), 0))
  )
)</f>
        <v>982.27133275102472</v>
      </c>
      <c r="AK28" s="32">
        <f t="array" ref="AK28">IF(COLUMN() - ($E28 + 5) &lt; 0, 0,
  IF(COLUMN() - ($E28 + 5) = 0, $F28,
    AJ28 * (1 - IFERROR(INDEX('Inputs &amp; Assuptions'!$C$13:$C$72, COLUMN() - ($E28 + 5)), 0))
  )
)</f>
        <v>969.99294109163691</v>
      </c>
      <c r="AL28" s="32">
        <f t="array" ref="AL28">IF(COLUMN() - ($E28 + 5) &lt; 0, 0,
  IF(COLUMN() - ($E28 + 5) = 0, $F28,
    AK28 * (1 - IFERROR(INDEX('Inputs &amp; Assuptions'!$C$13:$C$72, COLUMN() - ($E28 + 5)), 0))
  )
)</f>
        <v>960.2930116807205</v>
      </c>
      <c r="AM28" s="32">
        <f t="array" ref="AM28">IF(COLUMN() - ($E28 + 5) &lt; 0, 0,
  IF(COLUMN() - ($E28 + 5) = 0, $F28,
    AL28 * (1 - IFERROR(INDEX('Inputs &amp; Assuptions'!$C$13:$C$72, COLUMN() - ($E28 + 5)), 0))
  )
)</f>
        <v>955.49154662231695</v>
      </c>
      <c r="AN28" s="32">
        <f t="array" ref="AN28">IF(COLUMN() - ($E28 + 5) &lt; 0, 0,
  IF(COLUMN() - ($E28 + 5) = 0, $F28,
    AM28 * (1 - IFERROR(INDEX('Inputs &amp; Assuptions'!$C$13:$C$72, COLUMN() - ($E28 + 5)), 0))
  )
)</f>
        <v>950.71408888920541</v>
      </c>
      <c r="AO28" s="32">
        <f t="array" ref="AO28">IF(COLUMN() - ($E28 + 5) &lt; 0, 0,
  IF(COLUMN() - ($E28 + 5) = 0, $F28,
    AN28 * (1 - IFERROR(INDEX('Inputs &amp; Assuptions'!$C$13:$C$72, COLUMN() - ($E28 + 5)), 0))
  )
)</f>
        <v>945.96051844475937</v>
      </c>
      <c r="AP28" s="32">
        <f t="array" ref="AP28">IF(COLUMN() - ($E28 + 5) &lt; 0, 0,
  IF(COLUMN() - ($E28 + 5) = 0, $F28,
    AO28 * (1 - IFERROR(INDEX('Inputs &amp; Assuptions'!$C$13:$C$72, COLUMN() - ($E28 + 5)), 0))
  )
)</f>
        <v>941.23071585253558</v>
      </c>
      <c r="AQ28" s="32">
        <f t="array" ref="AQ28">IF(COLUMN() - ($E28 + 5) &lt; 0, 0,
  IF(COLUMN() - ($E28 + 5) = 0, $F28,
    AP28 * (1 - IFERROR(INDEX('Inputs &amp; Assuptions'!$C$13:$C$72, COLUMN() - ($E28 + 5)), 0))
  )
)</f>
        <v>936.52456227327286</v>
      </c>
      <c r="AR28" s="32">
        <f t="array" ref="AR28">IF(COLUMN() - ($E28 + 5) &lt; 0, 0,
  IF(COLUMN() - ($E28 + 5) = 0, $F28,
    AQ28 * (1 - IFERROR(INDEX('Inputs &amp; Assuptions'!$C$13:$C$72, COLUMN() - ($E28 + 5)), 0))
  )
)</f>
        <v>931.84193946190646</v>
      </c>
      <c r="AS28" s="32">
        <f t="array" ref="AS28">IF(COLUMN() - ($E28 + 5) &lt; 0, 0,
  IF(COLUMN() - ($E28 + 5) = 0, $F28,
    AR28 * (1 - IFERROR(INDEX('Inputs &amp; Assuptions'!$C$13:$C$72, COLUMN() - ($E28 + 5)), 0))
  )
)</f>
        <v>927.18272976459696</v>
      </c>
      <c r="AT28" s="32">
        <f t="array" ref="AT28">IF(COLUMN() - ($E28 + 5) &lt; 0, 0,
  IF(COLUMN() - ($E28 + 5) = 0, $F28,
    AS28 * (1 - IFERROR(INDEX('Inputs &amp; Assuptions'!$C$13:$C$72, COLUMN() - ($E28 + 5)), 0))
  )
)</f>
        <v>922.54681611577394</v>
      </c>
      <c r="AU28" s="32">
        <f t="array" ref="AU28">IF(COLUMN() - ($E28 + 5) &lt; 0, 0,
  IF(COLUMN() - ($E28 + 5) = 0, $F28,
    AT28 * (1 - IFERROR(INDEX('Inputs &amp; Assuptions'!$C$13:$C$72, COLUMN() - ($E28 + 5)), 0))
  )
)</f>
        <v>917.93408203519505</v>
      </c>
      <c r="AV28" s="32">
        <f t="array" ref="AV28">IF(COLUMN() - ($E28 + 5) &lt; 0, 0,
  IF(COLUMN() - ($E28 + 5) = 0, $F28,
    AU28 * (1 - IFERROR(INDEX('Inputs &amp; Assuptions'!$C$13:$C$72, COLUMN() - ($E28 + 5)), 0))
  )
)</f>
        <v>913.34441162501912</v>
      </c>
      <c r="AW28" s="32">
        <f t="array" ref="AW28">IF(COLUMN() - ($E28 + 5) &lt; 0, 0,
  IF(COLUMN() - ($E28 + 5) = 0, $F28,
    AV28 * (1 - IFERROR(INDEX('Inputs &amp; Assuptions'!$C$13:$C$72, COLUMN() - ($E28 + 5)), 0))
  )
)</f>
        <v>908.77768956689397</v>
      </c>
      <c r="AX28" s="32">
        <f t="array" ref="AX28">IF(COLUMN() - ($E28 + 5) &lt; 0, 0,
  IF(COLUMN() - ($E28 + 5) = 0, $F28,
    AW28 * (1 - IFERROR(INDEX('Inputs &amp; Assuptions'!$C$13:$C$72, COLUMN() - ($E28 + 5)), 0))
  )
)</f>
        <v>904.23380111905954</v>
      </c>
      <c r="AY28" s="32">
        <f t="array" ref="AY28">IF(COLUMN() - ($E28 + 5) &lt; 0, 0,
  IF(COLUMN() - ($E28 + 5) = 0, $F28,
    AX28 * (1 - IFERROR(INDEX('Inputs &amp; Assuptions'!$C$13:$C$72, COLUMN() - ($E28 + 5)), 0))
  )
)</f>
        <v>899.71263211346422</v>
      </c>
      <c r="AZ28" s="32">
        <f t="array" ref="AZ28">IF(COLUMN() - ($E28 + 5) &lt; 0, 0,
  IF(COLUMN() - ($E28 + 5) = 0, $F28,
    AY28 * (1 - IFERROR(INDEX('Inputs &amp; Assuptions'!$C$13:$C$72, COLUMN() - ($E28 + 5)), 0))
  )
)</f>
        <v>895.21406895289692</v>
      </c>
      <c r="BA28" s="32">
        <f t="array" ref="BA28">IF(COLUMN() - ($E28 + 5) &lt; 0, 0,
  IF(COLUMN() - ($E28 + 5) = 0, $F28,
    AZ28 * (1 - IFERROR(INDEX('Inputs &amp; Assuptions'!$C$13:$C$72, COLUMN() - ($E28 + 5)), 0))
  )
)</f>
        <v>890.73799860813244</v>
      </c>
      <c r="BB28" s="32">
        <f t="array" ref="BB28">IF(COLUMN() - ($E28 + 5) &lt; 0, 0,
  IF(COLUMN() - ($E28 + 5) = 0, $F28,
    BA28 * (1 - IFERROR(INDEX('Inputs &amp; Assuptions'!$C$13:$C$72, COLUMN() - ($E28 + 5)), 0))
  )
)</f>
        <v>886.28430861509173</v>
      </c>
      <c r="BC28" s="32">
        <f t="array" ref="BC28">IF(COLUMN() - ($E28 + 5) &lt; 0, 0,
  IF(COLUMN() - ($E28 + 5) = 0, $F28,
    BB28 * (1 - IFERROR(INDEX('Inputs &amp; Assuptions'!$C$13:$C$72, COLUMN() - ($E28 + 5)), 0))
  )
)</f>
        <v>881.8528870720163</v>
      </c>
      <c r="BD28" s="32">
        <f t="array" ref="BD28">IF(COLUMN() - ($E28 + 5) &lt; 0, 0,
  IF(COLUMN() - ($E28 + 5) = 0, $F28,
    BC28 * (1 - IFERROR(INDEX('Inputs &amp; Assuptions'!$C$13:$C$72, COLUMN() - ($E28 + 5)), 0))
  )
)</f>
        <v>877.44362263665619</v>
      </c>
      <c r="BE28" s="32">
        <f t="array" ref="BE28">IF(COLUMN() - ($E28 + 5) &lt; 0, 0,
  IF(COLUMN() - ($E28 + 5) = 0, $F28,
    BD28 * (1 - IFERROR(INDEX('Inputs &amp; Assuptions'!$C$13:$C$72, COLUMN() - ($E28 + 5)), 0))
  )
)</f>
        <v>873.05640452347291</v>
      </c>
      <c r="BF28" s="32">
        <f t="array" ref="BF28">IF(COLUMN() - ($E28 + 5) &lt; 0, 0,
  IF(COLUMN() - ($E28 + 5) = 0, $F28,
    BE28 * (1 - IFERROR(INDEX('Inputs &amp; Assuptions'!$C$13:$C$72, COLUMN() - ($E28 + 5)), 0))
  )
)</f>
        <v>868.6911225008555</v>
      </c>
      <c r="BG28" s="32">
        <f t="array" ref="BG28">IF(COLUMN() - ($E28 + 5) &lt; 0, 0,
  IF(COLUMN() - ($E28 + 5) = 0, $F28,
    BF28 * (1 - IFERROR(INDEX('Inputs &amp; Assuptions'!$C$13:$C$72, COLUMN() - ($E28 + 5)), 0))
  )
)</f>
        <v>864.34766688835123</v>
      </c>
      <c r="BH28" s="32">
        <f t="array" ref="BH28">IF(COLUMN() - ($E28 + 5) &lt; 0, 0,
  IF(COLUMN() - ($E28 + 5) = 0, $F28,
    BG28 * (1 - IFERROR(INDEX('Inputs &amp; Assuptions'!$C$13:$C$72, COLUMN() - ($E28 + 5)), 0))
  )
)</f>
        <v>860.02592855390947</v>
      </c>
      <c r="BI28" s="32">
        <f t="array" ref="BI28">IF(COLUMN() - ($E28 + 5) &lt; 0, 0,
  IF(COLUMN() - ($E28 + 5) = 0, $F28,
    BH28 * (1 - IFERROR(INDEX('Inputs &amp; Assuptions'!$C$13:$C$72, COLUMN() - ($E28 + 5)), 0))
  )
)</f>
        <v>855.72579891113992</v>
      </c>
      <c r="BJ28" s="32">
        <f t="array" ref="BJ28">IF(COLUMN() - ($E28 + 5) &lt; 0, 0,
  IF(COLUMN() - ($E28 + 5) = 0, $F28,
    BI28 * (1 - IFERROR(INDEX('Inputs &amp; Assuptions'!$C$13:$C$72, COLUMN() - ($E28 + 5)), 0))
  )
)</f>
        <v>851.44716991658424</v>
      </c>
      <c r="BK28" s="32">
        <f t="array" ref="BK28">IF(COLUMN() - ($E28 + 5) &lt; 0, 0,
  IF(COLUMN() - ($E28 + 5) = 0, $F28,
    BJ28 * (1 - IFERROR(INDEX('Inputs &amp; Assuptions'!$C$13:$C$72, COLUMN() - ($E28 + 5)), 0))
  )
)</f>
        <v>847.18993406700133</v>
      </c>
      <c r="BL28" s="32">
        <f t="array" ref="BL28">IF(COLUMN() - ($E28 + 5) &lt; 0, 0,
  IF(COLUMN() - ($E28 + 5) = 0, $F28,
    BK28 * (1 - IFERROR(INDEX('Inputs &amp; Assuptions'!$C$13:$C$72, COLUMN() - ($E28 + 5)), 0))
  )
)</f>
        <v>842.95398439666633</v>
      </c>
      <c r="BM28" s="66">
        <f t="array" ref="BM28">IF(COLUMN() - ($E28 + 5) &lt; 0, 0,
  IF(COLUMN() - ($E28 + 5) = 0, $F28,
    BL28 * (1 - IFERROR(INDEX('Inputs &amp; Assuptions'!$C$13:$C$72, COLUMN() - ($E28 + 5)), 0))
  )
)</f>
        <v>838.73921447468297</v>
      </c>
      <c r="BN28" s="33"/>
    </row>
    <row r="29" spans="1:66" x14ac:dyDescent="0.3">
      <c r="A29" s="71">
        <f t="shared" si="2"/>
        <v>24</v>
      </c>
      <c r="B29" s="75">
        <f t="shared" si="4"/>
        <v>1575</v>
      </c>
      <c r="C29" s="81">
        <f>$B29*(1-'Inputs &amp; Assuptions'!$C$12)</f>
        <v>1228.5</v>
      </c>
      <c r="E29" s="71">
        <f t="shared" si="3"/>
        <v>24</v>
      </c>
      <c r="F29" s="65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>
        <f>$C29</f>
        <v>1228.5</v>
      </c>
      <c r="AD29" s="32">
        <f t="array" ref="AD29">IF(COLUMN() - ($E29 + 5) &lt; 0, 0,
  IF(COLUMN() - ($E29 + 5) = 0, $F29,
    AC29 * (1 - IFERROR(INDEX('Inputs &amp; Assuptions'!$C$13:$C$72, COLUMN() - ($E29 + 5)), 0))
  )
)</f>
        <v>1164.0037500000001</v>
      </c>
      <c r="AE29" s="32">
        <f t="array" ref="AE29">IF(COLUMN() - ($E29 + 5) &lt; 0, 0,
  IF(COLUMN() - ($E29 + 5) = 0, $F29,
    AD29 * (1 - IFERROR(INDEX('Inputs &amp; Assuptions'!$C$13:$C$72, COLUMN() - ($E29 + 5)), 0))
  )
)</f>
        <v>1117.4436000000001</v>
      </c>
      <c r="AF29" s="32">
        <f t="array" ref="AF29">IF(COLUMN() - ($E29 + 5) &lt; 0, 0,
  IF(COLUMN() - ($E29 + 5) = 0, $F29,
    AE29 * (1 - IFERROR(INDEX('Inputs &amp; Assuptions'!$C$13:$C$72, COLUMN() - ($E29 + 5)), 0))
  )
)</f>
        <v>1086.7139010000001</v>
      </c>
      <c r="AG29" s="32">
        <f t="array" ref="AG29">IF(COLUMN() - ($E29 + 5) &lt; 0, 0,
  IF(COLUMN() - ($E29 + 5) = 0, $F29,
    AF29 * (1 - IFERROR(INDEX('Inputs &amp; Assuptions'!$C$13:$C$72, COLUMN() - ($E29 + 5)), 0))
  )
)</f>
        <v>1059.546053475</v>
      </c>
      <c r="AH29" s="32">
        <f t="array" ref="AH29">IF(COLUMN() - ($E29 + 5) &lt; 0, 0,
  IF(COLUMN() - ($E29 + 5) = 0, $F29,
    AG29 * (1 - IFERROR(INDEX('Inputs &amp; Assuptions'!$C$13:$C$72, COLUMN() - ($E29 + 5)), 0))
  )
)</f>
        <v>1035.7062672718125</v>
      </c>
      <c r="AI29" s="32">
        <f t="array" ref="AI29">IF(COLUMN() - ($E29 + 5) &lt; 0, 0,
  IF(COLUMN() - ($E29 + 5) = 0, $F29,
    AH29 * (1 - IFERROR(INDEX('Inputs &amp; Assuptions'!$C$13:$C$72, COLUMN() - ($E29 + 5)), 0))
  )
)</f>
        <v>1014.9921419263762</v>
      </c>
      <c r="AJ29" s="32">
        <f t="array" ref="AJ29">IF(COLUMN() - ($E29 + 5) &lt; 0, 0,
  IF(COLUMN() - ($E29 + 5) = 0, $F29,
    AI29 * (1 - IFERROR(INDEX('Inputs &amp; Assuptions'!$C$13:$C$72, COLUMN() - ($E29 + 5)), 0))
  )
)</f>
        <v>997.22977944266472</v>
      </c>
      <c r="AK29" s="32">
        <f t="array" ref="AK29">IF(COLUMN() - ($E29 + 5) &lt; 0, 0,
  IF(COLUMN() - ($E29 + 5) = 0, $F29,
    AJ29 * (1 - IFERROR(INDEX('Inputs &amp; Assuptions'!$C$13:$C$72, COLUMN() - ($E29 + 5)), 0))
  )
)</f>
        <v>982.27133275102472</v>
      </c>
      <c r="AL29" s="32">
        <f t="array" ref="AL29">IF(COLUMN() - ($E29 + 5) &lt; 0, 0,
  IF(COLUMN() - ($E29 + 5) = 0, $F29,
    AK29 * (1 - IFERROR(INDEX('Inputs &amp; Assuptions'!$C$13:$C$72, COLUMN() - ($E29 + 5)), 0))
  )
)</f>
        <v>969.99294109163691</v>
      </c>
      <c r="AM29" s="32">
        <f t="array" ref="AM29">IF(COLUMN() - ($E29 + 5) &lt; 0, 0,
  IF(COLUMN() - ($E29 + 5) = 0, $F29,
    AL29 * (1 - IFERROR(INDEX('Inputs &amp; Assuptions'!$C$13:$C$72, COLUMN() - ($E29 + 5)), 0))
  )
)</f>
        <v>960.2930116807205</v>
      </c>
      <c r="AN29" s="32">
        <f t="array" ref="AN29">IF(COLUMN() - ($E29 + 5) &lt; 0, 0,
  IF(COLUMN() - ($E29 + 5) = 0, $F29,
    AM29 * (1 - IFERROR(INDEX('Inputs &amp; Assuptions'!$C$13:$C$72, COLUMN() - ($E29 + 5)), 0))
  )
)</f>
        <v>955.49154662231695</v>
      </c>
      <c r="AO29" s="32">
        <f t="array" ref="AO29">IF(COLUMN() - ($E29 + 5) &lt; 0, 0,
  IF(COLUMN() - ($E29 + 5) = 0, $F29,
    AN29 * (1 - IFERROR(INDEX('Inputs &amp; Assuptions'!$C$13:$C$72, COLUMN() - ($E29 + 5)), 0))
  )
)</f>
        <v>950.71408888920541</v>
      </c>
      <c r="AP29" s="32">
        <f t="array" ref="AP29">IF(COLUMN() - ($E29 + 5) &lt; 0, 0,
  IF(COLUMN() - ($E29 + 5) = 0, $F29,
    AO29 * (1 - IFERROR(INDEX('Inputs &amp; Assuptions'!$C$13:$C$72, COLUMN() - ($E29 + 5)), 0))
  )
)</f>
        <v>945.96051844475937</v>
      </c>
      <c r="AQ29" s="32">
        <f t="array" ref="AQ29">IF(COLUMN() - ($E29 + 5) &lt; 0, 0,
  IF(COLUMN() - ($E29 + 5) = 0, $F29,
    AP29 * (1 - IFERROR(INDEX('Inputs &amp; Assuptions'!$C$13:$C$72, COLUMN() - ($E29 + 5)), 0))
  )
)</f>
        <v>941.23071585253558</v>
      </c>
      <c r="AR29" s="32">
        <f t="array" ref="AR29">IF(COLUMN() - ($E29 + 5) &lt; 0, 0,
  IF(COLUMN() - ($E29 + 5) = 0, $F29,
    AQ29 * (1 - IFERROR(INDEX('Inputs &amp; Assuptions'!$C$13:$C$72, COLUMN() - ($E29 + 5)), 0))
  )
)</f>
        <v>936.52456227327286</v>
      </c>
      <c r="AS29" s="32">
        <f t="array" ref="AS29">IF(COLUMN() - ($E29 + 5) &lt; 0, 0,
  IF(COLUMN() - ($E29 + 5) = 0, $F29,
    AR29 * (1 - IFERROR(INDEX('Inputs &amp; Assuptions'!$C$13:$C$72, COLUMN() - ($E29 + 5)), 0))
  )
)</f>
        <v>931.84193946190646</v>
      </c>
      <c r="AT29" s="32">
        <f t="array" ref="AT29">IF(COLUMN() - ($E29 + 5) &lt; 0, 0,
  IF(COLUMN() - ($E29 + 5) = 0, $F29,
    AS29 * (1 - IFERROR(INDEX('Inputs &amp; Assuptions'!$C$13:$C$72, COLUMN() - ($E29 + 5)), 0))
  )
)</f>
        <v>927.18272976459696</v>
      </c>
      <c r="AU29" s="32">
        <f t="array" ref="AU29">IF(COLUMN() - ($E29 + 5) &lt; 0, 0,
  IF(COLUMN() - ($E29 + 5) = 0, $F29,
    AT29 * (1 - IFERROR(INDEX('Inputs &amp; Assuptions'!$C$13:$C$72, COLUMN() - ($E29 + 5)), 0))
  )
)</f>
        <v>922.54681611577394</v>
      </c>
      <c r="AV29" s="32">
        <f t="array" ref="AV29">IF(COLUMN() - ($E29 + 5) &lt; 0, 0,
  IF(COLUMN() - ($E29 + 5) = 0, $F29,
    AU29 * (1 - IFERROR(INDEX('Inputs &amp; Assuptions'!$C$13:$C$72, COLUMN() - ($E29 + 5)), 0))
  )
)</f>
        <v>917.93408203519505</v>
      </c>
      <c r="AW29" s="32">
        <f t="array" ref="AW29">IF(COLUMN() - ($E29 + 5) &lt; 0, 0,
  IF(COLUMN() - ($E29 + 5) = 0, $F29,
    AV29 * (1 - IFERROR(INDEX('Inputs &amp; Assuptions'!$C$13:$C$72, COLUMN() - ($E29 + 5)), 0))
  )
)</f>
        <v>913.34441162501912</v>
      </c>
      <c r="AX29" s="32">
        <f t="array" ref="AX29">IF(COLUMN() - ($E29 + 5) &lt; 0, 0,
  IF(COLUMN() - ($E29 + 5) = 0, $F29,
    AW29 * (1 - IFERROR(INDEX('Inputs &amp; Assuptions'!$C$13:$C$72, COLUMN() - ($E29 + 5)), 0))
  )
)</f>
        <v>908.77768956689397</v>
      </c>
      <c r="AY29" s="32">
        <f t="array" ref="AY29">IF(COLUMN() - ($E29 + 5) &lt; 0, 0,
  IF(COLUMN() - ($E29 + 5) = 0, $F29,
    AX29 * (1 - IFERROR(INDEX('Inputs &amp; Assuptions'!$C$13:$C$72, COLUMN() - ($E29 + 5)), 0))
  )
)</f>
        <v>904.23380111905954</v>
      </c>
      <c r="AZ29" s="32">
        <f t="array" ref="AZ29">IF(COLUMN() - ($E29 + 5) &lt; 0, 0,
  IF(COLUMN() - ($E29 + 5) = 0, $F29,
    AY29 * (1 - IFERROR(INDEX('Inputs &amp; Assuptions'!$C$13:$C$72, COLUMN() - ($E29 + 5)), 0))
  )
)</f>
        <v>899.71263211346422</v>
      </c>
      <c r="BA29" s="32">
        <f t="array" ref="BA29">IF(COLUMN() - ($E29 + 5) &lt; 0, 0,
  IF(COLUMN() - ($E29 + 5) = 0, $F29,
    AZ29 * (1 - IFERROR(INDEX('Inputs &amp; Assuptions'!$C$13:$C$72, COLUMN() - ($E29 + 5)), 0))
  )
)</f>
        <v>895.21406895289692</v>
      </c>
      <c r="BB29" s="32">
        <f t="array" ref="BB29">IF(COLUMN() - ($E29 + 5) &lt; 0, 0,
  IF(COLUMN() - ($E29 + 5) = 0, $F29,
    BA29 * (1 - IFERROR(INDEX('Inputs &amp; Assuptions'!$C$13:$C$72, COLUMN() - ($E29 + 5)), 0))
  )
)</f>
        <v>890.73799860813244</v>
      </c>
      <c r="BC29" s="32">
        <f t="array" ref="BC29">IF(COLUMN() - ($E29 + 5) &lt; 0, 0,
  IF(COLUMN() - ($E29 + 5) = 0, $F29,
    BB29 * (1 - IFERROR(INDEX('Inputs &amp; Assuptions'!$C$13:$C$72, COLUMN() - ($E29 + 5)), 0))
  )
)</f>
        <v>886.28430861509173</v>
      </c>
      <c r="BD29" s="32">
        <f t="array" ref="BD29">IF(COLUMN() - ($E29 + 5) &lt; 0, 0,
  IF(COLUMN() - ($E29 + 5) = 0, $F29,
    BC29 * (1 - IFERROR(INDEX('Inputs &amp; Assuptions'!$C$13:$C$72, COLUMN() - ($E29 + 5)), 0))
  )
)</f>
        <v>881.8528870720163</v>
      </c>
      <c r="BE29" s="32">
        <f t="array" ref="BE29">IF(COLUMN() - ($E29 + 5) &lt; 0, 0,
  IF(COLUMN() - ($E29 + 5) = 0, $F29,
    BD29 * (1 - IFERROR(INDEX('Inputs &amp; Assuptions'!$C$13:$C$72, COLUMN() - ($E29 + 5)), 0))
  )
)</f>
        <v>877.44362263665619</v>
      </c>
      <c r="BF29" s="32">
        <f t="array" ref="BF29">IF(COLUMN() - ($E29 + 5) &lt; 0, 0,
  IF(COLUMN() - ($E29 + 5) = 0, $F29,
    BE29 * (1 - IFERROR(INDEX('Inputs &amp; Assuptions'!$C$13:$C$72, COLUMN() - ($E29 + 5)), 0))
  )
)</f>
        <v>873.05640452347291</v>
      </c>
      <c r="BG29" s="32">
        <f t="array" ref="BG29">IF(COLUMN() - ($E29 + 5) &lt; 0, 0,
  IF(COLUMN() - ($E29 + 5) = 0, $F29,
    BF29 * (1 - IFERROR(INDEX('Inputs &amp; Assuptions'!$C$13:$C$72, COLUMN() - ($E29 + 5)), 0))
  )
)</f>
        <v>868.6911225008555</v>
      </c>
      <c r="BH29" s="32">
        <f t="array" ref="BH29">IF(COLUMN() - ($E29 + 5) &lt; 0, 0,
  IF(COLUMN() - ($E29 + 5) = 0, $F29,
    BG29 * (1 - IFERROR(INDEX('Inputs &amp; Assuptions'!$C$13:$C$72, COLUMN() - ($E29 + 5)), 0))
  )
)</f>
        <v>864.34766688835123</v>
      </c>
      <c r="BI29" s="32">
        <f t="array" ref="BI29">IF(COLUMN() - ($E29 + 5) &lt; 0, 0,
  IF(COLUMN() - ($E29 + 5) = 0, $F29,
    BH29 * (1 - IFERROR(INDEX('Inputs &amp; Assuptions'!$C$13:$C$72, COLUMN() - ($E29 + 5)), 0))
  )
)</f>
        <v>860.02592855390947</v>
      </c>
      <c r="BJ29" s="32">
        <f t="array" ref="BJ29">IF(COLUMN() - ($E29 + 5) &lt; 0, 0,
  IF(COLUMN() - ($E29 + 5) = 0, $F29,
    BI29 * (1 - IFERROR(INDEX('Inputs &amp; Assuptions'!$C$13:$C$72, COLUMN() - ($E29 + 5)), 0))
  )
)</f>
        <v>855.72579891113992</v>
      </c>
      <c r="BK29" s="32">
        <f t="array" ref="BK29">IF(COLUMN() - ($E29 + 5) &lt; 0, 0,
  IF(COLUMN() - ($E29 + 5) = 0, $F29,
    BJ29 * (1 - IFERROR(INDEX('Inputs &amp; Assuptions'!$C$13:$C$72, COLUMN() - ($E29 + 5)), 0))
  )
)</f>
        <v>851.44716991658424</v>
      </c>
      <c r="BL29" s="32">
        <f t="array" ref="BL29">IF(COLUMN() - ($E29 + 5) &lt; 0, 0,
  IF(COLUMN() - ($E29 + 5) = 0, $F29,
    BK29 * (1 - IFERROR(INDEX('Inputs &amp; Assuptions'!$C$13:$C$72, COLUMN() - ($E29 + 5)), 0))
  )
)</f>
        <v>847.18993406700133</v>
      </c>
      <c r="BM29" s="66">
        <f t="array" ref="BM29">IF(COLUMN() - ($E29 + 5) &lt; 0, 0,
  IF(COLUMN() - ($E29 + 5) = 0, $F29,
    BL29 * (1 - IFERROR(INDEX('Inputs &amp; Assuptions'!$C$13:$C$72, COLUMN() - ($E29 + 5)), 0))
  )
)</f>
        <v>842.95398439666633</v>
      </c>
      <c r="BN29" s="33"/>
    </row>
    <row r="30" spans="1:66" x14ac:dyDescent="0.3">
      <c r="A30" s="71">
        <f t="shared" si="2"/>
        <v>25</v>
      </c>
      <c r="B30" s="75">
        <f t="shared" si="4"/>
        <v>1653.75</v>
      </c>
      <c r="C30" s="81">
        <f>$B30*(1-'Inputs &amp; Assuptions'!$C$12)</f>
        <v>1289.925</v>
      </c>
      <c r="E30" s="71">
        <f t="shared" si="3"/>
        <v>25</v>
      </c>
      <c r="F30" s="65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>
        <f>$C30</f>
        <v>1289.925</v>
      </c>
      <c r="AE30" s="32">
        <f t="array" ref="AE30">IF(COLUMN() - ($E30 + 5) &lt; 0, 0,
  IF(COLUMN() - ($E30 + 5) = 0, $F30,
    AD30 * (1 - IFERROR(INDEX('Inputs &amp; Assuptions'!$C$13:$C$72, COLUMN() - ($E30 + 5)), 0))
  )
)</f>
        <v>1222.2039374999999</v>
      </c>
      <c r="AF30" s="32">
        <f t="array" ref="AF30">IF(COLUMN() - ($E30 + 5) &lt; 0, 0,
  IF(COLUMN() - ($E30 + 5) = 0, $F30,
    AE30 * (1 - IFERROR(INDEX('Inputs &amp; Assuptions'!$C$13:$C$72, COLUMN() - ($E30 + 5)), 0))
  )
)</f>
        <v>1173.3157799999999</v>
      </c>
      <c r="AG30" s="32">
        <f t="array" ref="AG30">IF(COLUMN() - ($E30 + 5) &lt; 0, 0,
  IF(COLUMN() - ($E30 + 5) = 0, $F30,
    AF30 * (1 - IFERROR(INDEX('Inputs &amp; Assuptions'!$C$13:$C$72, COLUMN() - ($E30 + 5)), 0))
  )
)</f>
        <v>1141.04959605</v>
      </c>
      <c r="AH30" s="32">
        <f t="array" ref="AH30">IF(COLUMN() - ($E30 + 5) &lt; 0, 0,
  IF(COLUMN() - ($E30 + 5) = 0, $F30,
    AG30 * (1 - IFERROR(INDEX('Inputs &amp; Assuptions'!$C$13:$C$72, COLUMN() - ($E30 + 5)), 0))
  )
)</f>
        <v>1112.5233561487501</v>
      </c>
      <c r="AI30" s="32">
        <f t="array" ref="AI30">IF(COLUMN() - ($E30 + 5) &lt; 0, 0,
  IF(COLUMN() - ($E30 + 5) = 0, $F30,
    AH30 * (1 - IFERROR(INDEX('Inputs &amp; Assuptions'!$C$13:$C$72, COLUMN() - ($E30 + 5)), 0))
  )
)</f>
        <v>1087.4915806354031</v>
      </c>
      <c r="AJ30" s="32">
        <f t="array" ref="AJ30">IF(COLUMN() - ($E30 + 5) &lt; 0, 0,
  IF(COLUMN() - ($E30 + 5) = 0, $F30,
    AI30 * (1 - IFERROR(INDEX('Inputs &amp; Assuptions'!$C$13:$C$72, COLUMN() - ($E30 + 5)), 0))
  )
)</f>
        <v>1065.7417490226951</v>
      </c>
      <c r="AK30" s="32">
        <f t="array" ref="AK30">IF(COLUMN() - ($E30 + 5) &lt; 0, 0,
  IF(COLUMN() - ($E30 + 5) = 0, $F30,
    AJ30 * (1 - IFERROR(INDEX('Inputs &amp; Assuptions'!$C$13:$C$72, COLUMN() - ($E30 + 5)), 0))
  )
)</f>
        <v>1047.0912684147979</v>
      </c>
      <c r="AL30" s="32">
        <f t="array" ref="AL30">IF(COLUMN() - ($E30 + 5) &lt; 0, 0,
  IF(COLUMN() - ($E30 + 5) = 0, $F30,
    AK30 * (1 - IFERROR(INDEX('Inputs &amp; Assuptions'!$C$13:$C$72, COLUMN() - ($E30 + 5)), 0))
  )
)</f>
        <v>1031.3848993885758</v>
      </c>
      <c r="AM30" s="32">
        <f t="array" ref="AM30">IF(COLUMN() - ($E30 + 5) &lt; 0, 0,
  IF(COLUMN() - ($E30 + 5) = 0, $F30,
    AL30 * (1 - IFERROR(INDEX('Inputs &amp; Assuptions'!$C$13:$C$72, COLUMN() - ($E30 + 5)), 0))
  )
)</f>
        <v>1018.4925881462187</v>
      </c>
      <c r="AN30" s="32">
        <f t="array" ref="AN30">IF(COLUMN() - ($E30 + 5) &lt; 0, 0,
  IF(COLUMN() - ($E30 + 5) = 0, $F30,
    AM30 * (1 - IFERROR(INDEX('Inputs &amp; Assuptions'!$C$13:$C$72, COLUMN() - ($E30 + 5)), 0))
  )
)</f>
        <v>1008.3076622647566</v>
      </c>
      <c r="AO30" s="32">
        <f t="array" ref="AO30">IF(COLUMN() - ($E30 + 5) &lt; 0, 0,
  IF(COLUMN() - ($E30 + 5) = 0, $F30,
    AN30 * (1 - IFERROR(INDEX('Inputs &amp; Assuptions'!$C$13:$C$72, COLUMN() - ($E30 + 5)), 0))
  )
)</f>
        <v>1003.2661239534328</v>
      </c>
      <c r="AP30" s="32">
        <f t="array" ref="AP30">IF(COLUMN() - ($E30 + 5) &lt; 0, 0,
  IF(COLUMN() - ($E30 + 5) = 0, $F30,
    AO30 * (1 - IFERROR(INDEX('Inputs &amp; Assuptions'!$C$13:$C$72, COLUMN() - ($E30 + 5)), 0))
  )
)</f>
        <v>998.24979333366571</v>
      </c>
      <c r="AQ30" s="32">
        <f t="array" ref="AQ30">IF(COLUMN() - ($E30 + 5) &lt; 0, 0,
  IF(COLUMN() - ($E30 + 5) = 0, $F30,
    AP30 * (1 - IFERROR(INDEX('Inputs &amp; Assuptions'!$C$13:$C$72, COLUMN() - ($E30 + 5)), 0))
  )
)</f>
        <v>993.2585443669974</v>
      </c>
      <c r="AR30" s="32">
        <f t="array" ref="AR30">IF(COLUMN() - ($E30 + 5) &lt; 0, 0,
  IF(COLUMN() - ($E30 + 5) = 0, $F30,
    AQ30 * (1 - IFERROR(INDEX('Inputs &amp; Assuptions'!$C$13:$C$72, COLUMN() - ($E30 + 5)), 0))
  )
)</f>
        <v>988.29225164516242</v>
      </c>
      <c r="AS30" s="32">
        <f t="array" ref="AS30">IF(COLUMN() - ($E30 + 5) &lt; 0, 0,
  IF(COLUMN() - ($E30 + 5) = 0, $F30,
    AR30 * (1 - IFERROR(INDEX('Inputs &amp; Assuptions'!$C$13:$C$72, COLUMN() - ($E30 + 5)), 0))
  )
)</f>
        <v>983.35079038693664</v>
      </c>
      <c r="AT30" s="32">
        <f t="array" ref="AT30">IF(COLUMN() - ($E30 + 5) &lt; 0, 0,
  IF(COLUMN() - ($E30 + 5) = 0, $F30,
    AS30 * (1 - IFERROR(INDEX('Inputs &amp; Assuptions'!$C$13:$C$72, COLUMN() - ($E30 + 5)), 0))
  )
)</f>
        <v>978.43403643500199</v>
      </c>
      <c r="AU30" s="32">
        <f t="array" ref="AU30">IF(COLUMN() - ($E30 + 5) &lt; 0, 0,
  IF(COLUMN() - ($E30 + 5) = 0, $F30,
    AT30 * (1 - IFERROR(INDEX('Inputs &amp; Assuptions'!$C$13:$C$72, COLUMN() - ($E30 + 5)), 0))
  )
)</f>
        <v>973.54186625282694</v>
      </c>
      <c r="AV30" s="32">
        <f t="array" ref="AV30">IF(COLUMN() - ($E30 + 5) &lt; 0, 0,
  IF(COLUMN() - ($E30 + 5) = 0, $F30,
    AU30 * (1 - IFERROR(INDEX('Inputs &amp; Assuptions'!$C$13:$C$72, COLUMN() - ($E30 + 5)), 0))
  )
)</f>
        <v>968.67415692156283</v>
      </c>
      <c r="AW30" s="32">
        <f t="array" ref="AW30">IF(COLUMN() - ($E30 + 5) &lt; 0, 0,
  IF(COLUMN() - ($E30 + 5) = 0, $F30,
    AV30 * (1 - IFERROR(INDEX('Inputs &amp; Assuptions'!$C$13:$C$72, COLUMN() - ($E30 + 5)), 0))
  )
)</f>
        <v>963.830786136955</v>
      </c>
      <c r="AX30" s="32">
        <f t="array" ref="AX30">IF(COLUMN() - ($E30 + 5) &lt; 0, 0,
  IF(COLUMN() - ($E30 + 5) = 0, $F30,
    AW30 * (1 - IFERROR(INDEX('Inputs &amp; Assuptions'!$C$13:$C$72, COLUMN() - ($E30 + 5)), 0))
  )
)</f>
        <v>959.01163220627018</v>
      </c>
      <c r="AY30" s="32">
        <f t="array" ref="AY30">IF(COLUMN() - ($E30 + 5) &lt; 0, 0,
  IF(COLUMN() - ($E30 + 5) = 0, $F30,
    AX30 * (1 - IFERROR(INDEX('Inputs &amp; Assuptions'!$C$13:$C$72, COLUMN() - ($E30 + 5)), 0))
  )
)</f>
        <v>954.21657404523887</v>
      </c>
      <c r="AZ30" s="32">
        <f t="array" ref="AZ30">IF(COLUMN() - ($E30 + 5) &lt; 0, 0,
  IF(COLUMN() - ($E30 + 5) = 0, $F30,
    AY30 * (1 - IFERROR(INDEX('Inputs &amp; Assuptions'!$C$13:$C$72, COLUMN() - ($E30 + 5)), 0))
  )
)</f>
        <v>949.44549117501265</v>
      </c>
      <c r="BA30" s="32">
        <f t="array" ref="BA30">IF(COLUMN() - ($E30 + 5) &lt; 0, 0,
  IF(COLUMN() - ($E30 + 5) = 0, $F30,
    AZ30 * (1 - IFERROR(INDEX('Inputs &amp; Assuptions'!$C$13:$C$72, COLUMN() - ($E30 + 5)), 0))
  )
)</f>
        <v>944.69826371913757</v>
      </c>
      <c r="BB30" s="32">
        <f t="array" ref="BB30">IF(COLUMN() - ($E30 + 5) &lt; 0, 0,
  IF(COLUMN() - ($E30 + 5) = 0, $F30,
    BA30 * (1 - IFERROR(INDEX('Inputs &amp; Assuptions'!$C$13:$C$72, COLUMN() - ($E30 + 5)), 0))
  )
)</f>
        <v>939.97477240054184</v>
      </c>
      <c r="BC30" s="32">
        <f t="array" ref="BC30">IF(COLUMN() - ($E30 + 5) &lt; 0, 0,
  IF(COLUMN() - ($E30 + 5) = 0, $F30,
    BB30 * (1 - IFERROR(INDEX('Inputs &amp; Assuptions'!$C$13:$C$72, COLUMN() - ($E30 + 5)), 0))
  )
)</f>
        <v>935.27489853853911</v>
      </c>
      <c r="BD30" s="32">
        <f t="array" ref="BD30">IF(COLUMN() - ($E30 + 5) &lt; 0, 0,
  IF(COLUMN() - ($E30 + 5) = 0, $F30,
    BC30 * (1 - IFERROR(INDEX('Inputs &amp; Assuptions'!$C$13:$C$72, COLUMN() - ($E30 + 5)), 0))
  )
)</f>
        <v>930.59852404584637</v>
      </c>
      <c r="BE30" s="32">
        <f t="array" ref="BE30">IF(COLUMN() - ($E30 + 5) &lt; 0, 0,
  IF(COLUMN() - ($E30 + 5) = 0, $F30,
    BD30 * (1 - IFERROR(INDEX('Inputs &amp; Assuptions'!$C$13:$C$72, COLUMN() - ($E30 + 5)), 0))
  )
)</f>
        <v>925.94553142561711</v>
      </c>
      <c r="BF30" s="32">
        <f t="array" ref="BF30">IF(COLUMN() - ($E30 + 5) &lt; 0, 0,
  IF(COLUMN() - ($E30 + 5) = 0, $F30,
    BE30 * (1 - IFERROR(INDEX('Inputs &amp; Assuptions'!$C$13:$C$72, COLUMN() - ($E30 + 5)), 0))
  )
)</f>
        <v>921.31580376848899</v>
      </c>
      <c r="BG30" s="32">
        <f t="array" ref="BG30">IF(COLUMN() - ($E30 + 5) &lt; 0, 0,
  IF(COLUMN() - ($E30 + 5) = 0, $F30,
    BF30 * (1 - IFERROR(INDEX('Inputs &amp; Assuptions'!$C$13:$C$72, COLUMN() - ($E30 + 5)), 0))
  )
)</f>
        <v>916.70922474964652</v>
      </c>
      <c r="BH30" s="32">
        <f t="array" ref="BH30">IF(COLUMN() - ($E30 + 5) &lt; 0, 0,
  IF(COLUMN() - ($E30 + 5) = 0, $F30,
    BG30 * (1 - IFERROR(INDEX('Inputs &amp; Assuptions'!$C$13:$C$72, COLUMN() - ($E30 + 5)), 0))
  )
)</f>
        <v>912.12567862589833</v>
      </c>
      <c r="BI30" s="32">
        <f t="array" ref="BI30">IF(COLUMN() - ($E30 + 5) &lt; 0, 0,
  IF(COLUMN() - ($E30 + 5) = 0, $F30,
    BH30 * (1 - IFERROR(INDEX('Inputs &amp; Assuptions'!$C$13:$C$72, COLUMN() - ($E30 + 5)), 0))
  )
)</f>
        <v>907.56505023276884</v>
      </c>
      <c r="BJ30" s="32">
        <f t="array" ref="BJ30">IF(COLUMN() - ($E30 + 5) &lt; 0, 0,
  IF(COLUMN() - ($E30 + 5) = 0, $F30,
    BI30 * (1 - IFERROR(INDEX('Inputs &amp; Assuptions'!$C$13:$C$72, COLUMN() - ($E30 + 5)), 0))
  )
)</f>
        <v>903.02722498160495</v>
      </c>
      <c r="BK30" s="32">
        <f t="array" ref="BK30">IF(COLUMN() - ($E30 + 5) &lt; 0, 0,
  IF(COLUMN() - ($E30 + 5) = 0, $F30,
    BJ30 * (1 - IFERROR(INDEX('Inputs &amp; Assuptions'!$C$13:$C$72, COLUMN() - ($E30 + 5)), 0))
  )
)</f>
        <v>898.51208885669689</v>
      </c>
      <c r="BL30" s="32">
        <f t="array" ref="BL30">IF(COLUMN() - ($E30 + 5) &lt; 0, 0,
  IF(COLUMN() - ($E30 + 5) = 0, $F30,
    BK30 * (1 - IFERROR(INDEX('Inputs &amp; Assuptions'!$C$13:$C$72, COLUMN() - ($E30 + 5)), 0))
  )
)</f>
        <v>894.01952841241337</v>
      </c>
      <c r="BM30" s="66">
        <f t="array" ref="BM30">IF(COLUMN() - ($E30 + 5) &lt; 0, 0,
  IF(COLUMN() - ($E30 + 5) = 0, $F30,
    BL30 * (1 - IFERROR(INDEX('Inputs &amp; Assuptions'!$C$13:$C$72, COLUMN() - ($E30 + 5)), 0))
  )
)</f>
        <v>889.54943077035125</v>
      </c>
      <c r="BN30" s="33"/>
    </row>
    <row r="31" spans="1:66" x14ac:dyDescent="0.3">
      <c r="A31" s="71">
        <f t="shared" si="2"/>
        <v>26</v>
      </c>
      <c r="B31" s="75">
        <f t="shared" si="4"/>
        <v>1653.75</v>
      </c>
      <c r="C31" s="81">
        <f>$B31*(1-'Inputs &amp; Assuptions'!$C$12)</f>
        <v>1289.925</v>
      </c>
      <c r="E31" s="71">
        <f t="shared" si="3"/>
        <v>26</v>
      </c>
      <c r="F31" s="65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>
        <f>$C31</f>
        <v>1289.925</v>
      </c>
      <c r="AF31" s="32">
        <f t="array" ref="AF31">IF(COLUMN() - ($E31 + 5) &lt; 0, 0,
  IF(COLUMN() - ($E31 + 5) = 0, $F31,
    AE31 * (1 - IFERROR(INDEX('Inputs &amp; Assuptions'!$C$13:$C$72, COLUMN() - ($E31 + 5)), 0))
  )
)</f>
        <v>1222.2039374999999</v>
      </c>
      <c r="AG31" s="32">
        <f t="array" ref="AG31">IF(COLUMN() - ($E31 + 5) &lt; 0, 0,
  IF(COLUMN() - ($E31 + 5) = 0, $F31,
    AF31 * (1 - IFERROR(INDEX('Inputs &amp; Assuptions'!$C$13:$C$72, COLUMN() - ($E31 + 5)), 0))
  )
)</f>
        <v>1173.3157799999999</v>
      </c>
      <c r="AH31" s="32">
        <f t="array" ref="AH31">IF(COLUMN() - ($E31 + 5) &lt; 0, 0,
  IF(COLUMN() - ($E31 + 5) = 0, $F31,
    AG31 * (1 - IFERROR(INDEX('Inputs &amp; Assuptions'!$C$13:$C$72, COLUMN() - ($E31 + 5)), 0))
  )
)</f>
        <v>1141.04959605</v>
      </c>
      <c r="AI31" s="32">
        <f t="array" ref="AI31">IF(COLUMN() - ($E31 + 5) &lt; 0, 0,
  IF(COLUMN() - ($E31 + 5) = 0, $F31,
    AH31 * (1 - IFERROR(INDEX('Inputs &amp; Assuptions'!$C$13:$C$72, COLUMN() - ($E31 + 5)), 0))
  )
)</f>
        <v>1112.5233561487501</v>
      </c>
      <c r="AJ31" s="32">
        <f t="array" ref="AJ31">IF(COLUMN() - ($E31 + 5) &lt; 0, 0,
  IF(COLUMN() - ($E31 + 5) = 0, $F31,
    AI31 * (1 - IFERROR(INDEX('Inputs &amp; Assuptions'!$C$13:$C$72, COLUMN() - ($E31 + 5)), 0))
  )
)</f>
        <v>1087.4915806354031</v>
      </c>
      <c r="AK31" s="32">
        <f t="array" ref="AK31">IF(COLUMN() - ($E31 + 5) &lt; 0, 0,
  IF(COLUMN() - ($E31 + 5) = 0, $F31,
    AJ31 * (1 - IFERROR(INDEX('Inputs &amp; Assuptions'!$C$13:$C$72, COLUMN() - ($E31 + 5)), 0))
  )
)</f>
        <v>1065.7417490226951</v>
      </c>
      <c r="AL31" s="32">
        <f t="array" ref="AL31">IF(COLUMN() - ($E31 + 5) &lt; 0, 0,
  IF(COLUMN() - ($E31 + 5) = 0, $F31,
    AK31 * (1 - IFERROR(INDEX('Inputs &amp; Assuptions'!$C$13:$C$72, COLUMN() - ($E31 + 5)), 0))
  )
)</f>
        <v>1047.0912684147979</v>
      </c>
      <c r="AM31" s="32">
        <f t="array" ref="AM31">IF(COLUMN() - ($E31 + 5) &lt; 0, 0,
  IF(COLUMN() - ($E31 + 5) = 0, $F31,
    AL31 * (1 - IFERROR(INDEX('Inputs &amp; Assuptions'!$C$13:$C$72, COLUMN() - ($E31 + 5)), 0))
  )
)</f>
        <v>1031.3848993885758</v>
      </c>
      <c r="AN31" s="32">
        <f t="array" ref="AN31">IF(COLUMN() - ($E31 + 5) &lt; 0, 0,
  IF(COLUMN() - ($E31 + 5) = 0, $F31,
    AM31 * (1 - IFERROR(INDEX('Inputs &amp; Assuptions'!$C$13:$C$72, COLUMN() - ($E31 + 5)), 0))
  )
)</f>
        <v>1018.4925881462187</v>
      </c>
      <c r="AO31" s="32">
        <f t="array" ref="AO31">IF(COLUMN() - ($E31 + 5) &lt; 0, 0,
  IF(COLUMN() - ($E31 + 5) = 0, $F31,
    AN31 * (1 - IFERROR(INDEX('Inputs &amp; Assuptions'!$C$13:$C$72, COLUMN() - ($E31 + 5)), 0))
  )
)</f>
        <v>1008.3076622647566</v>
      </c>
      <c r="AP31" s="32">
        <f t="array" ref="AP31">IF(COLUMN() - ($E31 + 5) &lt; 0, 0,
  IF(COLUMN() - ($E31 + 5) = 0, $F31,
    AO31 * (1 - IFERROR(INDEX('Inputs &amp; Assuptions'!$C$13:$C$72, COLUMN() - ($E31 + 5)), 0))
  )
)</f>
        <v>1003.2661239534328</v>
      </c>
      <c r="AQ31" s="32">
        <f t="array" ref="AQ31">IF(COLUMN() - ($E31 + 5) &lt; 0, 0,
  IF(COLUMN() - ($E31 + 5) = 0, $F31,
    AP31 * (1 - IFERROR(INDEX('Inputs &amp; Assuptions'!$C$13:$C$72, COLUMN() - ($E31 + 5)), 0))
  )
)</f>
        <v>998.24979333366571</v>
      </c>
      <c r="AR31" s="32">
        <f t="array" ref="AR31">IF(COLUMN() - ($E31 + 5) &lt; 0, 0,
  IF(COLUMN() - ($E31 + 5) = 0, $F31,
    AQ31 * (1 - IFERROR(INDEX('Inputs &amp; Assuptions'!$C$13:$C$72, COLUMN() - ($E31 + 5)), 0))
  )
)</f>
        <v>993.2585443669974</v>
      </c>
      <c r="AS31" s="32">
        <f t="array" ref="AS31">IF(COLUMN() - ($E31 + 5) &lt; 0, 0,
  IF(COLUMN() - ($E31 + 5) = 0, $F31,
    AR31 * (1 - IFERROR(INDEX('Inputs &amp; Assuptions'!$C$13:$C$72, COLUMN() - ($E31 + 5)), 0))
  )
)</f>
        <v>988.29225164516242</v>
      </c>
      <c r="AT31" s="32">
        <f t="array" ref="AT31">IF(COLUMN() - ($E31 + 5) &lt; 0, 0,
  IF(COLUMN() - ($E31 + 5) = 0, $F31,
    AS31 * (1 - IFERROR(INDEX('Inputs &amp; Assuptions'!$C$13:$C$72, COLUMN() - ($E31 + 5)), 0))
  )
)</f>
        <v>983.35079038693664</v>
      </c>
      <c r="AU31" s="32">
        <f t="array" ref="AU31">IF(COLUMN() - ($E31 + 5) &lt; 0, 0,
  IF(COLUMN() - ($E31 + 5) = 0, $F31,
    AT31 * (1 - IFERROR(INDEX('Inputs &amp; Assuptions'!$C$13:$C$72, COLUMN() - ($E31 + 5)), 0))
  )
)</f>
        <v>978.43403643500199</v>
      </c>
      <c r="AV31" s="32">
        <f t="array" ref="AV31">IF(COLUMN() - ($E31 + 5) &lt; 0, 0,
  IF(COLUMN() - ($E31 + 5) = 0, $F31,
    AU31 * (1 - IFERROR(INDEX('Inputs &amp; Assuptions'!$C$13:$C$72, COLUMN() - ($E31 + 5)), 0))
  )
)</f>
        <v>973.54186625282694</v>
      </c>
      <c r="AW31" s="32">
        <f t="array" ref="AW31">IF(COLUMN() - ($E31 + 5) &lt; 0, 0,
  IF(COLUMN() - ($E31 + 5) = 0, $F31,
    AV31 * (1 - IFERROR(INDEX('Inputs &amp; Assuptions'!$C$13:$C$72, COLUMN() - ($E31 + 5)), 0))
  )
)</f>
        <v>968.67415692156283</v>
      </c>
      <c r="AX31" s="32">
        <f t="array" ref="AX31">IF(COLUMN() - ($E31 + 5) &lt; 0, 0,
  IF(COLUMN() - ($E31 + 5) = 0, $F31,
    AW31 * (1 - IFERROR(INDEX('Inputs &amp; Assuptions'!$C$13:$C$72, COLUMN() - ($E31 + 5)), 0))
  )
)</f>
        <v>963.830786136955</v>
      </c>
      <c r="AY31" s="32">
        <f t="array" ref="AY31">IF(COLUMN() - ($E31 + 5) &lt; 0, 0,
  IF(COLUMN() - ($E31 + 5) = 0, $F31,
    AX31 * (1 - IFERROR(INDEX('Inputs &amp; Assuptions'!$C$13:$C$72, COLUMN() - ($E31 + 5)), 0))
  )
)</f>
        <v>959.01163220627018</v>
      </c>
      <c r="AZ31" s="32">
        <f t="array" ref="AZ31">IF(COLUMN() - ($E31 + 5) &lt; 0, 0,
  IF(COLUMN() - ($E31 + 5) = 0, $F31,
    AY31 * (1 - IFERROR(INDEX('Inputs &amp; Assuptions'!$C$13:$C$72, COLUMN() - ($E31 + 5)), 0))
  )
)</f>
        <v>954.21657404523887</v>
      </c>
      <c r="BA31" s="32">
        <f t="array" ref="BA31">IF(COLUMN() - ($E31 + 5) &lt; 0, 0,
  IF(COLUMN() - ($E31 + 5) = 0, $F31,
    AZ31 * (1 - IFERROR(INDEX('Inputs &amp; Assuptions'!$C$13:$C$72, COLUMN() - ($E31 + 5)), 0))
  )
)</f>
        <v>949.44549117501265</v>
      </c>
      <c r="BB31" s="32">
        <f t="array" ref="BB31">IF(COLUMN() - ($E31 + 5) &lt; 0, 0,
  IF(COLUMN() - ($E31 + 5) = 0, $F31,
    BA31 * (1 - IFERROR(INDEX('Inputs &amp; Assuptions'!$C$13:$C$72, COLUMN() - ($E31 + 5)), 0))
  )
)</f>
        <v>944.69826371913757</v>
      </c>
      <c r="BC31" s="32">
        <f t="array" ref="BC31">IF(COLUMN() - ($E31 + 5) &lt; 0, 0,
  IF(COLUMN() - ($E31 + 5) = 0, $F31,
    BB31 * (1 - IFERROR(INDEX('Inputs &amp; Assuptions'!$C$13:$C$72, COLUMN() - ($E31 + 5)), 0))
  )
)</f>
        <v>939.97477240054184</v>
      </c>
      <c r="BD31" s="32">
        <f t="array" ref="BD31">IF(COLUMN() - ($E31 + 5) &lt; 0, 0,
  IF(COLUMN() - ($E31 + 5) = 0, $F31,
    BC31 * (1 - IFERROR(INDEX('Inputs &amp; Assuptions'!$C$13:$C$72, COLUMN() - ($E31 + 5)), 0))
  )
)</f>
        <v>935.27489853853911</v>
      </c>
      <c r="BE31" s="32">
        <f t="array" ref="BE31">IF(COLUMN() - ($E31 + 5) &lt; 0, 0,
  IF(COLUMN() - ($E31 + 5) = 0, $F31,
    BD31 * (1 - IFERROR(INDEX('Inputs &amp; Assuptions'!$C$13:$C$72, COLUMN() - ($E31 + 5)), 0))
  )
)</f>
        <v>930.59852404584637</v>
      </c>
      <c r="BF31" s="32">
        <f t="array" ref="BF31">IF(COLUMN() - ($E31 + 5) &lt; 0, 0,
  IF(COLUMN() - ($E31 + 5) = 0, $F31,
    BE31 * (1 - IFERROR(INDEX('Inputs &amp; Assuptions'!$C$13:$C$72, COLUMN() - ($E31 + 5)), 0))
  )
)</f>
        <v>925.94553142561711</v>
      </c>
      <c r="BG31" s="32">
        <f t="array" ref="BG31">IF(COLUMN() - ($E31 + 5) &lt; 0, 0,
  IF(COLUMN() - ($E31 + 5) = 0, $F31,
    BF31 * (1 - IFERROR(INDEX('Inputs &amp; Assuptions'!$C$13:$C$72, COLUMN() - ($E31 + 5)), 0))
  )
)</f>
        <v>921.31580376848899</v>
      </c>
      <c r="BH31" s="32">
        <f t="array" ref="BH31">IF(COLUMN() - ($E31 + 5) &lt; 0, 0,
  IF(COLUMN() - ($E31 + 5) = 0, $F31,
    BG31 * (1 - IFERROR(INDEX('Inputs &amp; Assuptions'!$C$13:$C$72, COLUMN() - ($E31 + 5)), 0))
  )
)</f>
        <v>916.70922474964652</v>
      </c>
      <c r="BI31" s="32">
        <f t="array" ref="BI31">IF(COLUMN() - ($E31 + 5) &lt; 0, 0,
  IF(COLUMN() - ($E31 + 5) = 0, $F31,
    BH31 * (1 - IFERROR(INDEX('Inputs &amp; Assuptions'!$C$13:$C$72, COLUMN() - ($E31 + 5)), 0))
  )
)</f>
        <v>912.12567862589833</v>
      </c>
      <c r="BJ31" s="32">
        <f t="array" ref="BJ31">IF(COLUMN() - ($E31 + 5) &lt; 0, 0,
  IF(COLUMN() - ($E31 + 5) = 0, $F31,
    BI31 * (1 - IFERROR(INDEX('Inputs &amp; Assuptions'!$C$13:$C$72, COLUMN() - ($E31 + 5)), 0))
  )
)</f>
        <v>907.56505023276884</v>
      </c>
      <c r="BK31" s="32">
        <f t="array" ref="BK31">IF(COLUMN() - ($E31 + 5) &lt; 0, 0,
  IF(COLUMN() - ($E31 + 5) = 0, $F31,
    BJ31 * (1 - IFERROR(INDEX('Inputs &amp; Assuptions'!$C$13:$C$72, COLUMN() - ($E31 + 5)), 0))
  )
)</f>
        <v>903.02722498160495</v>
      </c>
      <c r="BL31" s="32">
        <f t="array" ref="BL31">IF(COLUMN() - ($E31 + 5) &lt; 0, 0,
  IF(COLUMN() - ($E31 + 5) = 0, $F31,
    BK31 * (1 - IFERROR(INDEX('Inputs &amp; Assuptions'!$C$13:$C$72, COLUMN() - ($E31 + 5)), 0))
  )
)</f>
        <v>898.51208885669689</v>
      </c>
      <c r="BM31" s="66">
        <f t="array" ref="BM31">IF(COLUMN() - ($E31 + 5) &lt; 0, 0,
  IF(COLUMN() - ($E31 + 5) = 0, $F31,
    BL31 * (1 - IFERROR(INDEX('Inputs &amp; Assuptions'!$C$13:$C$72, COLUMN() - ($E31 + 5)), 0))
  )
)</f>
        <v>894.01952841241337</v>
      </c>
      <c r="BN31" s="33"/>
    </row>
    <row r="32" spans="1:66" x14ac:dyDescent="0.3">
      <c r="A32" s="71">
        <f t="shared" si="2"/>
        <v>27</v>
      </c>
      <c r="B32" s="75">
        <f t="shared" si="4"/>
        <v>1653.75</v>
      </c>
      <c r="C32" s="81">
        <f>$B32*(1-'Inputs &amp; Assuptions'!$C$12)</f>
        <v>1289.925</v>
      </c>
      <c r="E32" s="71">
        <f t="shared" si="3"/>
        <v>27</v>
      </c>
      <c r="F32" s="65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>
        <f>$C32</f>
        <v>1289.925</v>
      </c>
      <c r="AG32" s="32">
        <f t="array" ref="AG32">IF(COLUMN() - ($E32 + 5) &lt; 0, 0,
  IF(COLUMN() - ($E32 + 5) = 0, $F32,
    AF32 * (1 - IFERROR(INDEX('Inputs &amp; Assuptions'!$C$13:$C$72, COLUMN() - ($E32 + 5)), 0))
  )
)</f>
        <v>1222.2039374999999</v>
      </c>
      <c r="AH32" s="32">
        <f t="array" ref="AH32">IF(COLUMN() - ($E32 + 5) &lt; 0, 0,
  IF(COLUMN() - ($E32 + 5) = 0, $F32,
    AG32 * (1 - IFERROR(INDEX('Inputs &amp; Assuptions'!$C$13:$C$72, COLUMN() - ($E32 + 5)), 0))
  )
)</f>
        <v>1173.3157799999999</v>
      </c>
      <c r="AI32" s="32">
        <f t="array" ref="AI32">IF(COLUMN() - ($E32 + 5) &lt; 0, 0,
  IF(COLUMN() - ($E32 + 5) = 0, $F32,
    AH32 * (1 - IFERROR(INDEX('Inputs &amp; Assuptions'!$C$13:$C$72, COLUMN() - ($E32 + 5)), 0))
  )
)</f>
        <v>1141.04959605</v>
      </c>
      <c r="AJ32" s="32">
        <f t="array" ref="AJ32">IF(COLUMN() - ($E32 + 5) &lt; 0, 0,
  IF(COLUMN() - ($E32 + 5) = 0, $F32,
    AI32 * (1 - IFERROR(INDEX('Inputs &amp; Assuptions'!$C$13:$C$72, COLUMN() - ($E32 + 5)), 0))
  )
)</f>
        <v>1112.5233561487501</v>
      </c>
      <c r="AK32" s="32">
        <f t="array" ref="AK32">IF(COLUMN() - ($E32 + 5) &lt; 0, 0,
  IF(COLUMN() - ($E32 + 5) = 0, $F32,
    AJ32 * (1 - IFERROR(INDEX('Inputs &amp; Assuptions'!$C$13:$C$72, COLUMN() - ($E32 + 5)), 0))
  )
)</f>
        <v>1087.4915806354031</v>
      </c>
      <c r="AL32" s="32">
        <f t="array" ref="AL32">IF(COLUMN() - ($E32 + 5) &lt; 0, 0,
  IF(COLUMN() - ($E32 + 5) = 0, $F32,
    AK32 * (1 - IFERROR(INDEX('Inputs &amp; Assuptions'!$C$13:$C$72, COLUMN() - ($E32 + 5)), 0))
  )
)</f>
        <v>1065.7417490226951</v>
      </c>
      <c r="AM32" s="32">
        <f t="array" ref="AM32">IF(COLUMN() - ($E32 + 5) &lt; 0, 0,
  IF(COLUMN() - ($E32 + 5) = 0, $F32,
    AL32 * (1 - IFERROR(INDEX('Inputs &amp; Assuptions'!$C$13:$C$72, COLUMN() - ($E32 + 5)), 0))
  )
)</f>
        <v>1047.0912684147979</v>
      </c>
      <c r="AN32" s="32">
        <f t="array" ref="AN32">IF(COLUMN() - ($E32 + 5) &lt; 0, 0,
  IF(COLUMN() - ($E32 + 5) = 0, $F32,
    AM32 * (1 - IFERROR(INDEX('Inputs &amp; Assuptions'!$C$13:$C$72, COLUMN() - ($E32 + 5)), 0))
  )
)</f>
        <v>1031.3848993885758</v>
      </c>
      <c r="AO32" s="32">
        <f t="array" ref="AO32">IF(COLUMN() - ($E32 + 5) &lt; 0, 0,
  IF(COLUMN() - ($E32 + 5) = 0, $F32,
    AN32 * (1 - IFERROR(INDEX('Inputs &amp; Assuptions'!$C$13:$C$72, COLUMN() - ($E32 + 5)), 0))
  )
)</f>
        <v>1018.4925881462187</v>
      </c>
      <c r="AP32" s="32">
        <f t="array" ref="AP32">IF(COLUMN() - ($E32 + 5) &lt; 0, 0,
  IF(COLUMN() - ($E32 + 5) = 0, $F32,
    AO32 * (1 - IFERROR(INDEX('Inputs &amp; Assuptions'!$C$13:$C$72, COLUMN() - ($E32 + 5)), 0))
  )
)</f>
        <v>1008.3076622647566</v>
      </c>
      <c r="AQ32" s="32">
        <f t="array" ref="AQ32">IF(COLUMN() - ($E32 + 5) &lt; 0, 0,
  IF(COLUMN() - ($E32 + 5) = 0, $F32,
    AP32 * (1 - IFERROR(INDEX('Inputs &amp; Assuptions'!$C$13:$C$72, COLUMN() - ($E32 + 5)), 0))
  )
)</f>
        <v>1003.2661239534328</v>
      </c>
      <c r="AR32" s="32">
        <f t="array" ref="AR32">IF(COLUMN() - ($E32 + 5) &lt; 0, 0,
  IF(COLUMN() - ($E32 + 5) = 0, $F32,
    AQ32 * (1 - IFERROR(INDEX('Inputs &amp; Assuptions'!$C$13:$C$72, COLUMN() - ($E32 + 5)), 0))
  )
)</f>
        <v>998.24979333366571</v>
      </c>
      <c r="AS32" s="32">
        <f t="array" ref="AS32">IF(COLUMN() - ($E32 + 5) &lt; 0, 0,
  IF(COLUMN() - ($E32 + 5) = 0, $F32,
    AR32 * (1 - IFERROR(INDEX('Inputs &amp; Assuptions'!$C$13:$C$72, COLUMN() - ($E32 + 5)), 0))
  )
)</f>
        <v>993.2585443669974</v>
      </c>
      <c r="AT32" s="32">
        <f t="array" ref="AT32">IF(COLUMN() - ($E32 + 5) &lt; 0, 0,
  IF(COLUMN() - ($E32 + 5) = 0, $F32,
    AS32 * (1 - IFERROR(INDEX('Inputs &amp; Assuptions'!$C$13:$C$72, COLUMN() - ($E32 + 5)), 0))
  )
)</f>
        <v>988.29225164516242</v>
      </c>
      <c r="AU32" s="32">
        <f t="array" ref="AU32">IF(COLUMN() - ($E32 + 5) &lt; 0, 0,
  IF(COLUMN() - ($E32 + 5) = 0, $F32,
    AT32 * (1 - IFERROR(INDEX('Inputs &amp; Assuptions'!$C$13:$C$72, COLUMN() - ($E32 + 5)), 0))
  )
)</f>
        <v>983.35079038693664</v>
      </c>
      <c r="AV32" s="32">
        <f t="array" ref="AV32">IF(COLUMN() - ($E32 + 5) &lt; 0, 0,
  IF(COLUMN() - ($E32 + 5) = 0, $F32,
    AU32 * (1 - IFERROR(INDEX('Inputs &amp; Assuptions'!$C$13:$C$72, COLUMN() - ($E32 + 5)), 0))
  )
)</f>
        <v>978.43403643500199</v>
      </c>
      <c r="AW32" s="32">
        <f t="array" ref="AW32">IF(COLUMN() - ($E32 + 5) &lt; 0, 0,
  IF(COLUMN() - ($E32 + 5) = 0, $F32,
    AV32 * (1 - IFERROR(INDEX('Inputs &amp; Assuptions'!$C$13:$C$72, COLUMN() - ($E32 + 5)), 0))
  )
)</f>
        <v>973.54186625282694</v>
      </c>
      <c r="AX32" s="32">
        <f t="array" ref="AX32">IF(COLUMN() - ($E32 + 5) &lt; 0, 0,
  IF(COLUMN() - ($E32 + 5) = 0, $F32,
    AW32 * (1 - IFERROR(INDEX('Inputs &amp; Assuptions'!$C$13:$C$72, COLUMN() - ($E32 + 5)), 0))
  )
)</f>
        <v>968.67415692156283</v>
      </c>
      <c r="AY32" s="32">
        <f t="array" ref="AY32">IF(COLUMN() - ($E32 + 5) &lt; 0, 0,
  IF(COLUMN() - ($E32 + 5) = 0, $F32,
    AX32 * (1 - IFERROR(INDEX('Inputs &amp; Assuptions'!$C$13:$C$72, COLUMN() - ($E32 + 5)), 0))
  )
)</f>
        <v>963.830786136955</v>
      </c>
      <c r="AZ32" s="32">
        <f t="array" ref="AZ32">IF(COLUMN() - ($E32 + 5) &lt; 0, 0,
  IF(COLUMN() - ($E32 + 5) = 0, $F32,
    AY32 * (1 - IFERROR(INDEX('Inputs &amp; Assuptions'!$C$13:$C$72, COLUMN() - ($E32 + 5)), 0))
  )
)</f>
        <v>959.01163220627018</v>
      </c>
      <c r="BA32" s="32">
        <f t="array" ref="BA32">IF(COLUMN() - ($E32 + 5) &lt; 0, 0,
  IF(COLUMN() - ($E32 + 5) = 0, $F32,
    AZ32 * (1 - IFERROR(INDEX('Inputs &amp; Assuptions'!$C$13:$C$72, COLUMN() - ($E32 + 5)), 0))
  )
)</f>
        <v>954.21657404523887</v>
      </c>
      <c r="BB32" s="32">
        <f t="array" ref="BB32">IF(COLUMN() - ($E32 + 5) &lt; 0, 0,
  IF(COLUMN() - ($E32 + 5) = 0, $F32,
    BA32 * (1 - IFERROR(INDEX('Inputs &amp; Assuptions'!$C$13:$C$72, COLUMN() - ($E32 + 5)), 0))
  )
)</f>
        <v>949.44549117501265</v>
      </c>
      <c r="BC32" s="32">
        <f t="array" ref="BC32">IF(COLUMN() - ($E32 + 5) &lt; 0, 0,
  IF(COLUMN() - ($E32 + 5) = 0, $F32,
    BB32 * (1 - IFERROR(INDEX('Inputs &amp; Assuptions'!$C$13:$C$72, COLUMN() - ($E32 + 5)), 0))
  )
)</f>
        <v>944.69826371913757</v>
      </c>
      <c r="BD32" s="32">
        <f t="array" ref="BD32">IF(COLUMN() - ($E32 + 5) &lt; 0, 0,
  IF(COLUMN() - ($E32 + 5) = 0, $F32,
    BC32 * (1 - IFERROR(INDEX('Inputs &amp; Assuptions'!$C$13:$C$72, COLUMN() - ($E32 + 5)), 0))
  )
)</f>
        <v>939.97477240054184</v>
      </c>
      <c r="BE32" s="32">
        <f t="array" ref="BE32">IF(COLUMN() - ($E32 + 5) &lt; 0, 0,
  IF(COLUMN() - ($E32 + 5) = 0, $F32,
    BD32 * (1 - IFERROR(INDEX('Inputs &amp; Assuptions'!$C$13:$C$72, COLUMN() - ($E32 + 5)), 0))
  )
)</f>
        <v>935.27489853853911</v>
      </c>
      <c r="BF32" s="32">
        <f t="array" ref="BF32">IF(COLUMN() - ($E32 + 5) &lt; 0, 0,
  IF(COLUMN() - ($E32 + 5) = 0, $F32,
    BE32 * (1 - IFERROR(INDEX('Inputs &amp; Assuptions'!$C$13:$C$72, COLUMN() - ($E32 + 5)), 0))
  )
)</f>
        <v>930.59852404584637</v>
      </c>
      <c r="BG32" s="32">
        <f t="array" ref="BG32">IF(COLUMN() - ($E32 + 5) &lt; 0, 0,
  IF(COLUMN() - ($E32 + 5) = 0, $F32,
    BF32 * (1 - IFERROR(INDEX('Inputs &amp; Assuptions'!$C$13:$C$72, COLUMN() - ($E32 + 5)), 0))
  )
)</f>
        <v>925.94553142561711</v>
      </c>
      <c r="BH32" s="32">
        <f t="array" ref="BH32">IF(COLUMN() - ($E32 + 5) &lt; 0, 0,
  IF(COLUMN() - ($E32 + 5) = 0, $F32,
    BG32 * (1 - IFERROR(INDEX('Inputs &amp; Assuptions'!$C$13:$C$72, COLUMN() - ($E32 + 5)), 0))
  )
)</f>
        <v>921.31580376848899</v>
      </c>
      <c r="BI32" s="32">
        <f t="array" ref="BI32">IF(COLUMN() - ($E32 + 5) &lt; 0, 0,
  IF(COLUMN() - ($E32 + 5) = 0, $F32,
    BH32 * (1 - IFERROR(INDEX('Inputs &amp; Assuptions'!$C$13:$C$72, COLUMN() - ($E32 + 5)), 0))
  )
)</f>
        <v>916.70922474964652</v>
      </c>
      <c r="BJ32" s="32">
        <f t="array" ref="BJ32">IF(COLUMN() - ($E32 + 5) &lt; 0, 0,
  IF(COLUMN() - ($E32 + 5) = 0, $F32,
    BI32 * (1 - IFERROR(INDEX('Inputs &amp; Assuptions'!$C$13:$C$72, COLUMN() - ($E32 + 5)), 0))
  )
)</f>
        <v>912.12567862589833</v>
      </c>
      <c r="BK32" s="32">
        <f t="array" ref="BK32">IF(COLUMN() - ($E32 + 5) &lt; 0, 0,
  IF(COLUMN() - ($E32 + 5) = 0, $F32,
    BJ32 * (1 - IFERROR(INDEX('Inputs &amp; Assuptions'!$C$13:$C$72, COLUMN() - ($E32 + 5)), 0))
  )
)</f>
        <v>907.56505023276884</v>
      </c>
      <c r="BL32" s="32">
        <f t="array" ref="BL32">IF(COLUMN() - ($E32 + 5) &lt; 0, 0,
  IF(COLUMN() - ($E32 + 5) = 0, $F32,
    BK32 * (1 - IFERROR(INDEX('Inputs &amp; Assuptions'!$C$13:$C$72, COLUMN() - ($E32 + 5)), 0))
  )
)</f>
        <v>903.02722498160495</v>
      </c>
      <c r="BM32" s="66">
        <f t="array" ref="BM32">IF(COLUMN() - ($E32 + 5) &lt; 0, 0,
  IF(COLUMN() - ($E32 + 5) = 0, $F32,
    BL32 * (1 - IFERROR(INDEX('Inputs &amp; Assuptions'!$C$13:$C$72, COLUMN() - ($E32 + 5)), 0))
  )
)</f>
        <v>898.51208885669689</v>
      </c>
      <c r="BN32" s="33"/>
    </row>
    <row r="33" spans="1:66" x14ac:dyDescent="0.3">
      <c r="A33" s="71">
        <f t="shared" si="2"/>
        <v>28</v>
      </c>
      <c r="B33" s="75">
        <f t="shared" si="4"/>
        <v>1653.75</v>
      </c>
      <c r="C33" s="81">
        <f>$B33*(1-'Inputs &amp; Assuptions'!$C$12)</f>
        <v>1289.925</v>
      </c>
      <c r="E33" s="71">
        <f t="shared" si="3"/>
        <v>28</v>
      </c>
      <c r="F33" s="65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>
        <f>$C33</f>
        <v>1289.925</v>
      </c>
      <c r="AH33" s="32">
        <f t="array" ref="AH33">IF(COLUMN() - ($E33 + 5) &lt; 0, 0,
  IF(COLUMN() - ($E33 + 5) = 0, $F33,
    AG33 * (1 - IFERROR(INDEX('Inputs &amp; Assuptions'!$C$13:$C$72, COLUMN() - ($E33 + 5)), 0))
  )
)</f>
        <v>1222.2039374999999</v>
      </c>
      <c r="AI33" s="32">
        <f t="array" ref="AI33">IF(COLUMN() - ($E33 + 5) &lt; 0, 0,
  IF(COLUMN() - ($E33 + 5) = 0, $F33,
    AH33 * (1 - IFERROR(INDEX('Inputs &amp; Assuptions'!$C$13:$C$72, COLUMN() - ($E33 + 5)), 0))
  )
)</f>
        <v>1173.3157799999999</v>
      </c>
      <c r="AJ33" s="32">
        <f t="array" ref="AJ33">IF(COLUMN() - ($E33 + 5) &lt; 0, 0,
  IF(COLUMN() - ($E33 + 5) = 0, $F33,
    AI33 * (1 - IFERROR(INDEX('Inputs &amp; Assuptions'!$C$13:$C$72, COLUMN() - ($E33 + 5)), 0))
  )
)</f>
        <v>1141.04959605</v>
      </c>
      <c r="AK33" s="32">
        <f t="array" ref="AK33">IF(COLUMN() - ($E33 + 5) &lt; 0, 0,
  IF(COLUMN() - ($E33 + 5) = 0, $F33,
    AJ33 * (1 - IFERROR(INDEX('Inputs &amp; Assuptions'!$C$13:$C$72, COLUMN() - ($E33 + 5)), 0))
  )
)</f>
        <v>1112.5233561487501</v>
      </c>
      <c r="AL33" s="32">
        <f t="array" ref="AL33">IF(COLUMN() - ($E33 + 5) &lt; 0, 0,
  IF(COLUMN() - ($E33 + 5) = 0, $F33,
    AK33 * (1 - IFERROR(INDEX('Inputs &amp; Assuptions'!$C$13:$C$72, COLUMN() - ($E33 + 5)), 0))
  )
)</f>
        <v>1087.4915806354031</v>
      </c>
      <c r="AM33" s="32">
        <f t="array" ref="AM33">IF(COLUMN() - ($E33 + 5) &lt; 0, 0,
  IF(COLUMN() - ($E33 + 5) = 0, $F33,
    AL33 * (1 - IFERROR(INDEX('Inputs &amp; Assuptions'!$C$13:$C$72, COLUMN() - ($E33 + 5)), 0))
  )
)</f>
        <v>1065.7417490226951</v>
      </c>
      <c r="AN33" s="32">
        <f t="array" ref="AN33">IF(COLUMN() - ($E33 + 5) &lt; 0, 0,
  IF(COLUMN() - ($E33 + 5) = 0, $F33,
    AM33 * (1 - IFERROR(INDEX('Inputs &amp; Assuptions'!$C$13:$C$72, COLUMN() - ($E33 + 5)), 0))
  )
)</f>
        <v>1047.0912684147979</v>
      </c>
      <c r="AO33" s="32">
        <f t="array" ref="AO33">IF(COLUMN() - ($E33 + 5) &lt; 0, 0,
  IF(COLUMN() - ($E33 + 5) = 0, $F33,
    AN33 * (1 - IFERROR(INDEX('Inputs &amp; Assuptions'!$C$13:$C$72, COLUMN() - ($E33 + 5)), 0))
  )
)</f>
        <v>1031.3848993885758</v>
      </c>
      <c r="AP33" s="32">
        <f t="array" ref="AP33">IF(COLUMN() - ($E33 + 5) &lt; 0, 0,
  IF(COLUMN() - ($E33 + 5) = 0, $F33,
    AO33 * (1 - IFERROR(INDEX('Inputs &amp; Assuptions'!$C$13:$C$72, COLUMN() - ($E33 + 5)), 0))
  )
)</f>
        <v>1018.4925881462187</v>
      </c>
      <c r="AQ33" s="32">
        <f t="array" ref="AQ33">IF(COLUMN() - ($E33 + 5) &lt; 0, 0,
  IF(COLUMN() - ($E33 + 5) = 0, $F33,
    AP33 * (1 - IFERROR(INDEX('Inputs &amp; Assuptions'!$C$13:$C$72, COLUMN() - ($E33 + 5)), 0))
  )
)</f>
        <v>1008.3076622647566</v>
      </c>
      <c r="AR33" s="32">
        <f t="array" ref="AR33">IF(COLUMN() - ($E33 + 5) &lt; 0, 0,
  IF(COLUMN() - ($E33 + 5) = 0, $F33,
    AQ33 * (1 - IFERROR(INDEX('Inputs &amp; Assuptions'!$C$13:$C$72, COLUMN() - ($E33 + 5)), 0))
  )
)</f>
        <v>1003.2661239534328</v>
      </c>
      <c r="AS33" s="32">
        <f t="array" ref="AS33">IF(COLUMN() - ($E33 + 5) &lt; 0, 0,
  IF(COLUMN() - ($E33 + 5) = 0, $F33,
    AR33 * (1 - IFERROR(INDEX('Inputs &amp; Assuptions'!$C$13:$C$72, COLUMN() - ($E33 + 5)), 0))
  )
)</f>
        <v>998.24979333366571</v>
      </c>
      <c r="AT33" s="32">
        <f t="array" ref="AT33">IF(COLUMN() - ($E33 + 5) &lt; 0, 0,
  IF(COLUMN() - ($E33 + 5) = 0, $F33,
    AS33 * (1 - IFERROR(INDEX('Inputs &amp; Assuptions'!$C$13:$C$72, COLUMN() - ($E33 + 5)), 0))
  )
)</f>
        <v>993.2585443669974</v>
      </c>
      <c r="AU33" s="32">
        <f t="array" ref="AU33">IF(COLUMN() - ($E33 + 5) &lt; 0, 0,
  IF(COLUMN() - ($E33 + 5) = 0, $F33,
    AT33 * (1 - IFERROR(INDEX('Inputs &amp; Assuptions'!$C$13:$C$72, COLUMN() - ($E33 + 5)), 0))
  )
)</f>
        <v>988.29225164516242</v>
      </c>
      <c r="AV33" s="32">
        <f t="array" ref="AV33">IF(COLUMN() - ($E33 + 5) &lt; 0, 0,
  IF(COLUMN() - ($E33 + 5) = 0, $F33,
    AU33 * (1 - IFERROR(INDEX('Inputs &amp; Assuptions'!$C$13:$C$72, COLUMN() - ($E33 + 5)), 0))
  )
)</f>
        <v>983.35079038693664</v>
      </c>
      <c r="AW33" s="32">
        <f t="array" ref="AW33">IF(COLUMN() - ($E33 + 5) &lt; 0, 0,
  IF(COLUMN() - ($E33 + 5) = 0, $F33,
    AV33 * (1 - IFERROR(INDEX('Inputs &amp; Assuptions'!$C$13:$C$72, COLUMN() - ($E33 + 5)), 0))
  )
)</f>
        <v>978.43403643500199</v>
      </c>
      <c r="AX33" s="32">
        <f t="array" ref="AX33">IF(COLUMN() - ($E33 + 5) &lt; 0, 0,
  IF(COLUMN() - ($E33 + 5) = 0, $F33,
    AW33 * (1 - IFERROR(INDEX('Inputs &amp; Assuptions'!$C$13:$C$72, COLUMN() - ($E33 + 5)), 0))
  )
)</f>
        <v>973.54186625282694</v>
      </c>
      <c r="AY33" s="32">
        <f t="array" ref="AY33">IF(COLUMN() - ($E33 + 5) &lt; 0, 0,
  IF(COLUMN() - ($E33 + 5) = 0, $F33,
    AX33 * (1 - IFERROR(INDEX('Inputs &amp; Assuptions'!$C$13:$C$72, COLUMN() - ($E33 + 5)), 0))
  )
)</f>
        <v>968.67415692156283</v>
      </c>
      <c r="AZ33" s="32">
        <f t="array" ref="AZ33">IF(COLUMN() - ($E33 + 5) &lt; 0, 0,
  IF(COLUMN() - ($E33 + 5) = 0, $F33,
    AY33 * (1 - IFERROR(INDEX('Inputs &amp; Assuptions'!$C$13:$C$72, COLUMN() - ($E33 + 5)), 0))
  )
)</f>
        <v>963.830786136955</v>
      </c>
      <c r="BA33" s="32">
        <f t="array" ref="BA33">IF(COLUMN() - ($E33 + 5) &lt; 0, 0,
  IF(COLUMN() - ($E33 + 5) = 0, $F33,
    AZ33 * (1 - IFERROR(INDEX('Inputs &amp; Assuptions'!$C$13:$C$72, COLUMN() - ($E33 + 5)), 0))
  )
)</f>
        <v>959.01163220627018</v>
      </c>
      <c r="BB33" s="32">
        <f t="array" ref="BB33">IF(COLUMN() - ($E33 + 5) &lt; 0, 0,
  IF(COLUMN() - ($E33 + 5) = 0, $F33,
    BA33 * (1 - IFERROR(INDEX('Inputs &amp; Assuptions'!$C$13:$C$72, COLUMN() - ($E33 + 5)), 0))
  )
)</f>
        <v>954.21657404523887</v>
      </c>
      <c r="BC33" s="32">
        <f t="array" ref="BC33">IF(COLUMN() - ($E33 + 5) &lt; 0, 0,
  IF(COLUMN() - ($E33 + 5) = 0, $F33,
    BB33 * (1 - IFERROR(INDEX('Inputs &amp; Assuptions'!$C$13:$C$72, COLUMN() - ($E33 + 5)), 0))
  )
)</f>
        <v>949.44549117501265</v>
      </c>
      <c r="BD33" s="32">
        <f t="array" ref="BD33">IF(COLUMN() - ($E33 + 5) &lt; 0, 0,
  IF(COLUMN() - ($E33 + 5) = 0, $F33,
    BC33 * (1 - IFERROR(INDEX('Inputs &amp; Assuptions'!$C$13:$C$72, COLUMN() - ($E33 + 5)), 0))
  )
)</f>
        <v>944.69826371913757</v>
      </c>
      <c r="BE33" s="32">
        <f t="array" ref="BE33">IF(COLUMN() - ($E33 + 5) &lt; 0, 0,
  IF(COLUMN() - ($E33 + 5) = 0, $F33,
    BD33 * (1 - IFERROR(INDEX('Inputs &amp; Assuptions'!$C$13:$C$72, COLUMN() - ($E33 + 5)), 0))
  )
)</f>
        <v>939.97477240054184</v>
      </c>
      <c r="BF33" s="32">
        <f t="array" ref="BF33">IF(COLUMN() - ($E33 + 5) &lt; 0, 0,
  IF(COLUMN() - ($E33 + 5) = 0, $F33,
    BE33 * (1 - IFERROR(INDEX('Inputs &amp; Assuptions'!$C$13:$C$72, COLUMN() - ($E33 + 5)), 0))
  )
)</f>
        <v>935.27489853853911</v>
      </c>
      <c r="BG33" s="32">
        <f t="array" ref="BG33">IF(COLUMN() - ($E33 + 5) &lt; 0, 0,
  IF(COLUMN() - ($E33 + 5) = 0, $F33,
    BF33 * (1 - IFERROR(INDEX('Inputs &amp; Assuptions'!$C$13:$C$72, COLUMN() - ($E33 + 5)), 0))
  )
)</f>
        <v>930.59852404584637</v>
      </c>
      <c r="BH33" s="32">
        <f t="array" ref="BH33">IF(COLUMN() - ($E33 + 5) &lt; 0, 0,
  IF(COLUMN() - ($E33 + 5) = 0, $F33,
    BG33 * (1 - IFERROR(INDEX('Inputs &amp; Assuptions'!$C$13:$C$72, COLUMN() - ($E33 + 5)), 0))
  )
)</f>
        <v>925.94553142561711</v>
      </c>
      <c r="BI33" s="32">
        <f t="array" ref="BI33">IF(COLUMN() - ($E33 + 5) &lt; 0, 0,
  IF(COLUMN() - ($E33 + 5) = 0, $F33,
    BH33 * (1 - IFERROR(INDEX('Inputs &amp; Assuptions'!$C$13:$C$72, COLUMN() - ($E33 + 5)), 0))
  )
)</f>
        <v>921.31580376848899</v>
      </c>
      <c r="BJ33" s="32">
        <f t="array" ref="BJ33">IF(COLUMN() - ($E33 + 5) &lt; 0, 0,
  IF(COLUMN() - ($E33 + 5) = 0, $F33,
    BI33 * (1 - IFERROR(INDEX('Inputs &amp; Assuptions'!$C$13:$C$72, COLUMN() - ($E33 + 5)), 0))
  )
)</f>
        <v>916.70922474964652</v>
      </c>
      <c r="BK33" s="32">
        <f t="array" ref="BK33">IF(COLUMN() - ($E33 + 5) &lt; 0, 0,
  IF(COLUMN() - ($E33 + 5) = 0, $F33,
    BJ33 * (1 - IFERROR(INDEX('Inputs &amp; Assuptions'!$C$13:$C$72, COLUMN() - ($E33 + 5)), 0))
  )
)</f>
        <v>912.12567862589833</v>
      </c>
      <c r="BL33" s="32">
        <f t="array" ref="BL33">IF(COLUMN() - ($E33 + 5) &lt; 0, 0,
  IF(COLUMN() - ($E33 + 5) = 0, $F33,
    BK33 * (1 - IFERROR(INDEX('Inputs &amp; Assuptions'!$C$13:$C$72, COLUMN() - ($E33 + 5)), 0))
  )
)</f>
        <v>907.56505023276884</v>
      </c>
      <c r="BM33" s="66">
        <f t="array" ref="BM33">IF(COLUMN() - ($E33 + 5) &lt; 0, 0,
  IF(COLUMN() - ($E33 + 5) = 0, $F33,
    BL33 * (1 - IFERROR(INDEX('Inputs &amp; Assuptions'!$C$13:$C$72, COLUMN() - ($E33 + 5)), 0))
  )
)</f>
        <v>903.02722498160495</v>
      </c>
      <c r="BN33" s="33"/>
    </row>
    <row r="34" spans="1:66" x14ac:dyDescent="0.3">
      <c r="A34" s="71">
        <f t="shared" si="2"/>
        <v>29</v>
      </c>
      <c r="B34" s="75">
        <f t="shared" si="4"/>
        <v>1653.75</v>
      </c>
      <c r="C34" s="81">
        <f>$B34*(1-'Inputs &amp; Assuptions'!$C$12)</f>
        <v>1289.925</v>
      </c>
      <c r="E34" s="71">
        <f t="shared" si="3"/>
        <v>29</v>
      </c>
      <c r="F34" s="65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>
        <f>$C34</f>
        <v>1289.925</v>
      </c>
      <c r="AI34" s="32">
        <f t="array" ref="AI34">IF(COLUMN() - ($E34 + 5) &lt; 0, 0,
  IF(COLUMN() - ($E34 + 5) = 0, $F34,
    AH34 * (1 - IFERROR(INDEX('Inputs &amp; Assuptions'!$C$13:$C$72, COLUMN() - ($E34 + 5)), 0))
  )
)</f>
        <v>1222.2039374999999</v>
      </c>
      <c r="AJ34" s="32">
        <f t="array" ref="AJ34">IF(COLUMN() - ($E34 + 5) &lt; 0, 0,
  IF(COLUMN() - ($E34 + 5) = 0, $F34,
    AI34 * (1 - IFERROR(INDEX('Inputs &amp; Assuptions'!$C$13:$C$72, COLUMN() - ($E34 + 5)), 0))
  )
)</f>
        <v>1173.3157799999999</v>
      </c>
      <c r="AK34" s="32">
        <f t="array" ref="AK34">IF(COLUMN() - ($E34 + 5) &lt; 0, 0,
  IF(COLUMN() - ($E34 + 5) = 0, $F34,
    AJ34 * (1 - IFERROR(INDEX('Inputs &amp; Assuptions'!$C$13:$C$72, COLUMN() - ($E34 + 5)), 0))
  )
)</f>
        <v>1141.04959605</v>
      </c>
      <c r="AL34" s="32">
        <f t="array" ref="AL34">IF(COLUMN() - ($E34 + 5) &lt; 0, 0,
  IF(COLUMN() - ($E34 + 5) = 0, $F34,
    AK34 * (1 - IFERROR(INDEX('Inputs &amp; Assuptions'!$C$13:$C$72, COLUMN() - ($E34 + 5)), 0))
  )
)</f>
        <v>1112.5233561487501</v>
      </c>
      <c r="AM34" s="32">
        <f t="array" ref="AM34">IF(COLUMN() - ($E34 + 5) &lt; 0, 0,
  IF(COLUMN() - ($E34 + 5) = 0, $F34,
    AL34 * (1 - IFERROR(INDEX('Inputs &amp; Assuptions'!$C$13:$C$72, COLUMN() - ($E34 + 5)), 0))
  )
)</f>
        <v>1087.4915806354031</v>
      </c>
      <c r="AN34" s="32">
        <f t="array" ref="AN34">IF(COLUMN() - ($E34 + 5) &lt; 0, 0,
  IF(COLUMN() - ($E34 + 5) = 0, $F34,
    AM34 * (1 - IFERROR(INDEX('Inputs &amp; Assuptions'!$C$13:$C$72, COLUMN() - ($E34 + 5)), 0))
  )
)</f>
        <v>1065.7417490226951</v>
      </c>
      <c r="AO34" s="32">
        <f t="array" ref="AO34">IF(COLUMN() - ($E34 + 5) &lt; 0, 0,
  IF(COLUMN() - ($E34 + 5) = 0, $F34,
    AN34 * (1 - IFERROR(INDEX('Inputs &amp; Assuptions'!$C$13:$C$72, COLUMN() - ($E34 + 5)), 0))
  )
)</f>
        <v>1047.0912684147979</v>
      </c>
      <c r="AP34" s="32">
        <f t="array" ref="AP34">IF(COLUMN() - ($E34 + 5) &lt; 0, 0,
  IF(COLUMN() - ($E34 + 5) = 0, $F34,
    AO34 * (1 - IFERROR(INDEX('Inputs &amp; Assuptions'!$C$13:$C$72, COLUMN() - ($E34 + 5)), 0))
  )
)</f>
        <v>1031.3848993885758</v>
      </c>
      <c r="AQ34" s="32">
        <f t="array" ref="AQ34">IF(COLUMN() - ($E34 + 5) &lt; 0, 0,
  IF(COLUMN() - ($E34 + 5) = 0, $F34,
    AP34 * (1 - IFERROR(INDEX('Inputs &amp; Assuptions'!$C$13:$C$72, COLUMN() - ($E34 + 5)), 0))
  )
)</f>
        <v>1018.4925881462187</v>
      </c>
      <c r="AR34" s="32">
        <f t="array" ref="AR34">IF(COLUMN() - ($E34 + 5) &lt; 0, 0,
  IF(COLUMN() - ($E34 + 5) = 0, $F34,
    AQ34 * (1 - IFERROR(INDEX('Inputs &amp; Assuptions'!$C$13:$C$72, COLUMN() - ($E34 + 5)), 0))
  )
)</f>
        <v>1008.3076622647566</v>
      </c>
      <c r="AS34" s="32">
        <f t="array" ref="AS34">IF(COLUMN() - ($E34 + 5) &lt; 0, 0,
  IF(COLUMN() - ($E34 + 5) = 0, $F34,
    AR34 * (1 - IFERROR(INDEX('Inputs &amp; Assuptions'!$C$13:$C$72, COLUMN() - ($E34 + 5)), 0))
  )
)</f>
        <v>1003.2661239534328</v>
      </c>
      <c r="AT34" s="32">
        <f t="array" ref="AT34">IF(COLUMN() - ($E34 + 5) &lt; 0, 0,
  IF(COLUMN() - ($E34 + 5) = 0, $F34,
    AS34 * (1 - IFERROR(INDEX('Inputs &amp; Assuptions'!$C$13:$C$72, COLUMN() - ($E34 + 5)), 0))
  )
)</f>
        <v>998.24979333366571</v>
      </c>
      <c r="AU34" s="32">
        <f t="array" ref="AU34">IF(COLUMN() - ($E34 + 5) &lt; 0, 0,
  IF(COLUMN() - ($E34 + 5) = 0, $F34,
    AT34 * (1 - IFERROR(INDEX('Inputs &amp; Assuptions'!$C$13:$C$72, COLUMN() - ($E34 + 5)), 0))
  )
)</f>
        <v>993.2585443669974</v>
      </c>
      <c r="AV34" s="32">
        <f t="array" ref="AV34">IF(COLUMN() - ($E34 + 5) &lt; 0, 0,
  IF(COLUMN() - ($E34 + 5) = 0, $F34,
    AU34 * (1 - IFERROR(INDEX('Inputs &amp; Assuptions'!$C$13:$C$72, COLUMN() - ($E34 + 5)), 0))
  )
)</f>
        <v>988.29225164516242</v>
      </c>
      <c r="AW34" s="32">
        <f t="array" ref="AW34">IF(COLUMN() - ($E34 + 5) &lt; 0, 0,
  IF(COLUMN() - ($E34 + 5) = 0, $F34,
    AV34 * (1 - IFERROR(INDEX('Inputs &amp; Assuptions'!$C$13:$C$72, COLUMN() - ($E34 + 5)), 0))
  )
)</f>
        <v>983.35079038693664</v>
      </c>
      <c r="AX34" s="32">
        <f t="array" ref="AX34">IF(COLUMN() - ($E34 + 5) &lt; 0, 0,
  IF(COLUMN() - ($E34 + 5) = 0, $F34,
    AW34 * (1 - IFERROR(INDEX('Inputs &amp; Assuptions'!$C$13:$C$72, COLUMN() - ($E34 + 5)), 0))
  )
)</f>
        <v>978.43403643500199</v>
      </c>
      <c r="AY34" s="32">
        <f t="array" ref="AY34">IF(COLUMN() - ($E34 + 5) &lt; 0, 0,
  IF(COLUMN() - ($E34 + 5) = 0, $F34,
    AX34 * (1 - IFERROR(INDEX('Inputs &amp; Assuptions'!$C$13:$C$72, COLUMN() - ($E34 + 5)), 0))
  )
)</f>
        <v>973.54186625282694</v>
      </c>
      <c r="AZ34" s="32">
        <f t="array" ref="AZ34">IF(COLUMN() - ($E34 + 5) &lt; 0, 0,
  IF(COLUMN() - ($E34 + 5) = 0, $F34,
    AY34 * (1 - IFERROR(INDEX('Inputs &amp; Assuptions'!$C$13:$C$72, COLUMN() - ($E34 + 5)), 0))
  )
)</f>
        <v>968.67415692156283</v>
      </c>
      <c r="BA34" s="32">
        <f t="array" ref="BA34">IF(COLUMN() - ($E34 + 5) &lt; 0, 0,
  IF(COLUMN() - ($E34 + 5) = 0, $F34,
    AZ34 * (1 - IFERROR(INDEX('Inputs &amp; Assuptions'!$C$13:$C$72, COLUMN() - ($E34 + 5)), 0))
  )
)</f>
        <v>963.830786136955</v>
      </c>
      <c r="BB34" s="32">
        <f t="array" ref="BB34">IF(COLUMN() - ($E34 + 5) &lt; 0, 0,
  IF(COLUMN() - ($E34 + 5) = 0, $F34,
    BA34 * (1 - IFERROR(INDEX('Inputs &amp; Assuptions'!$C$13:$C$72, COLUMN() - ($E34 + 5)), 0))
  )
)</f>
        <v>959.01163220627018</v>
      </c>
      <c r="BC34" s="32">
        <f t="array" ref="BC34">IF(COLUMN() - ($E34 + 5) &lt; 0, 0,
  IF(COLUMN() - ($E34 + 5) = 0, $F34,
    BB34 * (1 - IFERROR(INDEX('Inputs &amp; Assuptions'!$C$13:$C$72, COLUMN() - ($E34 + 5)), 0))
  )
)</f>
        <v>954.21657404523887</v>
      </c>
      <c r="BD34" s="32">
        <f t="array" ref="BD34">IF(COLUMN() - ($E34 + 5) &lt; 0, 0,
  IF(COLUMN() - ($E34 + 5) = 0, $F34,
    BC34 * (1 - IFERROR(INDEX('Inputs &amp; Assuptions'!$C$13:$C$72, COLUMN() - ($E34 + 5)), 0))
  )
)</f>
        <v>949.44549117501265</v>
      </c>
      <c r="BE34" s="32">
        <f t="array" ref="BE34">IF(COLUMN() - ($E34 + 5) &lt; 0, 0,
  IF(COLUMN() - ($E34 + 5) = 0, $F34,
    BD34 * (1 - IFERROR(INDEX('Inputs &amp; Assuptions'!$C$13:$C$72, COLUMN() - ($E34 + 5)), 0))
  )
)</f>
        <v>944.69826371913757</v>
      </c>
      <c r="BF34" s="32">
        <f t="array" ref="BF34">IF(COLUMN() - ($E34 + 5) &lt; 0, 0,
  IF(COLUMN() - ($E34 + 5) = 0, $F34,
    BE34 * (1 - IFERROR(INDEX('Inputs &amp; Assuptions'!$C$13:$C$72, COLUMN() - ($E34 + 5)), 0))
  )
)</f>
        <v>939.97477240054184</v>
      </c>
      <c r="BG34" s="32">
        <f t="array" ref="BG34">IF(COLUMN() - ($E34 + 5) &lt; 0, 0,
  IF(COLUMN() - ($E34 + 5) = 0, $F34,
    BF34 * (1 - IFERROR(INDEX('Inputs &amp; Assuptions'!$C$13:$C$72, COLUMN() - ($E34 + 5)), 0))
  )
)</f>
        <v>935.27489853853911</v>
      </c>
      <c r="BH34" s="32">
        <f t="array" ref="BH34">IF(COLUMN() - ($E34 + 5) &lt; 0, 0,
  IF(COLUMN() - ($E34 + 5) = 0, $F34,
    BG34 * (1 - IFERROR(INDEX('Inputs &amp; Assuptions'!$C$13:$C$72, COLUMN() - ($E34 + 5)), 0))
  )
)</f>
        <v>930.59852404584637</v>
      </c>
      <c r="BI34" s="32">
        <f t="array" ref="BI34">IF(COLUMN() - ($E34 + 5) &lt; 0, 0,
  IF(COLUMN() - ($E34 + 5) = 0, $F34,
    BH34 * (1 - IFERROR(INDEX('Inputs &amp; Assuptions'!$C$13:$C$72, COLUMN() - ($E34 + 5)), 0))
  )
)</f>
        <v>925.94553142561711</v>
      </c>
      <c r="BJ34" s="32">
        <f t="array" ref="BJ34">IF(COLUMN() - ($E34 + 5) &lt; 0, 0,
  IF(COLUMN() - ($E34 + 5) = 0, $F34,
    BI34 * (1 - IFERROR(INDEX('Inputs &amp; Assuptions'!$C$13:$C$72, COLUMN() - ($E34 + 5)), 0))
  )
)</f>
        <v>921.31580376848899</v>
      </c>
      <c r="BK34" s="32">
        <f t="array" ref="BK34">IF(COLUMN() - ($E34 + 5) &lt; 0, 0,
  IF(COLUMN() - ($E34 + 5) = 0, $F34,
    BJ34 * (1 - IFERROR(INDEX('Inputs &amp; Assuptions'!$C$13:$C$72, COLUMN() - ($E34 + 5)), 0))
  )
)</f>
        <v>916.70922474964652</v>
      </c>
      <c r="BL34" s="32">
        <f t="array" ref="BL34">IF(COLUMN() - ($E34 + 5) &lt; 0, 0,
  IF(COLUMN() - ($E34 + 5) = 0, $F34,
    BK34 * (1 - IFERROR(INDEX('Inputs &amp; Assuptions'!$C$13:$C$72, COLUMN() - ($E34 + 5)), 0))
  )
)</f>
        <v>912.12567862589833</v>
      </c>
      <c r="BM34" s="66">
        <f t="array" ref="BM34">IF(COLUMN() - ($E34 + 5) &lt; 0, 0,
  IF(COLUMN() - ($E34 + 5) = 0, $F34,
    BL34 * (1 - IFERROR(INDEX('Inputs &amp; Assuptions'!$C$13:$C$72, COLUMN() - ($E34 + 5)), 0))
  )
)</f>
        <v>907.56505023276884</v>
      </c>
      <c r="BN34" s="33"/>
    </row>
    <row r="35" spans="1:66" x14ac:dyDescent="0.3">
      <c r="A35" s="71">
        <f t="shared" si="2"/>
        <v>30</v>
      </c>
      <c r="B35" s="75">
        <f t="shared" si="4"/>
        <v>1653.75</v>
      </c>
      <c r="C35" s="81">
        <f>$B35*(1-'Inputs &amp; Assuptions'!$C$12)</f>
        <v>1289.925</v>
      </c>
      <c r="E35" s="71">
        <f t="shared" si="3"/>
        <v>30</v>
      </c>
      <c r="F35" s="65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>
        <f>$C35</f>
        <v>1289.925</v>
      </c>
      <c r="AJ35" s="32">
        <f t="array" ref="AJ35">IF(COLUMN() - ($E35 + 5) &lt; 0, 0,
  IF(COLUMN() - ($E35 + 5) = 0, $F35,
    AI35 * (1 - IFERROR(INDEX('Inputs &amp; Assuptions'!$C$13:$C$72, COLUMN() - ($E35 + 5)), 0))
  )
)</f>
        <v>1222.2039374999999</v>
      </c>
      <c r="AK35" s="32">
        <f t="array" ref="AK35">IF(COLUMN() - ($E35 + 5) &lt; 0, 0,
  IF(COLUMN() - ($E35 + 5) = 0, $F35,
    AJ35 * (1 - IFERROR(INDEX('Inputs &amp; Assuptions'!$C$13:$C$72, COLUMN() - ($E35 + 5)), 0))
  )
)</f>
        <v>1173.3157799999999</v>
      </c>
      <c r="AL35" s="32">
        <f t="array" ref="AL35">IF(COLUMN() - ($E35 + 5) &lt; 0, 0,
  IF(COLUMN() - ($E35 + 5) = 0, $F35,
    AK35 * (1 - IFERROR(INDEX('Inputs &amp; Assuptions'!$C$13:$C$72, COLUMN() - ($E35 + 5)), 0))
  )
)</f>
        <v>1141.04959605</v>
      </c>
      <c r="AM35" s="32">
        <f t="array" ref="AM35">IF(COLUMN() - ($E35 + 5) &lt; 0, 0,
  IF(COLUMN() - ($E35 + 5) = 0, $F35,
    AL35 * (1 - IFERROR(INDEX('Inputs &amp; Assuptions'!$C$13:$C$72, COLUMN() - ($E35 + 5)), 0))
  )
)</f>
        <v>1112.5233561487501</v>
      </c>
      <c r="AN35" s="32">
        <f t="array" ref="AN35">IF(COLUMN() - ($E35 + 5) &lt; 0, 0,
  IF(COLUMN() - ($E35 + 5) = 0, $F35,
    AM35 * (1 - IFERROR(INDEX('Inputs &amp; Assuptions'!$C$13:$C$72, COLUMN() - ($E35 + 5)), 0))
  )
)</f>
        <v>1087.4915806354031</v>
      </c>
      <c r="AO35" s="32">
        <f t="array" ref="AO35">IF(COLUMN() - ($E35 + 5) &lt; 0, 0,
  IF(COLUMN() - ($E35 + 5) = 0, $F35,
    AN35 * (1 - IFERROR(INDEX('Inputs &amp; Assuptions'!$C$13:$C$72, COLUMN() - ($E35 + 5)), 0))
  )
)</f>
        <v>1065.7417490226951</v>
      </c>
      <c r="AP35" s="32">
        <f t="array" ref="AP35">IF(COLUMN() - ($E35 + 5) &lt; 0, 0,
  IF(COLUMN() - ($E35 + 5) = 0, $F35,
    AO35 * (1 - IFERROR(INDEX('Inputs &amp; Assuptions'!$C$13:$C$72, COLUMN() - ($E35 + 5)), 0))
  )
)</f>
        <v>1047.0912684147979</v>
      </c>
      <c r="AQ35" s="32">
        <f t="array" ref="AQ35">IF(COLUMN() - ($E35 + 5) &lt; 0, 0,
  IF(COLUMN() - ($E35 + 5) = 0, $F35,
    AP35 * (1 - IFERROR(INDEX('Inputs &amp; Assuptions'!$C$13:$C$72, COLUMN() - ($E35 + 5)), 0))
  )
)</f>
        <v>1031.3848993885758</v>
      </c>
      <c r="AR35" s="32">
        <f t="array" ref="AR35">IF(COLUMN() - ($E35 + 5) &lt; 0, 0,
  IF(COLUMN() - ($E35 + 5) = 0, $F35,
    AQ35 * (1 - IFERROR(INDEX('Inputs &amp; Assuptions'!$C$13:$C$72, COLUMN() - ($E35 + 5)), 0))
  )
)</f>
        <v>1018.4925881462187</v>
      </c>
      <c r="AS35" s="32">
        <f t="array" ref="AS35">IF(COLUMN() - ($E35 + 5) &lt; 0, 0,
  IF(COLUMN() - ($E35 + 5) = 0, $F35,
    AR35 * (1 - IFERROR(INDEX('Inputs &amp; Assuptions'!$C$13:$C$72, COLUMN() - ($E35 + 5)), 0))
  )
)</f>
        <v>1008.3076622647566</v>
      </c>
      <c r="AT35" s="32">
        <f t="array" ref="AT35">IF(COLUMN() - ($E35 + 5) &lt; 0, 0,
  IF(COLUMN() - ($E35 + 5) = 0, $F35,
    AS35 * (1 - IFERROR(INDEX('Inputs &amp; Assuptions'!$C$13:$C$72, COLUMN() - ($E35 + 5)), 0))
  )
)</f>
        <v>1003.2661239534328</v>
      </c>
      <c r="AU35" s="32">
        <f t="array" ref="AU35">IF(COLUMN() - ($E35 + 5) &lt; 0, 0,
  IF(COLUMN() - ($E35 + 5) = 0, $F35,
    AT35 * (1 - IFERROR(INDEX('Inputs &amp; Assuptions'!$C$13:$C$72, COLUMN() - ($E35 + 5)), 0))
  )
)</f>
        <v>998.24979333366571</v>
      </c>
      <c r="AV35" s="32">
        <f t="array" ref="AV35">IF(COLUMN() - ($E35 + 5) &lt; 0, 0,
  IF(COLUMN() - ($E35 + 5) = 0, $F35,
    AU35 * (1 - IFERROR(INDEX('Inputs &amp; Assuptions'!$C$13:$C$72, COLUMN() - ($E35 + 5)), 0))
  )
)</f>
        <v>993.2585443669974</v>
      </c>
      <c r="AW35" s="32">
        <f t="array" ref="AW35">IF(COLUMN() - ($E35 + 5) &lt; 0, 0,
  IF(COLUMN() - ($E35 + 5) = 0, $F35,
    AV35 * (1 - IFERROR(INDEX('Inputs &amp; Assuptions'!$C$13:$C$72, COLUMN() - ($E35 + 5)), 0))
  )
)</f>
        <v>988.29225164516242</v>
      </c>
      <c r="AX35" s="32">
        <f t="array" ref="AX35">IF(COLUMN() - ($E35 + 5) &lt; 0, 0,
  IF(COLUMN() - ($E35 + 5) = 0, $F35,
    AW35 * (1 - IFERROR(INDEX('Inputs &amp; Assuptions'!$C$13:$C$72, COLUMN() - ($E35 + 5)), 0))
  )
)</f>
        <v>983.35079038693664</v>
      </c>
      <c r="AY35" s="32">
        <f t="array" ref="AY35">IF(COLUMN() - ($E35 + 5) &lt; 0, 0,
  IF(COLUMN() - ($E35 + 5) = 0, $F35,
    AX35 * (1 - IFERROR(INDEX('Inputs &amp; Assuptions'!$C$13:$C$72, COLUMN() - ($E35 + 5)), 0))
  )
)</f>
        <v>978.43403643500199</v>
      </c>
      <c r="AZ35" s="32">
        <f t="array" ref="AZ35">IF(COLUMN() - ($E35 + 5) &lt; 0, 0,
  IF(COLUMN() - ($E35 + 5) = 0, $F35,
    AY35 * (1 - IFERROR(INDEX('Inputs &amp; Assuptions'!$C$13:$C$72, COLUMN() - ($E35 + 5)), 0))
  )
)</f>
        <v>973.54186625282694</v>
      </c>
      <c r="BA35" s="32">
        <f t="array" ref="BA35">IF(COLUMN() - ($E35 + 5) &lt; 0, 0,
  IF(COLUMN() - ($E35 + 5) = 0, $F35,
    AZ35 * (1 - IFERROR(INDEX('Inputs &amp; Assuptions'!$C$13:$C$72, COLUMN() - ($E35 + 5)), 0))
  )
)</f>
        <v>968.67415692156283</v>
      </c>
      <c r="BB35" s="32">
        <f t="array" ref="BB35">IF(COLUMN() - ($E35 + 5) &lt; 0, 0,
  IF(COLUMN() - ($E35 + 5) = 0, $F35,
    BA35 * (1 - IFERROR(INDEX('Inputs &amp; Assuptions'!$C$13:$C$72, COLUMN() - ($E35 + 5)), 0))
  )
)</f>
        <v>963.830786136955</v>
      </c>
      <c r="BC35" s="32">
        <f t="array" ref="BC35">IF(COLUMN() - ($E35 + 5) &lt; 0, 0,
  IF(COLUMN() - ($E35 + 5) = 0, $F35,
    BB35 * (1 - IFERROR(INDEX('Inputs &amp; Assuptions'!$C$13:$C$72, COLUMN() - ($E35 + 5)), 0))
  )
)</f>
        <v>959.01163220627018</v>
      </c>
      <c r="BD35" s="32">
        <f t="array" ref="BD35">IF(COLUMN() - ($E35 + 5) &lt; 0, 0,
  IF(COLUMN() - ($E35 + 5) = 0, $F35,
    BC35 * (1 - IFERROR(INDEX('Inputs &amp; Assuptions'!$C$13:$C$72, COLUMN() - ($E35 + 5)), 0))
  )
)</f>
        <v>954.21657404523887</v>
      </c>
      <c r="BE35" s="32">
        <f t="array" ref="BE35">IF(COLUMN() - ($E35 + 5) &lt; 0, 0,
  IF(COLUMN() - ($E35 + 5) = 0, $F35,
    BD35 * (1 - IFERROR(INDEX('Inputs &amp; Assuptions'!$C$13:$C$72, COLUMN() - ($E35 + 5)), 0))
  )
)</f>
        <v>949.44549117501265</v>
      </c>
      <c r="BF35" s="32">
        <f t="array" ref="BF35">IF(COLUMN() - ($E35 + 5) &lt; 0, 0,
  IF(COLUMN() - ($E35 + 5) = 0, $F35,
    BE35 * (1 - IFERROR(INDEX('Inputs &amp; Assuptions'!$C$13:$C$72, COLUMN() - ($E35 + 5)), 0))
  )
)</f>
        <v>944.69826371913757</v>
      </c>
      <c r="BG35" s="32">
        <f t="array" ref="BG35">IF(COLUMN() - ($E35 + 5) &lt; 0, 0,
  IF(COLUMN() - ($E35 + 5) = 0, $F35,
    BF35 * (1 - IFERROR(INDEX('Inputs &amp; Assuptions'!$C$13:$C$72, COLUMN() - ($E35 + 5)), 0))
  )
)</f>
        <v>939.97477240054184</v>
      </c>
      <c r="BH35" s="32">
        <f t="array" ref="BH35">IF(COLUMN() - ($E35 + 5) &lt; 0, 0,
  IF(COLUMN() - ($E35 + 5) = 0, $F35,
    BG35 * (1 - IFERROR(INDEX('Inputs &amp; Assuptions'!$C$13:$C$72, COLUMN() - ($E35 + 5)), 0))
  )
)</f>
        <v>935.27489853853911</v>
      </c>
      <c r="BI35" s="32">
        <f t="array" ref="BI35">IF(COLUMN() - ($E35 + 5) &lt; 0, 0,
  IF(COLUMN() - ($E35 + 5) = 0, $F35,
    BH35 * (1 - IFERROR(INDEX('Inputs &amp; Assuptions'!$C$13:$C$72, COLUMN() - ($E35 + 5)), 0))
  )
)</f>
        <v>930.59852404584637</v>
      </c>
      <c r="BJ35" s="32">
        <f t="array" ref="BJ35">IF(COLUMN() - ($E35 + 5) &lt; 0, 0,
  IF(COLUMN() - ($E35 + 5) = 0, $F35,
    BI35 * (1 - IFERROR(INDEX('Inputs &amp; Assuptions'!$C$13:$C$72, COLUMN() - ($E35 + 5)), 0))
  )
)</f>
        <v>925.94553142561711</v>
      </c>
      <c r="BK35" s="32">
        <f t="array" ref="BK35">IF(COLUMN() - ($E35 + 5) &lt; 0, 0,
  IF(COLUMN() - ($E35 + 5) = 0, $F35,
    BJ35 * (1 - IFERROR(INDEX('Inputs &amp; Assuptions'!$C$13:$C$72, COLUMN() - ($E35 + 5)), 0))
  )
)</f>
        <v>921.31580376848899</v>
      </c>
      <c r="BL35" s="32">
        <f t="array" ref="BL35">IF(COLUMN() - ($E35 + 5) &lt; 0, 0,
  IF(COLUMN() - ($E35 + 5) = 0, $F35,
    BK35 * (1 - IFERROR(INDEX('Inputs &amp; Assuptions'!$C$13:$C$72, COLUMN() - ($E35 + 5)), 0))
  )
)</f>
        <v>916.70922474964652</v>
      </c>
      <c r="BM35" s="66">
        <f t="array" ref="BM35">IF(COLUMN() - ($E35 + 5) &lt; 0, 0,
  IF(COLUMN() - ($E35 + 5) = 0, $F35,
    BL35 * (1 - IFERROR(INDEX('Inputs &amp; Assuptions'!$C$13:$C$72, COLUMN() - ($E35 + 5)), 0))
  )
)</f>
        <v>912.12567862589833</v>
      </c>
      <c r="BN35" s="33"/>
    </row>
    <row r="36" spans="1:66" x14ac:dyDescent="0.3">
      <c r="A36" s="71">
        <f t="shared" si="2"/>
        <v>31</v>
      </c>
      <c r="B36" s="75">
        <f t="shared" si="4"/>
        <v>1653.75</v>
      </c>
      <c r="C36" s="81">
        <f>$B36*(1-'Inputs &amp; Assuptions'!$C$12)</f>
        <v>1289.925</v>
      </c>
      <c r="E36" s="71">
        <f t="shared" si="3"/>
        <v>31</v>
      </c>
      <c r="F36" s="65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>
        <f>$C36</f>
        <v>1289.925</v>
      </c>
      <c r="AK36" s="32">
        <f t="array" ref="AK36">IF(COLUMN() - ($E36 + 5) &lt; 0, 0,
  IF(COLUMN() - ($E36 + 5) = 0, $F36,
    AJ36 * (1 - IFERROR(INDEX('Inputs &amp; Assuptions'!$C$13:$C$72, COLUMN() - ($E36 + 5)), 0))
  )
)</f>
        <v>1222.2039374999999</v>
      </c>
      <c r="AL36" s="32">
        <f t="array" ref="AL36">IF(COLUMN() - ($E36 + 5) &lt; 0, 0,
  IF(COLUMN() - ($E36 + 5) = 0, $F36,
    AK36 * (1 - IFERROR(INDEX('Inputs &amp; Assuptions'!$C$13:$C$72, COLUMN() - ($E36 + 5)), 0))
  )
)</f>
        <v>1173.3157799999999</v>
      </c>
      <c r="AM36" s="32">
        <f t="array" ref="AM36">IF(COLUMN() - ($E36 + 5) &lt; 0, 0,
  IF(COLUMN() - ($E36 + 5) = 0, $F36,
    AL36 * (1 - IFERROR(INDEX('Inputs &amp; Assuptions'!$C$13:$C$72, COLUMN() - ($E36 + 5)), 0))
  )
)</f>
        <v>1141.04959605</v>
      </c>
      <c r="AN36" s="32">
        <f t="array" ref="AN36">IF(COLUMN() - ($E36 + 5) &lt; 0, 0,
  IF(COLUMN() - ($E36 + 5) = 0, $F36,
    AM36 * (1 - IFERROR(INDEX('Inputs &amp; Assuptions'!$C$13:$C$72, COLUMN() - ($E36 + 5)), 0))
  )
)</f>
        <v>1112.5233561487501</v>
      </c>
      <c r="AO36" s="32">
        <f t="array" ref="AO36">IF(COLUMN() - ($E36 + 5) &lt; 0, 0,
  IF(COLUMN() - ($E36 + 5) = 0, $F36,
    AN36 * (1 - IFERROR(INDEX('Inputs &amp; Assuptions'!$C$13:$C$72, COLUMN() - ($E36 + 5)), 0))
  )
)</f>
        <v>1087.4915806354031</v>
      </c>
      <c r="AP36" s="32">
        <f t="array" ref="AP36">IF(COLUMN() - ($E36 + 5) &lt; 0, 0,
  IF(COLUMN() - ($E36 + 5) = 0, $F36,
    AO36 * (1 - IFERROR(INDEX('Inputs &amp; Assuptions'!$C$13:$C$72, COLUMN() - ($E36 + 5)), 0))
  )
)</f>
        <v>1065.7417490226951</v>
      </c>
      <c r="AQ36" s="32">
        <f t="array" ref="AQ36">IF(COLUMN() - ($E36 + 5) &lt; 0, 0,
  IF(COLUMN() - ($E36 + 5) = 0, $F36,
    AP36 * (1 - IFERROR(INDEX('Inputs &amp; Assuptions'!$C$13:$C$72, COLUMN() - ($E36 + 5)), 0))
  )
)</f>
        <v>1047.0912684147979</v>
      </c>
      <c r="AR36" s="32">
        <f t="array" ref="AR36">IF(COLUMN() - ($E36 + 5) &lt; 0, 0,
  IF(COLUMN() - ($E36 + 5) = 0, $F36,
    AQ36 * (1 - IFERROR(INDEX('Inputs &amp; Assuptions'!$C$13:$C$72, COLUMN() - ($E36 + 5)), 0))
  )
)</f>
        <v>1031.3848993885758</v>
      </c>
      <c r="AS36" s="32">
        <f t="array" ref="AS36">IF(COLUMN() - ($E36 + 5) &lt; 0, 0,
  IF(COLUMN() - ($E36 + 5) = 0, $F36,
    AR36 * (1 - IFERROR(INDEX('Inputs &amp; Assuptions'!$C$13:$C$72, COLUMN() - ($E36 + 5)), 0))
  )
)</f>
        <v>1018.4925881462187</v>
      </c>
      <c r="AT36" s="32">
        <f t="array" ref="AT36">IF(COLUMN() - ($E36 + 5) &lt; 0, 0,
  IF(COLUMN() - ($E36 + 5) = 0, $F36,
    AS36 * (1 - IFERROR(INDEX('Inputs &amp; Assuptions'!$C$13:$C$72, COLUMN() - ($E36 + 5)), 0))
  )
)</f>
        <v>1008.3076622647566</v>
      </c>
      <c r="AU36" s="32">
        <f t="array" ref="AU36">IF(COLUMN() - ($E36 + 5) &lt; 0, 0,
  IF(COLUMN() - ($E36 + 5) = 0, $F36,
    AT36 * (1 - IFERROR(INDEX('Inputs &amp; Assuptions'!$C$13:$C$72, COLUMN() - ($E36 + 5)), 0))
  )
)</f>
        <v>1003.2661239534328</v>
      </c>
      <c r="AV36" s="32">
        <f t="array" ref="AV36">IF(COLUMN() - ($E36 + 5) &lt; 0, 0,
  IF(COLUMN() - ($E36 + 5) = 0, $F36,
    AU36 * (1 - IFERROR(INDEX('Inputs &amp; Assuptions'!$C$13:$C$72, COLUMN() - ($E36 + 5)), 0))
  )
)</f>
        <v>998.24979333366571</v>
      </c>
      <c r="AW36" s="32">
        <f t="array" ref="AW36">IF(COLUMN() - ($E36 + 5) &lt; 0, 0,
  IF(COLUMN() - ($E36 + 5) = 0, $F36,
    AV36 * (1 - IFERROR(INDEX('Inputs &amp; Assuptions'!$C$13:$C$72, COLUMN() - ($E36 + 5)), 0))
  )
)</f>
        <v>993.2585443669974</v>
      </c>
      <c r="AX36" s="32">
        <f t="array" ref="AX36">IF(COLUMN() - ($E36 + 5) &lt; 0, 0,
  IF(COLUMN() - ($E36 + 5) = 0, $F36,
    AW36 * (1 - IFERROR(INDEX('Inputs &amp; Assuptions'!$C$13:$C$72, COLUMN() - ($E36 + 5)), 0))
  )
)</f>
        <v>988.29225164516242</v>
      </c>
      <c r="AY36" s="32">
        <f t="array" ref="AY36">IF(COLUMN() - ($E36 + 5) &lt; 0, 0,
  IF(COLUMN() - ($E36 + 5) = 0, $F36,
    AX36 * (1 - IFERROR(INDEX('Inputs &amp; Assuptions'!$C$13:$C$72, COLUMN() - ($E36 + 5)), 0))
  )
)</f>
        <v>983.35079038693664</v>
      </c>
      <c r="AZ36" s="32">
        <f t="array" ref="AZ36">IF(COLUMN() - ($E36 + 5) &lt; 0, 0,
  IF(COLUMN() - ($E36 + 5) = 0, $F36,
    AY36 * (1 - IFERROR(INDEX('Inputs &amp; Assuptions'!$C$13:$C$72, COLUMN() - ($E36 + 5)), 0))
  )
)</f>
        <v>978.43403643500199</v>
      </c>
      <c r="BA36" s="32">
        <f t="array" ref="BA36">IF(COLUMN() - ($E36 + 5) &lt; 0, 0,
  IF(COLUMN() - ($E36 + 5) = 0, $F36,
    AZ36 * (1 - IFERROR(INDEX('Inputs &amp; Assuptions'!$C$13:$C$72, COLUMN() - ($E36 + 5)), 0))
  )
)</f>
        <v>973.54186625282694</v>
      </c>
      <c r="BB36" s="32">
        <f t="array" ref="BB36">IF(COLUMN() - ($E36 + 5) &lt; 0, 0,
  IF(COLUMN() - ($E36 + 5) = 0, $F36,
    BA36 * (1 - IFERROR(INDEX('Inputs &amp; Assuptions'!$C$13:$C$72, COLUMN() - ($E36 + 5)), 0))
  )
)</f>
        <v>968.67415692156283</v>
      </c>
      <c r="BC36" s="32">
        <f t="array" ref="BC36">IF(COLUMN() - ($E36 + 5) &lt; 0, 0,
  IF(COLUMN() - ($E36 + 5) = 0, $F36,
    BB36 * (1 - IFERROR(INDEX('Inputs &amp; Assuptions'!$C$13:$C$72, COLUMN() - ($E36 + 5)), 0))
  )
)</f>
        <v>963.830786136955</v>
      </c>
      <c r="BD36" s="32">
        <f t="array" ref="BD36">IF(COLUMN() - ($E36 + 5) &lt; 0, 0,
  IF(COLUMN() - ($E36 + 5) = 0, $F36,
    BC36 * (1 - IFERROR(INDEX('Inputs &amp; Assuptions'!$C$13:$C$72, COLUMN() - ($E36 + 5)), 0))
  )
)</f>
        <v>959.01163220627018</v>
      </c>
      <c r="BE36" s="32">
        <f t="array" ref="BE36">IF(COLUMN() - ($E36 + 5) &lt; 0, 0,
  IF(COLUMN() - ($E36 + 5) = 0, $F36,
    BD36 * (1 - IFERROR(INDEX('Inputs &amp; Assuptions'!$C$13:$C$72, COLUMN() - ($E36 + 5)), 0))
  )
)</f>
        <v>954.21657404523887</v>
      </c>
      <c r="BF36" s="32">
        <f t="array" ref="BF36">IF(COLUMN() - ($E36 + 5) &lt; 0, 0,
  IF(COLUMN() - ($E36 + 5) = 0, $F36,
    BE36 * (1 - IFERROR(INDEX('Inputs &amp; Assuptions'!$C$13:$C$72, COLUMN() - ($E36 + 5)), 0))
  )
)</f>
        <v>949.44549117501265</v>
      </c>
      <c r="BG36" s="32">
        <f t="array" ref="BG36">IF(COLUMN() - ($E36 + 5) &lt; 0, 0,
  IF(COLUMN() - ($E36 + 5) = 0, $F36,
    BF36 * (1 - IFERROR(INDEX('Inputs &amp; Assuptions'!$C$13:$C$72, COLUMN() - ($E36 + 5)), 0))
  )
)</f>
        <v>944.69826371913757</v>
      </c>
      <c r="BH36" s="32">
        <f t="array" ref="BH36">IF(COLUMN() - ($E36 + 5) &lt; 0, 0,
  IF(COLUMN() - ($E36 + 5) = 0, $F36,
    BG36 * (1 - IFERROR(INDEX('Inputs &amp; Assuptions'!$C$13:$C$72, COLUMN() - ($E36 + 5)), 0))
  )
)</f>
        <v>939.97477240054184</v>
      </c>
      <c r="BI36" s="32">
        <f t="array" ref="BI36">IF(COLUMN() - ($E36 + 5) &lt; 0, 0,
  IF(COLUMN() - ($E36 + 5) = 0, $F36,
    BH36 * (1 - IFERROR(INDEX('Inputs &amp; Assuptions'!$C$13:$C$72, COLUMN() - ($E36 + 5)), 0))
  )
)</f>
        <v>935.27489853853911</v>
      </c>
      <c r="BJ36" s="32">
        <f t="array" ref="BJ36">IF(COLUMN() - ($E36 + 5) &lt; 0, 0,
  IF(COLUMN() - ($E36 + 5) = 0, $F36,
    BI36 * (1 - IFERROR(INDEX('Inputs &amp; Assuptions'!$C$13:$C$72, COLUMN() - ($E36 + 5)), 0))
  )
)</f>
        <v>930.59852404584637</v>
      </c>
      <c r="BK36" s="32">
        <f t="array" ref="BK36">IF(COLUMN() - ($E36 + 5) &lt; 0, 0,
  IF(COLUMN() - ($E36 + 5) = 0, $F36,
    BJ36 * (1 - IFERROR(INDEX('Inputs &amp; Assuptions'!$C$13:$C$72, COLUMN() - ($E36 + 5)), 0))
  )
)</f>
        <v>925.94553142561711</v>
      </c>
      <c r="BL36" s="32">
        <f t="array" ref="BL36">IF(COLUMN() - ($E36 + 5) &lt; 0, 0,
  IF(COLUMN() - ($E36 + 5) = 0, $F36,
    BK36 * (1 - IFERROR(INDEX('Inputs &amp; Assuptions'!$C$13:$C$72, COLUMN() - ($E36 + 5)), 0))
  )
)</f>
        <v>921.31580376848899</v>
      </c>
      <c r="BM36" s="66">
        <f t="array" ref="BM36">IF(COLUMN() - ($E36 + 5) &lt; 0, 0,
  IF(COLUMN() - ($E36 + 5) = 0, $F36,
    BL36 * (1 - IFERROR(INDEX('Inputs &amp; Assuptions'!$C$13:$C$72, COLUMN() - ($E36 + 5)), 0))
  )
)</f>
        <v>916.70922474964652</v>
      </c>
      <c r="BN36" s="33"/>
    </row>
    <row r="37" spans="1:66" x14ac:dyDescent="0.3">
      <c r="A37" s="71">
        <f t="shared" si="2"/>
        <v>32</v>
      </c>
      <c r="B37" s="75">
        <f t="shared" si="4"/>
        <v>1653.75</v>
      </c>
      <c r="C37" s="81">
        <f>$B37*(1-'Inputs &amp; Assuptions'!$C$12)</f>
        <v>1289.925</v>
      </c>
      <c r="E37" s="71">
        <f t="shared" si="3"/>
        <v>32</v>
      </c>
      <c r="F37" s="65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>
        <f>$C37</f>
        <v>1289.925</v>
      </c>
      <c r="AL37" s="32">
        <f t="array" ref="AL37">IF(COLUMN() - ($E37 + 5) &lt; 0, 0,
  IF(COLUMN() - ($E37 + 5) = 0, $F37,
    AK37 * (1 - IFERROR(INDEX('Inputs &amp; Assuptions'!$C$13:$C$72, COLUMN() - ($E37 + 5)), 0))
  )
)</f>
        <v>1222.2039374999999</v>
      </c>
      <c r="AM37" s="32">
        <f t="array" ref="AM37">IF(COLUMN() - ($E37 + 5) &lt; 0, 0,
  IF(COLUMN() - ($E37 + 5) = 0, $F37,
    AL37 * (1 - IFERROR(INDEX('Inputs &amp; Assuptions'!$C$13:$C$72, COLUMN() - ($E37 + 5)), 0))
  )
)</f>
        <v>1173.3157799999999</v>
      </c>
      <c r="AN37" s="32">
        <f t="array" ref="AN37">IF(COLUMN() - ($E37 + 5) &lt; 0, 0,
  IF(COLUMN() - ($E37 + 5) = 0, $F37,
    AM37 * (1 - IFERROR(INDEX('Inputs &amp; Assuptions'!$C$13:$C$72, COLUMN() - ($E37 + 5)), 0))
  )
)</f>
        <v>1141.04959605</v>
      </c>
      <c r="AO37" s="32">
        <f t="array" ref="AO37">IF(COLUMN() - ($E37 + 5) &lt; 0, 0,
  IF(COLUMN() - ($E37 + 5) = 0, $F37,
    AN37 * (1 - IFERROR(INDEX('Inputs &amp; Assuptions'!$C$13:$C$72, COLUMN() - ($E37 + 5)), 0))
  )
)</f>
        <v>1112.5233561487501</v>
      </c>
      <c r="AP37" s="32">
        <f t="array" ref="AP37">IF(COLUMN() - ($E37 + 5) &lt; 0, 0,
  IF(COLUMN() - ($E37 + 5) = 0, $F37,
    AO37 * (1 - IFERROR(INDEX('Inputs &amp; Assuptions'!$C$13:$C$72, COLUMN() - ($E37 + 5)), 0))
  )
)</f>
        <v>1087.4915806354031</v>
      </c>
      <c r="AQ37" s="32">
        <f t="array" ref="AQ37">IF(COLUMN() - ($E37 + 5) &lt; 0, 0,
  IF(COLUMN() - ($E37 + 5) = 0, $F37,
    AP37 * (1 - IFERROR(INDEX('Inputs &amp; Assuptions'!$C$13:$C$72, COLUMN() - ($E37 + 5)), 0))
  )
)</f>
        <v>1065.7417490226951</v>
      </c>
      <c r="AR37" s="32">
        <f t="array" ref="AR37">IF(COLUMN() - ($E37 + 5) &lt; 0, 0,
  IF(COLUMN() - ($E37 + 5) = 0, $F37,
    AQ37 * (1 - IFERROR(INDEX('Inputs &amp; Assuptions'!$C$13:$C$72, COLUMN() - ($E37 + 5)), 0))
  )
)</f>
        <v>1047.0912684147979</v>
      </c>
      <c r="AS37" s="32">
        <f t="array" ref="AS37">IF(COLUMN() - ($E37 + 5) &lt; 0, 0,
  IF(COLUMN() - ($E37 + 5) = 0, $F37,
    AR37 * (1 - IFERROR(INDEX('Inputs &amp; Assuptions'!$C$13:$C$72, COLUMN() - ($E37 + 5)), 0))
  )
)</f>
        <v>1031.3848993885758</v>
      </c>
      <c r="AT37" s="32">
        <f t="array" ref="AT37">IF(COLUMN() - ($E37 + 5) &lt; 0, 0,
  IF(COLUMN() - ($E37 + 5) = 0, $F37,
    AS37 * (1 - IFERROR(INDEX('Inputs &amp; Assuptions'!$C$13:$C$72, COLUMN() - ($E37 + 5)), 0))
  )
)</f>
        <v>1018.4925881462187</v>
      </c>
      <c r="AU37" s="32">
        <f t="array" ref="AU37">IF(COLUMN() - ($E37 + 5) &lt; 0, 0,
  IF(COLUMN() - ($E37 + 5) = 0, $F37,
    AT37 * (1 - IFERROR(INDEX('Inputs &amp; Assuptions'!$C$13:$C$72, COLUMN() - ($E37 + 5)), 0))
  )
)</f>
        <v>1008.3076622647566</v>
      </c>
      <c r="AV37" s="32">
        <f t="array" ref="AV37">IF(COLUMN() - ($E37 + 5) &lt; 0, 0,
  IF(COLUMN() - ($E37 + 5) = 0, $F37,
    AU37 * (1 - IFERROR(INDEX('Inputs &amp; Assuptions'!$C$13:$C$72, COLUMN() - ($E37 + 5)), 0))
  )
)</f>
        <v>1003.2661239534328</v>
      </c>
      <c r="AW37" s="32">
        <f t="array" ref="AW37">IF(COLUMN() - ($E37 + 5) &lt; 0, 0,
  IF(COLUMN() - ($E37 + 5) = 0, $F37,
    AV37 * (1 - IFERROR(INDEX('Inputs &amp; Assuptions'!$C$13:$C$72, COLUMN() - ($E37 + 5)), 0))
  )
)</f>
        <v>998.24979333366571</v>
      </c>
      <c r="AX37" s="32">
        <f t="array" ref="AX37">IF(COLUMN() - ($E37 + 5) &lt; 0, 0,
  IF(COLUMN() - ($E37 + 5) = 0, $F37,
    AW37 * (1 - IFERROR(INDEX('Inputs &amp; Assuptions'!$C$13:$C$72, COLUMN() - ($E37 + 5)), 0))
  )
)</f>
        <v>993.2585443669974</v>
      </c>
      <c r="AY37" s="32">
        <f t="array" ref="AY37">IF(COLUMN() - ($E37 + 5) &lt; 0, 0,
  IF(COLUMN() - ($E37 + 5) = 0, $F37,
    AX37 * (1 - IFERROR(INDEX('Inputs &amp; Assuptions'!$C$13:$C$72, COLUMN() - ($E37 + 5)), 0))
  )
)</f>
        <v>988.29225164516242</v>
      </c>
      <c r="AZ37" s="32">
        <f t="array" ref="AZ37">IF(COLUMN() - ($E37 + 5) &lt; 0, 0,
  IF(COLUMN() - ($E37 + 5) = 0, $F37,
    AY37 * (1 - IFERROR(INDEX('Inputs &amp; Assuptions'!$C$13:$C$72, COLUMN() - ($E37 + 5)), 0))
  )
)</f>
        <v>983.35079038693664</v>
      </c>
      <c r="BA37" s="32">
        <f t="array" ref="BA37">IF(COLUMN() - ($E37 + 5) &lt; 0, 0,
  IF(COLUMN() - ($E37 + 5) = 0, $F37,
    AZ37 * (1 - IFERROR(INDEX('Inputs &amp; Assuptions'!$C$13:$C$72, COLUMN() - ($E37 + 5)), 0))
  )
)</f>
        <v>978.43403643500199</v>
      </c>
      <c r="BB37" s="32">
        <f t="array" ref="BB37">IF(COLUMN() - ($E37 + 5) &lt; 0, 0,
  IF(COLUMN() - ($E37 + 5) = 0, $F37,
    BA37 * (1 - IFERROR(INDEX('Inputs &amp; Assuptions'!$C$13:$C$72, COLUMN() - ($E37 + 5)), 0))
  )
)</f>
        <v>973.54186625282694</v>
      </c>
      <c r="BC37" s="32">
        <f t="array" ref="BC37">IF(COLUMN() - ($E37 + 5) &lt; 0, 0,
  IF(COLUMN() - ($E37 + 5) = 0, $F37,
    BB37 * (1 - IFERROR(INDEX('Inputs &amp; Assuptions'!$C$13:$C$72, COLUMN() - ($E37 + 5)), 0))
  )
)</f>
        <v>968.67415692156283</v>
      </c>
      <c r="BD37" s="32">
        <f t="array" ref="BD37">IF(COLUMN() - ($E37 + 5) &lt; 0, 0,
  IF(COLUMN() - ($E37 + 5) = 0, $F37,
    BC37 * (1 - IFERROR(INDEX('Inputs &amp; Assuptions'!$C$13:$C$72, COLUMN() - ($E37 + 5)), 0))
  )
)</f>
        <v>963.830786136955</v>
      </c>
      <c r="BE37" s="32">
        <f t="array" ref="BE37">IF(COLUMN() - ($E37 + 5) &lt; 0, 0,
  IF(COLUMN() - ($E37 + 5) = 0, $F37,
    BD37 * (1 - IFERROR(INDEX('Inputs &amp; Assuptions'!$C$13:$C$72, COLUMN() - ($E37 + 5)), 0))
  )
)</f>
        <v>959.01163220627018</v>
      </c>
      <c r="BF37" s="32">
        <f t="array" ref="BF37">IF(COLUMN() - ($E37 + 5) &lt; 0, 0,
  IF(COLUMN() - ($E37 + 5) = 0, $F37,
    BE37 * (1 - IFERROR(INDEX('Inputs &amp; Assuptions'!$C$13:$C$72, COLUMN() - ($E37 + 5)), 0))
  )
)</f>
        <v>954.21657404523887</v>
      </c>
      <c r="BG37" s="32">
        <f t="array" ref="BG37">IF(COLUMN() - ($E37 + 5) &lt; 0, 0,
  IF(COLUMN() - ($E37 + 5) = 0, $F37,
    BF37 * (1 - IFERROR(INDEX('Inputs &amp; Assuptions'!$C$13:$C$72, COLUMN() - ($E37 + 5)), 0))
  )
)</f>
        <v>949.44549117501265</v>
      </c>
      <c r="BH37" s="32">
        <f t="array" ref="BH37">IF(COLUMN() - ($E37 + 5) &lt; 0, 0,
  IF(COLUMN() - ($E37 + 5) = 0, $F37,
    BG37 * (1 - IFERROR(INDEX('Inputs &amp; Assuptions'!$C$13:$C$72, COLUMN() - ($E37 + 5)), 0))
  )
)</f>
        <v>944.69826371913757</v>
      </c>
      <c r="BI37" s="32">
        <f t="array" ref="BI37">IF(COLUMN() - ($E37 + 5) &lt; 0, 0,
  IF(COLUMN() - ($E37 + 5) = 0, $F37,
    BH37 * (1 - IFERROR(INDEX('Inputs &amp; Assuptions'!$C$13:$C$72, COLUMN() - ($E37 + 5)), 0))
  )
)</f>
        <v>939.97477240054184</v>
      </c>
      <c r="BJ37" s="32">
        <f t="array" ref="BJ37">IF(COLUMN() - ($E37 + 5) &lt; 0, 0,
  IF(COLUMN() - ($E37 + 5) = 0, $F37,
    BI37 * (1 - IFERROR(INDEX('Inputs &amp; Assuptions'!$C$13:$C$72, COLUMN() - ($E37 + 5)), 0))
  )
)</f>
        <v>935.27489853853911</v>
      </c>
      <c r="BK37" s="32">
        <f t="array" ref="BK37">IF(COLUMN() - ($E37 + 5) &lt; 0, 0,
  IF(COLUMN() - ($E37 + 5) = 0, $F37,
    BJ37 * (1 - IFERROR(INDEX('Inputs &amp; Assuptions'!$C$13:$C$72, COLUMN() - ($E37 + 5)), 0))
  )
)</f>
        <v>930.59852404584637</v>
      </c>
      <c r="BL37" s="32">
        <f t="array" ref="BL37">IF(COLUMN() - ($E37 + 5) &lt; 0, 0,
  IF(COLUMN() - ($E37 + 5) = 0, $F37,
    BK37 * (1 - IFERROR(INDEX('Inputs &amp; Assuptions'!$C$13:$C$72, COLUMN() - ($E37 + 5)), 0))
  )
)</f>
        <v>925.94553142561711</v>
      </c>
      <c r="BM37" s="66">
        <f t="array" ref="BM37">IF(COLUMN() - ($E37 + 5) &lt; 0, 0,
  IF(COLUMN() - ($E37 + 5) = 0, $F37,
    BL37 * (1 - IFERROR(INDEX('Inputs &amp; Assuptions'!$C$13:$C$72, COLUMN() - ($E37 + 5)), 0))
  )
)</f>
        <v>921.31580376848899</v>
      </c>
      <c r="BN37" s="33"/>
    </row>
    <row r="38" spans="1:66" x14ac:dyDescent="0.3">
      <c r="A38" s="71">
        <f t="shared" si="2"/>
        <v>33</v>
      </c>
      <c r="B38" s="75">
        <f t="shared" si="4"/>
        <v>1653.75</v>
      </c>
      <c r="C38" s="81">
        <f>$B38*(1-'Inputs &amp; Assuptions'!$C$12)</f>
        <v>1289.925</v>
      </c>
      <c r="E38" s="71">
        <f t="shared" si="3"/>
        <v>33</v>
      </c>
      <c r="F38" s="65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>
        <f>$C38</f>
        <v>1289.925</v>
      </c>
      <c r="AM38" s="32">
        <f t="array" ref="AM38">IF(COLUMN() - ($E38 + 5) &lt; 0, 0,
  IF(COLUMN() - ($E38 + 5) = 0, $F38,
    AL38 * (1 - IFERROR(INDEX('Inputs &amp; Assuptions'!$C$13:$C$72, COLUMN() - ($E38 + 5)), 0))
  )
)</f>
        <v>1222.2039374999999</v>
      </c>
      <c r="AN38" s="32">
        <f t="array" ref="AN38">IF(COLUMN() - ($E38 + 5) &lt; 0, 0,
  IF(COLUMN() - ($E38 + 5) = 0, $F38,
    AM38 * (1 - IFERROR(INDEX('Inputs &amp; Assuptions'!$C$13:$C$72, COLUMN() - ($E38 + 5)), 0))
  )
)</f>
        <v>1173.3157799999999</v>
      </c>
      <c r="AO38" s="32">
        <f t="array" ref="AO38">IF(COLUMN() - ($E38 + 5) &lt; 0, 0,
  IF(COLUMN() - ($E38 + 5) = 0, $F38,
    AN38 * (1 - IFERROR(INDEX('Inputs &amp; Assuptions'!$C$13:$C$72, COLUMN() - ($E38 + 5)), 0))
  )
)</f>
        <v>1141.04959605</v>
      </c>
      <c r="AP38" s="32">
        <f t="array" ref="AP38">IF(COLUMN() - ($E38 + 5) &lt; 0, 0,
  IF(COLUMN() - ($E38 + 5) = 0, $F38,
    AO38 * (1 - IFERROR(INDEX('Inputs &amp; Assuptions'!$C$13:$C$72, COLUMN() - ($E38 + 5)), 0))
  )
)</f>
        <v>1112.5233561487501</v>
      </c>
      <c r="AQ38" s="32">
        <f t="array" ref="AQ38">IF(COLUMN() - ($E38 + 5) &lt; 0, 0,
  IF(COLUMN() - ($E38 + 5) = 0, $F38,
    AP38 * (1 - IFERROR(INDEX('Inputs &amp; Assuptions'!$C$13:$C$72, COLUMN() - ($E38 + 5)), 0))
  )
)</f>
        <v>1087.4915806354031</v>
      </c>
      <c r="AR38" s="32">
        <f t="array" ref="AR38">IF(COLUMN() - ($E38 + 5) &lt; 0, 0,
  IF(COLUMN() - ($E38 + 5) = 0, $F38,
    AQ38 * (1 - IFERROR(INDEX('Inputs &amp; Assuptions'!$C$13:$C$72, COLUMN() - ($E38 + 5)), 0))
  )
)</f>
        <v>1065.7417490226951</v>
      </c>
      <c r="AS38" s="32">
        <f t="array" ref="AS38">IF(COLUMN() - ($E38 + 5) &lt; 0, 0,
  IF(COLUMN() - ($E38 + 5) = 0, $F38,
    AR38 * (1 - IFERROR(INDEX('Inputs &amp; Assuptions'!$C$13:$C$72, COLUMN() - ($E38 + 5)), 0))
  )
)</f>
        <v>1047.0912684147979</v>
      </c>
      <c r="AT38" s="32">
        <f t="array" ref="AT38">IF(COLUMN() - ($E38 + 5) &lt; 0, 0,
  IF(COLUMN() - ($E38 + 5) = 0, $F38,
    AS38 * (1 - IFERROR(INDEX('Inputs &amp; Assuptions'!$C$13:$C$72, COLUMN() - ($E38 + 5)), 0))
  )
)</f>
        <v>1031.3848993885758</v>
      </c>
      <c r="AU38" s="32">
        <f t="array" ref="AU38">IF(COLUMN() - ($E38 + 5) &lt; 0, 0,
  IF(COLUMN() - ($E38 + 5) = 0, $F38,
    AT38 * (1 - IFERROR(INDEX('Inputs &amp; Assuptions'!$C$13:$C$72, COLUMN() - ($E38 + 5)), 0))
  )
)</f>
        <v>1018.4925881462187</v>
      </c>
      <c r="AV38" s="32">
        <f t="array" ref="AV38">IF(COLUMN() - ($E38 + 5) &lt; 0, 0,
  IF(COLUMN() - ($E38 + 5) = 0, $F38,
    AU38 * (1 - IFERROR(INDEX('Inputs &amp; Assuptions'!$C$13:$C$72, COLUMN() - ($E38 + 5)), 0))
  )
)</f>
        <v>1008.3076622647566</v>
      </c>
      <c r="AW38" s="32">
        <f t="array" ref="AW38">IF(COLUMN() - ($E38 + 5) &lt; 0, 0,
  IF(COLUMN() - ($E38 + 5) = 0, $F38,
    AV38 * (1 - IFERROR(INDEX('Inputs &amp; Assuptions'!$C$13:$C$72, COLUMN() - ($E38 + 5)), 0))
  )
)</f>
        <v>1003.2661239534328</v>
      </c>
      <c r="AX38" s="32">
        <f t="array" ref="AX38">IF(COLUMN() - ($E38 + 5) &lt; 0, 0,
  IF(COLUMN() - ($E38 + 5) = 0, $F38,
    AW38 * (1 - IFERROR(INDEX('Inputs &amp; Assuptions'!$C$13:$C$72, COLUMN() - ($E38 + 5)), 0))
  )
)</f>
        <v>998.24979333366571</v>
      </c>
      <c r="AY38" s="32">
        <f t="array" ref="AY38">IF(COLUMN() - ($E38 + 5) &lt; 0, 0,
  IF(COLUMN() - ($E38 + 5) = 0, $F38,
    AX38 * (1 - IFERROR(INDEX('Inputs &amp; Assuptions'!$C$13:$C$72, COLUMN() - ($E38 + 5)), 0))
  )
)</f>
        <v>993.2585443669974</v>
      </c>
      <c r="AZ38" s="32">
        <f t="array" ref="AZ38">IF(COLUMN() - ($E38 + 5) &lt; 0, 0,
  IF(COLUMN() - ($E38 + 5) = 0, $F38,
    AY38 * (1 - IFERROR(INDEX('Inputs &amp; Assuptions'!$C$13:$C$72, COLUMN() - ($E38 + 5)), 0))
  )
)</f>
        <v>988.29225164516242</v>
      </c>
      <c r="BA38" s="32">
        <f t="array" ref="BA38">IF(COLUMN() - ($E38 + 5) &lt; 0, 0,
  IF(COLUMN() - ($E38 + 5) = 0, $F38,
    AZ38 * (1 - IFERROR(INDEX('Inputs &amp; Assuptions'!$C$13:$C$72, COLUMN() - ($E38 + 5)), 0))
  )
)</f>
        <v>983.35079038693664</v>
      </c>
      <c r="BB38" s="32">
        <f t="array" ref="BB38">IF(COLUMN() - ($E38 + 5) &lt; 0, 0,
  IF(COLUMN() - ($E38 + 5) = 0, $F38,
    BA38 * (1 - IFERROR(INDEX('Inputs &amp; Assuptions'!$C$13:$C$72, COLUMN() - ($E38 + 5)), 0))
  )
)</f>
        <v>978.43403643500199</v>
      </c>
      <c r="BC38" s="32">
        <f t="array" ref="BC38">IF(COLUMN() - ($E38 + 5) &lt; 0, 0,
  IF(COLUMN() - ($E38 + 5) = 0, $F38,
    BB38 * (1 - IFERROR(INDEX('Inputs &amp; Assuptions'!$C$13:$C$72, COLUMN() - ($E38 + 5)), 0))
  )
)</f>
        <v>973.54186625282694</v>
      </c>
      <c r="BD38" s="32">
        <f t="array" ref="BD38">IF(COLUMN() - ($E38 + 5) &lt; 0, 0,
  IF(COLUMN() - ($E38 + 5) = 0, $F38,
    BC38 * (1 - IFERROR(INDEX('Inputs &amp; Assuptions'!$C$13:$C$72, COLUMN() - ($E38 + 5)), 0))
  )
)</f>
        <v>968.67415692156283</v>
      </c>
      <c r="BE38" s="32">
        <f t="array" ref="BE38">IF(COLUMN() - ($E38 + 5) &lt; 0, 0,
  IF(COLUMN() - ($E38 + 5) = 0, $F38,
    BD38 * (1 - IFERROR(INDEX('Inputs &amp; Assuptions'!$C$13:$C$72, COLUMN() - ($E38 + 5)), 0))
  )
)</f>
        <v>963.830786136955</v>
      </c>
      <c r="BF38" s="32">
        <f t="array" ref="BF38">IF(COLUMN() - ($E38 + 5) &lt; 0, 0,
  IF(COLUMN() - ($E38 + 5) = 0, $F38,
    BE38 * (1 - IFERROR(INDEX('Inputs &amp; Assuptions'!$C$13:$C$72, COLUMN() - ($E38 + 5)), 0))
  )
)</f>
        <v>959.01163220627018</v>
      </c>
      <c r="BG38" s="32">
        <f t="array" ref="BG38">IF(COLUMN() - ($E38 + 5) &lt; 0, 0,
  IF(COLUMN() - ($E38 + 5) = 0, $F38,
    BF38 * (1 - IFERROR(INDEX('Inputs &amp; Assuptions'!$C$13:$C$72, COLUMN() - ($E38 + 5)), 0))
  )
)</f>
        <v>954.21657404523887</v>
      </c>
      <c r="BH38" s="32">
        <f t="array" ref="BH38">IF(COLUMN() - ($E38 + 5) &lt; 0, 0,
  IF(COLUMN() - ($E38 + 5) = 0, $F38,
    BG38 * (1 - IFERROR(INDEX('Inputs &amp; Assuptions'!$C$13:$C$72, COLUMN() - ($E38 + 5)), 0))
  )
)</f>
        <v>949.44549117501265</v>
      </c>
      <c r="BI38" s="32">
        <f t="array" ref="BI38">IF(COLUMN() - ($E38 + 5) &lt; 0, 0,
  IF(COLUMN() - ($E38 + 5) = 0, $F38,
    BH38 * (1 - IFERROR(INDEX('Inputs &amp; Assuptions'!$C$13:$C$72, COLUMN() - ($E38 + 5)), 0))
  )
)</f>
        <v>944.69826371913757</v>
      </c>
      <c r="BJ38" s="32">
        <f t="array" ref="BJ38">IF(COLUMN() - ($E38 + 5) &lt; 0, 0,
  IF(COLUMN() - ($E38 + 5) = 0, $F38,
    BI38 * (1 - IFERROR(INDEX('Inputs &amp; Assuptions'!$C$13:$C$72, COLUMN() - ($E38 + 5)), 0))
  )
)</f>
        <v>939.97477240054184</v>
      </c>
      <c r="BK38" s="32">
        <f t="array" ref="BK38">IF(COLUMN() - ($E38 + 5) &lt; 0, 0,
  IF(COLUMN() - ($E38 + 5) = 0, $F38,
    BJ38 * (1 - IFERROR(INDEX('Inputs &amp; Assuptions'!$C$13:$C$72, COLUMN() - ($E38 + 5)), 0))
  )
)</f>
        <v>935.27489853853911</v>
      </c>
      <c r="BL38" s="32">
        <f t="array" ref="BL38">IF(COLUMN() - ($E38 + 5) &lt; 0, 0,
  IF(COLUMN() - ($E38 + 5) = 0, $F38,
    BK38 * (1 - IFERROR(INDEX('Inputs &amp; Assuptions'!$C$13:$C$72, COLUMN() - ($E38 + 5)), 0))
  )
)</f>
        <v>930.59852404584637</v>
      </c>
      <c r="BM38" s="66">
        <f t="array" ref="BM38">IF(COLUMN() - ($E38 + 5) &lt; 0, 0,
  IF(COLUMN() - ($E38 + 5) = 0, $F38,
    BL38 * (1 - IFERROR(INDEX('Inputs &amp; Assuptions'!$C$13:$C$72, COLUMN() - ($E38 + 5)), 0))
  )
)</f>
        <v>925.94553142561711</v>
      </c>
      <c r="BN38" s="33"/>
    </row>
    <row r="39" spans="1:66" x14ac:dyDescent="0.3">
      <c r="A39" s="71">
        <f t="shared" ref="A39:A65" si="6">A38+1</f>
        <v>34</v>
      </c>
      <c r="B39" s="75">
        <f t="shared" si="4"/>
        <v>1653.75</v>
      </c>
      <c r="C39" s="81">
        <f>$B39*(1-'Inputs &amp; Assuptions'!$C$12)</f>
        <v>1289.925</v>
      </c>
      <c r="E39" s="71">
        <f t="shared" ref="E39:E65" si="7">E38+1</f>
        <v>34</v>
      </c>
      <c r="F39" s="65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>
        <f>$C39</f>
        <v>1289.925</v>
      </c>
      <c r="AN39" s="32">
        <f t="array" ref="AN39">IF(COLUMN() - ($E39 + 5) &lt; 0, 0,
  IF(COLUMN() - ($E39 + 5) = 0, $F39,
    AM39 * (1 - IFERROR(INDEX('Inputs &amp; Assuptions'!$C$13:$C$72, COLUMN() - ($E39 + 5)), 0))
  )
)</f>
        <v>1222.2039374999999</v>
      </c>
      <c r="AO39" s="32">
        <f t="array" ref="AO39">IF(COLUMN() - ($E39 + 5) &lt; 0, 0,
  IF(COLUMN() - ($E39 + 5) = 0, $F39,
    AN39 * (1 - IFERROR(INDEX('Inputs &amp; Assuptions'!$C$13:$C$72, COLUMN() - ($E39 + 5)), 0))
  )
)</f>
        <v>1173.3157799999999</v>
      </c>
      <c r="AP39" s="32">
        <f t="array" ref="AP39">IF(COLUMN() - ($E39 + 5) &lt; 0, 0,
  IF(COLUMN() - ($E39 + 5) = 0, $F39,
    AO39 * (1 - IFERROR(INDEX('Inputs &amp; Assuptions'!$C$13:$C$72, COLUMN() - ($E39 + 5)), 0))
  )
)</f>
        <v>1141.04959605</v>
      </c>
      <c r="AQ39" s="32">
        <f t="array" ref="AQ39">IF(COLUMN() - ($E39 + 5) &lt; 0, 0,
  IF(COLUMN() - ($E39 + 5) = 0, $F39,
    AP39 * (1 - IFERROR(INDEX('Inputs &amp; Assuptions'!$C$13:$C$72, COLUMN() - ($E39 + 5)), 0))
  )
)</f>
        <v>1112.5233561487501</v>
      </c>
      <c r="AR39" s="32">
        <f t="array" ref="AR39">IF(COLUMN() - ($E39 + 5) &lt; 0, 0,
  IF(COLUMN() - ($E39 + 5) = 0, $F39,
    AQ39 * (1 - IFERROR(INDEX('Inputs &amp; Assuptions'!$C$13:$C$72, COLUMN() - ($E39 + 5)), 0))
  )
)</f>
        <v>1087.4915806354031</v>
      </c>
      <c r="AS39" s="32">
        <f t="array" ref="AS39">IF(COLUMN() - ($E39 + 5) &lt; 0, 0,
  IF(COLUMN() - ($E39 + 5) = 0, $F39,
    AR39 * (1 - IFERROR(INDEX('Inputs &amp; Assuptions'!$C$13:$C$72, COLUMN() - ($E39 + 5)), 0))
  )
)</f>
        <v>1065.7417490226951</v>
      </c>
      <c r="AT39" s="32">
        <f t="array" ref="AT39">IF(COLUMN() - ($E39 + 5) &lt; 0, 0,
  IF(COLUMN() - ($E39 + 5) = 0, $F39,
    AS39 * (1 - IFERROR(INDEX('Inputs &amp; Assuptions'!$C$13:$C$72, COLUMN() - ($E39 + 5)), 0))
  )
)</f>
        <v>1047.0912684147979</v>
      </c>
      <c r="AU39" s="32">
        <f t="array" ref="AU39">IF(COLUMN() - ($E39 + 5) &lt; 0, 0,
  IF(COLUMN() - ($E39 + 5) = 0, $F39,
    AT39 * (1 - IFERROR(INDEX('Inputs &amp; Assuptions'!$C$13:$C$72, COLUMN() - ($E39 + 5)), 0))
  )
)</f>
        <v>1031.3848993885758</v>
      </c>
      <c r="AV39" s="32">
        <f t="array" ref="AV39">IF(COLUMN() - ($E39 + 5) &lt; 0, 0,
  IF(COLUMN() - ($E39 + 5) = 0, $F39,
    AU39 * (1 - IFERROR(INDEX('Inputs &amp; Assuptions'!$C$13:$C$72, COLUMN() - ($E39 + 5)), 0))
  )
)</f>
        <v>1018.4925881462187</v>
      </c>
      <c r="AW39" s="32">
        <f t="array" ref="AW39">IF(COLUMN() - ($E39 + 5) &lt; 0, 0,
  IF(COLUMN() - ($E39 + 5) = 0, $F39,
    AV39 * (1 - IFERROR(INDEX('Inputs &amp; Assuptions'!$C$13:$C$72, COLUMN() - ($E39 + 5)), 0))
  )
)</f>
        <v>1008.3076622647566</v>
      </c>
      <c r="AX39" s="32">
        <f t="array" ref="AX39">IF(COLUMN() - ($E39 + 5) &lt; 0, 0,
  IF(COLUMN() - ($E39 + 5) = 0, $F39,
    AW39 * (1 - IFERROR(INDEX('Inputs &amp; Assuptions'!$C$13:$C$72, COLUMN() - ($E39 + 5)), 0))
  )
)</f>
        <v>1003.2661239534328</v>
      </c>
      <c r="AY39" s="32">
        <f t="array" ref="AY39">IF(COLUMN() - ($E39 + 5) &lt; 0, 0,
  IF(COLUMN() - ($E39 + 5) = 0, $F39,
    AX39 * (1 - IFERROR(INDEX('Inputs &amp; Assuptions'!$C$13:$C$72, COLUMN() - ($E39 + 5)), 0))
  )
)</f>
        <v>998.24979333366571</v>
      </c>
      <c r="AZ39" s="32">
        <f t="array" ref="AZ39">IF(COLUMN() - ($E39 + 5) &lt; 0, 0,
  IF(COLUMN() - ($E39 + 5) = 0, $F39,
    AY39 * (1 - IFERROR(INDEX('Inputs &amp; Assuptions'!$C$13:$C$72, COLUMN() - ($E39 + 5)), 0))
  )
)</f>
        <v>993.2585443669974</v>
      </c>
      <c r="BA39" s="32">
        <f t="array" ref="BA39">IF(COLUMN() - ($E39 + 5) &lt; 0, 0,
  IF(COLUMN() - ($E39 + 5) = 0, $F39,
    AZ39 * (1 - IFERROR(INDEX('Inputs &amp; Assuptions'!$C$13:$C$72, COLUMN() - ($E39 + 5)), 0))
  )
)</f>
        <v>988.29225164516242</v>
      </c>
      <c r="BB39" s="32">
        <f t="array" ref="BB39">IF(COLUMN() - ($E39 + 5) &lt; 0, 0,
  IF(COLUMN() - ($E39 + 5) = 0, $F39,
    BA39 * (1 - IFERROR(INDEX('Inputs &amp; Assuptions'!$C$13:$C$72, COLUMN() - ($E39 + 5)), 0))
  )
)</f>
        <v>983.35079038693664</v>
      </c>
      <c r="BC39" s="32">
        <f t="array" ref="BC39">IF(COLUMN() - ($E39 + 5) &lt; 0, 0,
  IF(COLUMN() - ($E39 + 5) = 0, $F39,
    BB39 * (1 - IFERROR(INDEX('Inputs &amp; Assuptions'!$C$13:$C$72, COLUMN() - ($E39 + 5)), 0))
  )
)</f>
        <v>978.43403643500199</v>
      </c>
      <c r="BD39" s="32">
        <f t="array" ref="BD39">IF(COLUMN() - ($E39 + 5) &lt; 0, 0,
  IF(COLUMN() - ($E39 + 5) = 0, $F39,
    BC39 * (1 - IFERROR(INDEX('Inputs &amp; Assuptions'!$C$13:$C$72, COLUMN() - ($E39 + 5)), 0))
  )
)</f>
        <v>973.54186625282694</v>
      </c>
      <c r="BE39" s="32">
        <f t="array" ref="BE39">IF(COLUMN() - ($E39 + 5) &lt; 0, 0,
  IF(COLUMN() - ($E39 + 5) = 0, $F39,
    BD39 * (1 - IFERROR(INDEX('Inputs &amp; Assuptions'!$C$13:$C$72, COLUMN() - ($E39 + 5)), 0))
  )
)</f>
        <v>968.67415692156283</v>
      </c>
      <c r="BF39" s="32">
        <f t="array" ref="BF39">IF(COLUMN() - ($E39 + 5) &lt; 0, 0,
  IF(COLUMN() - ($E39 + 5) = 0, $F39,
    BE39 * (1 - IFERROR(INDEX('Inputs &amp; Assuptions'!$C$13:$C$72, COLUMN() - ($E39 + 5)), 0))
  )
)</f>
        <v>963.830786136955</v>
      </c>
      <c r="BG39" s="32">
        <f t="array" ref="BG39">IF(COLUMN() - ($E39 + 5) &lt; 0, 0,
  IF(COLUMN() - ($E39 + 5) = 0, $F39,
    BF39 * (1 - IFERROR(INDEX('Inputs &amp; Assuptions'!$C$13:$C$72, COLUMN() - ($E39 + 5)), 0))
  )
)</f>
        <v>959.01163220627018</v>
      </c>
      <c r="BH39" s="32">
        <f t="array" ref="BH39">IF(COLUMN() - ($E39 + 5) &lt; 0, 0,
  IF(COLUMN() - ($E39 + 5) = 0, $F39,
    BG39 * (1 - IFERROR(INDEX('Inputs &amp; Assuptions'!$C$13:$C$72, COLUMN() - ($E39 + 5)), 0))
  )
)</f>
        <v>954.21657404523887</v>
      </c>
      <c r="BI39" s="32">
        <f t="array" ref="BI39">IF(COLUMN() - ($E39 + 5) &lt; 0, 0,
  IF(COLUMN() - ($E39 + 5) = 0, $F39,
    BH39 * (1 - IFERROR(INDEX('Inputs &amp; Assuptions'!$C$13:$C$72, COLUMN() - ($E39 + 5)), 0))
  )
)</f>
        <v>949.44549117501265</v>
      </c>
      <c r="BJ39" s="32">
        <f t="array" ref="BJ39">IF(COLUMN() - ($E39 + 5) &lt; 0, 0,
  IF(COLUMN() - ($E39 + 5) = 0, $F39,
    BI39 * (1 - IFERROR(INDEX('Inputs &amp; Assuptions'!$C$13:$C$72, COLUMN() - ($E39 + 5)), 0))
  )
)</f>
        <v>944.69826371913757</v>
      </c>
      <c r="BK39" s="32">
        <f t="array" ref="BK39">IF(COLUMN() - ($E39 + 5) &lt; 0, 0,
  IF(COLUMN() - ($E39 + 5) = 0, $F39,
    BJ39 * (1 - IFERROR(INDEX('Inputs &amp; Assuptions'!$C$13:$C$72, COLUMN() - ($E39 + 5)), 0))
  )
)</f>
        <v>939.97477240054184</v>
      </c>
      <c r="BL39" s="32">
        <f t="array" ref="BL39">IF(COLUMN() - ($E39 + 5) &lt; 0, 0,
  IF(COLUMN() - ($E39 + 5) = 0, $F39,
    BK39 * (1 - IFERROR(INDEX('Inputs &amp; Assuptions'!$C$13:$C$72, COLUMN() - ($E39 + 5)), 0))
  )
)</f>
        <v>935.27489853853911</v>
      </c>
      <c r="BM39" s="66">
        <f t="array" ref="BM39">IF(COLUMN() - ($E39 + 5) &lt; 0, 0,
  IF(COLUMN() - ($E39 + 5) = 0, $F39,
    BL39 * (1 - IFERROR(INDEX('Inputs &amp; Assuptions'!$C$13:$C$72, COLUMN() - ($E39 + 5)), 0))
  )
)</f>
        <v>930.59852404584637</v>
      </c>
      <c r="BN39" s="33"/>
    </row>
    <row r="40" spans="1:66" x14ac:dyDescent="0.3">
      <c r="A40" s="71">
        <f t="shared" si="6"/>
        <v>35</v>
      </c>
      <c r="B40" s="75">
        <f t="shared" si="4"/>
        <v>1653.75</v>
      </c>
      <c r="C40" s="81">
        <f>$B40*(1-'Inputs &amp; Assuptions'!$C$12)</f>
        <v>1289.925</v>
      </c>
      <c r="E40" s="71">
        <f t="shared" si="7"/>
        <v>35</v>
      </c>
      <c r="F40" s="65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>
        <f>$C40</f>
        <v>1289.925</v>
      </c>
      <c r="AO40" s="32">
        <f t="array" ref="AO40">IF(COLUMN() - ($E40 + 5) &lt; 0, 0,
  IF(COLUMN() - ($E40 + 5) = 0, $F40,
    AN40 * (1 - IFERROR(INDEX('Inputs &amp; Assuptions'!$C$13:$C$72, COLUMN() - ($E40 + 5)), 0))
  )
)</f>
        <v>1222.2039374999999</v>
      </c>
      <c r="AP40" s="32">
        <f t="array" ref="AP40">IF(COLUMN() - ($E40 + 5) &lt; 0, 0,
  IF(COLUMN() - ($E40 + 5) = 0, $F40,
    AO40 * (1 - IFERROR(INDEX('Inputs &amp; Assuptions'!$C$13:$C$72, COLUMN() - ($E40 + 5)), 0))
  )
)</f>
        <v>1173.3157799999999</v>
      </c>
      <c r="AQ40" s="32">
        <f t="array" ref="AQ40">IF(COLUMN() - ($E40 + 5) &lt; 0, 0,
  IF(COLUMN() - ($E40 + 5) = 0, $F40,
    AP40 * (1 - IFERROR(INDEX('Inputs &amp; Assuptions'!$C$13:$C$72, COLUMN() - ($E40 + 5)), 0))
  )
)</f>
        <v>1141.04959605</v>
      </c>
      <c r="AR40" s="32">
        <f t="array" ref="AR40">IF(COLUMN() - ($E40 + 5) &lt; 0, 0,
  IF(COLUMN() - ($E40 + 5) = 0, $F40,
    AQ40 * (1 - IFERROR(INDEX('Inputs &amp; Assuptions'!$C$13:$C$72, COLUMN() - ($E40 + 5)), 0))
  )
)</f>
        <v>1112.5233561487501</v>
      </c>
      <c r="AS40" s="32">
        <f t="array" ref="AS40">IF(COLUMN() - ($E40 + 5) &lt; 0, 0,
  IF(COLUMN() - ($E40 + 5) = 0, $F40,
    AR40 * (1 - IFERROR(INDEX('Inputs &amp; Assuptions'!$C$13:$C$72, COLUMN() - ($E40 + 5)), 0))
  )
)</f>
        <v>1087.4915806354031</v>
      </c>
      <c r="AT40" s="32">
        <f t="array" ref="AT40">IF(COLUMN() - ($E40 + 5) &lt; 0, 0,
  IF(COLUMN() - ($E40 + 5) = 0, $F40,
    AS40 * (1 - IFERROR(INDEX('Inputs &amp; Assuptions'!$C$13:$C$72, COLUMN() - ($E40 + 5)), 0))
  )
)</f>
        <v>1065.7417490226951</v>
      </c>
      <c r="AU40" s="32">
        <f t="array" ref="AU40">IF(COLUMN() - ($E40 + 5) &lt; 0, 0,
  IF(COLUMN() - ($E40 + 5) = 0, $F40,
    AT40 * (1 - IFERROR(INDEX('Inputs &amp; Assuptions'!$C$13:$C$72, COLUMN() - ($E40 + 5)), 0))
  )
)</f>
        <v>1047.0912684147979</v>
      </c>
      <c r="AV40" s="32">
        <f t="array" ref="AV40">IF(COLUMN() - ($E40 + 5) &lt; 0, 0,
  IF(COLUMN() - ($E40 + 5) = 0, $F40,
    AU40 * (1 - IFERROR(INDEX('Inputs &amp; Assuptions'!$C$13:$C$72, COLUMN() - ($E40 + 5)), 0))
  )
)</f>
        <v>1031.3848993885758</v>
      </c>
      <c r="AW40" s="32">
        <f t="array" ref="AW40">IF(COLUMN() - ($E40 + 5) &lt; 0, 0,
  IF(COLUMN() - ($E40 + 5) = 0, $F40,
    AV40 * (1 - IFERROR(INDEX('Inputs &amp; Assuptions'!$C$13:$C$72, COLUMN() - ($E40 + 5)), 0))
  )
)</f>
        <v>1018.4925881462187</v>
      </c>
      <c r="AX40" s="32">
        <f t="array" ref="AX40">IF(COLUMN() - ($E40 + 5) &lt; 0, 0,
  IF(COLUMN() - ($E40 + 5) = 0, $F40,
    AW40 * (1 - IFERROR(INDEX('Inputs &amp; Assuptions'!$C$13:$C$72, COLUMN() - ($E40 + 5)), 0))
  )
)</f>
        <v>1008.3076622647566</v>
      </c>
      <c r="AY40" s="32">
        <f t="array" ref="AY40">IF(COLUMN() - ($E40 + 5) &lt; 0, 0,
  IF(COLUMN() - ($E40 + 5) = 0, $F40,
    AX40 * (1 - IFERROR(INDEX('Inputs &amp; Assuptions'!$C$13:$C$72, COLUMN() - ($E40 + 5)), 0))
  )
)</f>
        <v>1003.2661239534328</v>
      </c>
      <c r="AZ40" s="32">
        <f t="array" ref="AZ40">IF(COLUMN() - ($E40 + 5) &lt; 0, 0,
  IF(COLUMN() - ($E40 + 5) = 0, $F40,
    AY40 * (1 - IFERROR(INDEX('Inputs &amp; Assuptions'!$C$13:$C$72, COLUMN() - ($E40 + 5)), 0))
  )
)</f>
        <v>998.24979333366571</v>
      </c>
      <c r="BA40" s="32">
        <f t="array" ref="BA40">IF(COLUMN() - ($E40 + 5) &lt; 0, 0,
  IF(COLUMN() - ($E40 + 5) = 0, $F40,
    AZ40 * (1 - IFERROR(INDEX('Inputs &amp; Assuptions'!$C$13:$C$72, COLUMN() - ($E40 + 5)), 0))
  )
)</f>
        <v>993.2585443669974</v>
      </c>
      <c r="BB40" s="32">
        <f t="array" ref="BB40">IF(COLUMN() - ($E40 + 5) &lt; 0, 0,
  IF(COLUMN() - ($E40 + 5) = 0, $F40,
    BA40 * (1 - IFERROR(INDEX('Inputs &amp; Assuptions'!$C$13:$C$72, COLUMN() - ($E40 + 5)), 0))
  )
)</f>
        <v>988.29225164516242</v>
      </c>
      <c r="BC40" s="32">
        <f t="array" ref="BC40">IF(COLUMN() - ($E40 + 5) &lt; 0, 0,
  IF(COLUMN() - ($E40 + 5) = 0, $F40,
    BB40 * (1 - IFERROR(INDEX('Inputs &amp; Assuptions'!$C$13:$C$72, COLUMN() - ($E40 + 5)), 0))
  )
)</f>
        <v>983.35079038693664</v>
      </c>
      <c r="BD40" s="32">
        <f t="array" ref="BD40">IF(COLUMN() - ($E40 + 5) &lt; 0, 0,
  IF(COLUMN() - ($E40 + 5) = 0, $F40,
    BC40 * (1 - IFERROR(INDEX('Inputs &amp; Assuptions'!$C$13:$C$72, COLUMN() - ($E40 + 5)), 0))
  )
)</f>
        <v>978.43403643500199</v>
      </c>
      <c r="BE40" s="32">
        <f t="array" ref="BE40">IF(COLUMN() - ($E40 + 5) &lt; 0, 0,
  IF(COLUMN() - ($E40 + 5) = 0, $F40,
    BD40 * (1 - IFERROR(INDEX('Inputs &amp; Assuptions'!$C$13:$C$72, COLUMN() - ($E40 + 5)), 0))
  )
)</f>
        <v>973.54186625282694</v>
      </c>
      <c r="BF40" s="32">
        <f t="array" ref="BF40">IF(COLUMN() - ($E40 + 5) &lt; 0, 0,
  IF(COLUMN() - ($E40 + 5) = 0, $F40,
    BE40 * (1 - IFERROR(INDEX('Inputs &amp; Assuptions'!$C$13:$C$72, COLUMN() - ($E40 + 5)), 0))
  )
)</f>
        <v>968.67415692156283</v>
      </c>
      <c r="BG40" s="32">
        <f t="array" ref="BG40">IF(COLUMN() - ($E40 + 5) &lt; 0, 0,
  IF(COLUMN() - ($E40 + 5) = 0, $F40,
    BF40 * (1 - IFERROR(INDEX('Inputs &amp; Assuptions'!$C$13:$C$72, COLUMN() - ($E40 + 5)), 0))
  )
)</f>
        <v>963.830786136955</v>
      </c>
      <c r="BH40" s="32">
        <f t="array" ref="BH40">IF(COLUMN() - ($E40 + 5) &lt; 0, 0,
  IF(COLUMN() - ($E40 + 5) = 0, $F40,
    BG40 * (1 - IFERROR(INDEX('Inputs &amp; Assuptions'!$C$13:$C$72, COLUMN() - ($E40 + 5)), 0))
  )
)</f>
        <v>959.01163220627018</v>
      </c>
      <c r="BI40" s="32">
        <f t="array" ref="BI40">IF(COLUMN() - ($E40 + 5) &lt; 0, 0,
  IF(COLUMN() - ($E40 + 5) = 0, $F40,
    BH40 * (1 - IFERROR(INDEX('Inputs &amp; Assuptions'!$C$13:$C$72, COLUMN() - ($E40 + 5)), 0))
  )
)</f>
        <v>954.21657404523887</v>
      </c>
      <c r="BJ40" s="32">
        <f t="array" ref="BJ40">IF(COLUMN() - ($E40 + 5) &lt; 0, 0,
  IF(COLUMN() - ($E40 + 5) = 0, $F40,
    BI40 * (1 - IFERROR(INDEX('Inputs &amp; Assuptions'!$C$13:$C$72, COLUMN() - ($E40 + 5)), 0))
  )
)</f>
        <v>949.44549117501265</v>
      </c>
      <c r="BK40" s="32">
        <f t="array" ref="BK40">IF(COLUMN() - ($E40 + 5) &lt; 0, 0,
  IF(COLUMN() - ($E40 + 5) = 0, $F40,
    BJ40 * (1 - IFERROR(INDEX('Inputs &amp; Assuptions'!$C$13:$C$72, COLUMN() - ($E40 + 5)), 0))
  )
)</f>
        <v>944.69826371913757</v>
      </c>
      <c r="BL40" s="32">
        <f t="array" ref="BL40">IF(COLUMN() - ($E40 + 5) &lt; 0, 0,
  IF(COLUMN() - ($E40 + 5) = 0, $F40,
    BK40 * (1 - IFERROR(INDEX('Inputs &amp; Assuptions'!$C$13:$C$72, COLUMN() - ($E40 + 5)), 0))
  )
)</f>
        <v>939.97477240054184</v>
      </c>
      <c r="BM40" s="66">
        <f t="array" ref="BM40">IF(COLUMN() - ($E40 + 5) &lt; 0, 0,
  IF(COLUMN() - ($E40 + 5) = 0, $F40,
    BL40 * (1 - IFERROR(INDEX('Inputs &amp; Assuptions'!$C$13:$C$72, COLUMN() - ($E40 + 5)), 0))
  )
)</f>
        <v>935.27489853853911</v>
      </c>
      <c r="BN40" s="33"/>
    </row>
    <row r="41" spans="1:66" x14ac:dyDescent="0.3">
      <c r="A41" s="71">
        <f t="shared" si="6"/>
        <v>36</v>
      </c>
      <c r="B41" s="75">
        <f t="shared" si="4"/>
        <v>1653.75</v>
      </c>
      <c r="C41" s="81">
        <f>$B41*(1-'Inputs &amp; Assuptions'!$C$12)</f>
        <v>1289.925</v>
      </c>
      <c r="E41" s="71">
        <f t="shared" si="7"/>
        <v>36</v>
      </c>
      <c r="F41" s="65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>
        <f>$C41</f>
        <v>1289.925</v>
      </c>
      <c r="AP41" s="32">
        <f t="array" ref="AP41">IF(COLUMN() - ($E41 + 5) &lt; 0, 0,
  IF(COLUMN() - ($E41 + 5) = 0, $F41,
    AO41 * (1 - IFERROR(INDEX('Inputs &amp; Assuptions'!$C$13:$C$72, COLUMN() - ($E41 + 5)), 0))
  )
)</f>
        <v>1222.2039374999999</v>
      </c>
      <c r="AQ41" s="32">
        <f t="array" ref="AQ41">IF(COLUMN() - ($E41 + 5) &lt; 0, 0,
  IF(COLUMN() - ($E41 + 5) = 0, $F41,
    AP41 * (1 - IFERROR(INDEX('Inputs &amp; Assuptions'!$C$13:$C$72, COLUMN() - ($E41 + 5)), 0))
  )
)</f>
        <v>1173.3157799999999</v>
      </c>
      <c r="AR41" s="32">
        <f t="array" ref="AR41">IF(COLUMN() - ($E41 + 5) &lt; 0, 0,
  IF(COLUMN() - ($E41 + 5) = 0, $F41,
    AQ41 * (1 - IFERROR(INDEX('Inputs &amp; Assuptions'!$C$13:$C$72, COLUMN() - ($E41 + 5)), 0))
  )
)</f>
        <v>1141.04959605</v>
      </c>
      <c r="AS41" s="32">
        <f t="array" ref="AS41">IF(COLUMN() - ($E41 + 5) &lt; 0, 0,
  IF(COLUMN() - ($E41 + 5) = 0, $F41,
    AR41 * (1 - IFERROR(INDEX('Inputs &amp; Assuptions'!$C$13:$C$72, COLUMN() - ($E41 + 5)), 0))
  )
)</f>
        <v>1112.5233561487501</v>
      </c>
      <c r="AT41" s="32">
        <f t="array" ref="AT41">IF(COLUMN() - ($E41 + 5) &lt; 0, 0,
  IF(COLUMN() - ($E41 + 5) = 0, $F41,
    AS41 * (1 - IFERROR(INDEX('Inputs &amp; Assuptions'!$C$13:$C$72, COLUMN() - ($E41 + 5)), 0))
  )
)</f>
        <v>1087.4915806354031</v>
      </c>
      <c r="AU41" s="32">
        <f t="array" ref="AU41">IF(COLUMN() - ($E41 + 5) &lt; 0, 0,
  IF(COLUMN() - ($E41 + 5) = 0, $F41,
    AT41 * (1 - IFERROR(INDEX('Inputs &amp; Assuptions'!$C$13:$C$72, COLUMN() - ($E41 + 5)), 0))
  )
)</f>
        <v>1065.7417490226951</v>
      </c>
      <c r="AV41" s="32">
        <f t="array" ref="AV41">IF(COLUMN() - ($E41 + 5) &lt; 0, 0,
  IF(COLUMN() - ($E41 + 5) = 0, $F41,
    AU41 * (1 - IFERROR(INDEX('Inputs &amp; Assuptions'!$C$13:$C$72, COLUMN() - ($E41 + 5)), 0))
  )
)</f>
        <v>1047.0912684147979</v>
      </c>
      <c r="AW41" s="32">
        <f t="array" ref="AW41">IF(COLUMN() - ($E41 + 5) &lt; 0, 0,
  IF(COLUMN() - ($E41 + 5) = 0, $F41,
    AV41 * (1 - IFERROR(INDEX('Inputs &amp; Assuptions'!$C$13:$C$72, COLUMN() - ($E41 + 5)), 0))
  )
)</f>
        <v>1031.3848993885758</v>
      </c>
      <c r="AX41" s="32">
        <f t="array" ref="AX41">IF(COLUMN() - ($E41 + 5) &lt; 0, 0,
  IF(COLUMN() - ($E41 + 5) = 0, $F41,
    AW41 * (1 - IFERROR(INDEX('Inputs &amp; Assuptions'!$C$13:$C$72, COLUMN() - ($E41 + 5)), 0))
  )
)</f>
        <v>1018.4925881462187</v>
      </c>
      <c r="AY41" s="32">
        <f t="array" ref="AY41">IF(COLUMN() - ($E41 + 5) &lt; 0, 0,
  IF(COLUMN() - ($E41 + 5) = 0, $F41,
    AX41 * (1 - IFERROR(INDEX('Inputs &amp; Assuptions'!$C$13:$C$72, COLUMN() - ($E41 + 5)), 0))
  )
)</f>
        <v>1008.3076622647566</v>
      </c>
      <c r="AZ41" s="32">
        <f t="array" ref="AZ41">IF(COLUMN() - ($E41 + 5) &lt; 0, 0,
  IF(COLUMN() - ($E41 + 5) = 0, $F41,
    AY41 * (1 - IFERROR(INDEX('Inputs &amp; Assuptions'!$C$13:$C$72, COLUMN() - ($E41 + 5)), 0))
  )
)</f>
        <v>1003.2661239534328</v>
      </c>
      <c r="BA41" s="32">
        <f t="array" ref="BA41">IF(COLUMN() - ($E41 + 5) &lt; 0, 0,
  IF(COLUMN() - ($E41 + 5) = 0, $F41,
    AZ41 * (1 - IFERROR(INDEX('Inputs &amp; Assuptions'!$C$13:$C$72, COLUMN() - ($E41 + 5)), 0))
  )
)</f>
        <v>998.24979333366571</v>
      </c>
      <c r="BB41" s="32">
        <f t="array" ref="BB41">IF(COLUMN() - ($E41 + 5) &lt; 0, 0,
  IF(COLUMN() - ($E41 + 5) = 0, $F41,
    BA41 * (1 - IFERROR(INDEX('Inputs &amp; Assuptions'!$C$13:$C$72, COLUMN() - ($E41 + 5)), 0))
  )
)</f>
        <v>993.2585443669974</v>
      </c>
      <c r="BC41" s="32">
        <f t="array" ref="BC41">IF(COLUMN() - ($E41 + 5) &lt; 0, 0,
  IF(COLUMN() - ($E41 + 5) = 0, $F41,
    BB41 * (1 - IFERROR(INDEX('Inputs &amp; Assuptions'!$C$13:$C$72, COLUMN() - ($E41 + 5)), 0))
  )
)</f>
        <v>988.29225164516242</v>
      </c>
      <c r="BD41" s="32">
        <f t="array" ref="BD41">IF(COLUMN() - ($E41 + 5) &lt; 0, 0,
  IF(COLUMN() - ($E41 + 5) = 0, $F41,
    BC41 * (1 - IFERROR(INDEX('Inputs &amp; Assuptions'!$C$13:$C$72, COLUMN() - ($E41 + 5)), 0))
  )
)</f>
        <v>983.35079038693664</v>
      </c>
      <c r="BE41" s="32">
        <f t="array" ref="BE41">IF(COLUMN() - ($E41 + 5) &lt; 0, 0,
  IF(COLUMN() - ($E41 + 5) = 0, $F41,
    BD41 * (1 - IFERROR(INDEX('Inputs &amp; Assuptions'!$C$13:$C$72, COLUMN() - ($E41 + 5)), 0))
  )
)</f>
        <v>978.43403643500199</v>
      </c>
      <c r="BF41" s="32">
        <f t="array" ref="BF41">IF(COLUMN() - ($E41 + 5) &lt; 0, 0,
  IF(COLUMN() - ($E41 + 5) = 0, $F41,
    BE41 * (1 - IFERROR(INDEX('Inputs &amp; Assuptions'!$C$13:$C$72, COLUMN() - ($E41 + 5)), 0))
  )
)</f>
        <v>973.54186625282694</v>
      </c>
      <c r="BG41" s="32">
        <f t="array" ref="BG41">IF(COLUMN() - ($E41 + 5) &lt; 0, 0,
  IF(COLUMN() - ($E41 + 5) = 0, $F41,
    BF41 * (1 - IFERROR(INDEX('Inputs &amp; Assuptions'!$C$13:$C$72, COLUMN() - ($E41 + 5)), 0))
  )
)</f>
        <v>968.67415692156283</v>
      </c>
      <c r="BH41" s="32">
        <f t="array" ref="BH41">IF(COLUMN() - ($E41 + 5) &lt; 0, 0,
  IF(COLUMN() - ($E41 + 5) = 0, $F41,
    BG41 * (1 - IFERROR(INDEX('Inputs &amp; Assuptions'!$C$13:$C$72, COLUMN() - ($E41 + 5)), 0))
  )
)</f>
        <v>963.830786136955</v>
      </c>
      <c r="BI41" s="32">
        <f t="array" ref="BI41">IF(COLUMN() - ($E41 + 5) &lt; 0, 0,
  IF(COLUMN() - ($E41 + 5) = 0, $F41,
    BH41 * (1 - IFERROR(INDEX('Inputs &amp; Assuptions'!$C$13:$C$72, COLUMN() - ($E41 + 5)), 0))
  )
)</f>
        <v>959.01163220627018</v>
      </c>
      <c r="BJ41" s="32">
        <f t="array" ref="BJ41">IF(COLUMN() - ($E41 + 5) &lt; 0, 0,
  IF(COLUMN() - ($E41 + 5) = 0, $F41,
    BI41 * (1 - IFERROR(INDEX('Inputs &amp; Assuptions'!$C$13:$C$72, COLUMN() - ($E41 + 5)), 0))
  )
)</f>
        <v>954.21657404523887</v>
      </c>
      <c r="BK41" s="32">
        <f t="array" ref="BK41">IF(COLUMN() - ($E41 + 5) &lt; 0, 0,
  IF(COLUMN() - ($E41 + 5) = 0, $F41,
    BJ41 * (1 - IFERROR(INDEX('Inputs &amp; Assuptions'!$C$13:$C$72, COLUMN() - ($E41 + 5)), 0))
  )
)</f>
        <v>949.44549117501265</v>
      </c>
      <c r="BL41" s="32">
        <f t="array" ref="BL41">IF(COLUMN() - ($E41 + 5) &lt; 0, 0,
  IF(COLUMN() - ($E41 + 5) = 0, $F41,
    BK41 * (1 - IFERROR(INDEX('Inputs &amp; Assuptions'!$C$13:$C$72, COLUMN() - ($E41 + 5)), 0))
  )
)</f>
        <v>944.69826371913757</v>
      </c>
      <c r="BM41" s="66">
        <f t="array" ref="BM41">IF(COLUMN() - ($E41 + 5) &lt; 0, 0,
  IF(COLUMN() - ($E41 + 5) = 0, $F41,
    BL41 * (1 - IFERROR(INDEX('Inputs &amp; Assuptions'!$C$13:$C$72, COLUMN() - ($E41 + 5)), 0))
  )
)</f>
        <v>939.97477240054184</v>
      </c>
      <c r="BN41" s="33"/>
    </row>
    <row r="42" spans="1:66" x14ac:dyDescent="0.3">
      <c r="A42" s="71">
        <f t="shared" si="6"/>
        <v>37</v>
      </c>
      <c r="B42" s="75">
        <f t="shared" si="4"/>
        <v>1736.4375</v>
      </c>
      <c r="C42" s="81">
        <f>$B42*(1-'Inputs &amp; Assuptions'!$C$12)</f>
        <v>1354.4212500000001</v>
      </c>
      <c r="E42" s="71">
        <f t="shared" si="7"/>
        <v>37</v>
      </c>
      <c r="F42" s="6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>
        <f>$C42</f>
        <v>1354.4212500000001</v>
      </c>
      <c r="AQ42" s="32">
        <f t="array" ref="AQ42">IF(COLUMN() - ($E42 + 5) &lt; 0, 0,
  IF(COLUMN() - ($E42 + 5) = 0, $F42,
    AP42 * (1 - IFERROR(INDEX('Inputs &amp; Assuptions'!$C$13:$C$72, COLUMN() - ($E42 + 5)), 0))
  )
)</f>
        <v>1283.3141343750001</v>
      </c>
      <c r="AR42" s="32">
        <f t="array" ref="AR42">IF(COLUMN() - ($E42 + 5) &lt; 0, 0,
  IF(COLUMN() - ($E42 + 5) = 0, $F42,
    AQ42 * (1 - IFERROR(INDEX('Inputs &amp; Assuptions'!$C$13:$C$72, COLUMN() - ($E42 + 5)), 0))
  )
)</f>
        <v>1231.981569</v>
      </c>
      <c r="AS42" s="32">
        <f t="array" ref="AS42">IF(COLUMN() - ($E42 + 5) &lt; 0, 0,
  IF(COLUMN() - ($E42 + 5) = 0, $F42,
    AR42 * (1 - IFERROR(INDEX('Inputs &amp; Assuptions'!$C$13:$C$72, COLUMN() - ($E42 + 5)), 0))
  )
)</f>
        <v>1198.1020758525001</v>
      </c>
      <c r="AT42" s="32">
        <f t="array" ref="AT42">IF(COLUMN() - ($E42 + 5) &lt; 0, 0,
  IF(COLUMN() - ($E42 + 5) = 0, $F42,
    AS42 * (1 - IFERROR(INDEX('Inputs &amp; Assuptions'!$C$13:$C$72, COLUMN() - ($E42 + 5)), 0))
  )
)</f>
        <v>1168.1495239561875</v>
      </c>
      <c r="AU42" s="32">
        <f t="array" ref="AU42">IF(COLUMN() - ($E42 + 5) &lt; 0, 0,
  IF(COLUMN() - ($E42 + 5) = 0, $F42,
    AT42 * (1 - IFERROR(INDEX('Inputs &amp; Assuptions'!$C$13:$C$72, COLUMN() - ($E42 + 5)), 0))
  )
)</f>
        <v>1141.8661596671734</v>
      </c>
      <c r="AV42" s="32">
        <f t="array" ref="AV42">IF(COLUMN() - ($E42 + 5) &lt; 0, 0,
  IF(COLUMN() - ($E42 + 5) = 0, $F42,
    AU42 * (1 - IFERROR(INDEX('Inputs &amp; Assuptions'!$C$13:$C$72, COLUMN() - ($E42 + 5)), 0))
  )
)</f>
        <v>1119.0288364738299</v>
      </c>
      <c r="AW42" s="32">
        <f t="array" ref="AW42">IF(COLUMN() - ($E42 + 5) &lt; 0, 0,
  IF(COLUMN() - ($E42 + 5) = 0, $F42,
    AV42 * (1 - IFERROR(INDEX('Inputs &amp; Assuptions'!$C$13:$C$72, COLUMN() - ($E42 + 5)), 0))
  )
)</f>
        <v>1099.445831835538</v>
      </c>
      <c r="AX42" s="32">
        <f t="array" ref="AX42">IF(COLUMN() - ($E42 + 5) &lt; 0, 0,
  IF(COLUMN() - ($E42 + 5) = 0, $F42,
    AW42 * (1 - IFERROR(INDEX('Inputs &amp; Assuptions'!$C$13:$C$72, COLUMN() - ($E42 + 5)), 0))
  )
)</f>
        <v>1082.9541443580049</v>
      </c>
      <c r="AY42" s="32">
        <f t="array" ref="AY42">IF(COLUMN() - ($E42 + 5) &lt; 0, 0,
  IF(COLUMN() - ($E42 + 5) = 0, $F42,
    AX42 * (1 - IFERROR(INDEX('Inputs &amp; Assuptions'!$C$13:$C$72, COLUMN() - ($E42 + 5)), 0))
  )
)</f>
        <v>1069.4172175535298</v>
      </c>
      <c r="AZ42" s="32">
        <f t="array" ref="AZ42">IF(COLUMN() - ($E42 + 5) &lt; 0, 0,
  IF(COLUMN() - ($E42 + 5) = 0, $F42,
    AY42 * (1 - IFERROR(INDEX('Inputs &amp; Assuptions'!$C$13:$C$72, COLUMN() - ($E42 + 5)), 0))
  )
)</f>
        <v>1058.7230453779944</v>
      </c>
      <c r="BA42" s="32">
        <f t="array" ref="BA42">IF(COLUMN() - ($E42 + 5) &lt; 0, 0,
  IF(COLUMN() - ($E42 + 5) = 0, $F42,
    AZ42 * (1 - IFERROR(INDEX('Inputs &amp; Assuptions'!$C$13:$C$72, COLUMN() - ($E42 + 5)), 0))
  )
)</f>
        <v>1053.4294301511045</v>
      </c>
      <c r="BB42" s="32">
        <f t="array" ref="BB42">IF(COLUMN() - ($E42 + 5) &lt; 0, 0,
  IF(COLUMN() - ($E42 + 5) = 0, $F42,
    BA42 * (1 - IFERROR(INDEX('Inputs &amp; Assuptions'!$C$13:$C$72, COLUMN() - ($E42 + 5)), 0))
  )
)</f>
        <v>1048.1622830003489</v>
      </c>
      <c r="BC42" s="32">
        <f t="array" ref="BC42">IF(COLUMN() - ($E42 + 5) &lt; 0, 0,
  IF(COLUMN() - ($E42 + 5) = 0, $F42,
    BB42 * (1 - IFERROR(INDEX('Inputs &amp; Assuptions'!$C$13:$C$72, COLUMN() - ($E42 + 5)), 0))
  )
)</f>
        <v>1042.9214715853473</v>
      </c>
      <c r="BD42" s="32">
        <f t="array" ref="BD42">IF(COLUMN() - ($E42 + 5) &lt; 0, 0,
  IF(COLUMN() - ($E42 + 5) = 0, $F42,
    BC42 * (1 - IFERROR(INDEX('Inputs &amp; Assuptions'!$C$13:$C$72, COLUMN() - ($E42 + 5)), 0))
  )
)</f>
        <v>1037.7068642274205</v>
      </c>
      <c r="BE42" s="32">
        <f t="array" ref="BE42">IF(COLUMN() - ($E42 + 5) &lt; 0, 0,
  IF(COLUMN() - ($E42 + 5) = 0, $F42,
    BD42 * (1 - IFERROR(INDEX('Inputs &amp; Assuptions'!$C$13:$C$72, COLUMN() - ($E42 + 5)), 0))
  )
)</f>
        <v>1032.5183299062835</v>
      </c>
      <c r="BF42" s="32">
        <f t="array" ref="BF42">IF(COLUMN() - ($E42 + 5) &lt; 0, 0,
  IF(COLUMN() - ($E42 + 5) = 0, $F42,
    BE42 * (1 - IFERROR(INDEX('Inputs &amp; Assuptions'!$C$13:$C$72, COLUMN() - ($E42 + 5)), 0))
  )
)</f>
        <v>1027.3557382567521</v>
      </c>
      <c r="BG42" s="32">
        <f t="array" ref="BG42">IF(COLUMN() - ($E42 + 5) &lt; 0, 0,
  IF(COLUMN() - ($E42 + 5) = 0, $F42,
    BF42 * (1 - IFERROR(INDEX('Inputs &amp; Assuptions'!$C$13:$C$72, COLUMN() - ($E42 + 5)), 0))
  )
)</f>
        <v>1022.2189595654684</v>
      </c>
      <c r="BH42" s="32">
        <f t="array" ref="BH42">IF(COLUMN() - ($E42 + 5) &lt; 0, 0,
  IF(COLUMN() - ($E42 + 5) = 0, $F42,
    BG42 * (1 - IFERROR(INDEX('Inputs &amp; Assuptions'!$C$13:$C$72, COLUMN() - ($E42 + 5)), 0))
  )
)</f>
        <v>1017.107864767641</v>
      </c>
      <c r="BI42" s="32">
        <f t="array" ref="BI42">IF(COLUMN() - ($E42 + 5) &lt; 0, 0,
  IF(COLUMN() - ($E42 + 5) = 0, $F42,
    BH42 * (1 - IFERROR(INDEX('Inputs &amp; Assuptions'!$C$13:$C$72, COLUMN() - ($E42 + 5)), 0))
  )
)</f>
        <v>1012.0223254438027</v>
      </c>
      <c r="BJ42" s="32">
        <f t="array" ref="BJ42">IF(COLUMN() - ($E42 + 5) &lt; 0, 0,
  IF(COLUMN() - ($E42 + 5) = 0, $F42,
    BI42 * (1 - IFERROR(INDEX('Inputs &amp; Assuptions'!$C$13:$C$72, COLUMN() - ($E42 + 5)), 0))
  )
)</f>
        <v>1006.9622138165837</v>
      </c>
      <c r="BK42" s="32">
        <f t="array" ref="BK42">IF(COLUMN() - ($E42 + 5) &lt; 0, 0,
  IF(COLUMN() - ($E42 + 5) = 0, $F42,
    BJ42 * (1 - IFERROR(INDEX('Inputs &amp; Assuptions'!$C$13:$C$72, COLUMN() - ($E42 + 5)), 0))
  )
)</f>
        <v>1001.9274027475008</v>
      </c>
      <c r="BL42" s="32">
        <f t="array" ref="BL42">IF(COLUMN() - ($E42 + 5) &lt; 0, 0,
  IF(COLUMN() - ($E42 + 5) = 0, $F42,
    BK42 * (1 - IFERROR(INDEX('Inputs &amp; Assuptions'!$C$13:$C$72, COLUMN() - ($E42 + 5)), 0))
  )
)</f>
        <v>996.9177657337633</v>
      </c>
      <c r="BM42" s="66">
        <f t="array" ref="BM42">IF(COLUMN() - ($E42 + 5) &lt; 0, 0,
  IF(COLUMN() - ($E42 + 5) = 0, $F42,
    BL42 * (1 - IFERROR(INDEX('Inputs &amp; Assuptions'!$C$13:$C$72, COLUMN() - ($E42 + 5)), 0))
  )
)</f>
        <v>991.93317690509446</v>
      </c>
      <c r="BN42" s="33"/>
    </row>
    <row r="43" spans="1:66" x14ac:dyDescent="0.3">
      <c r="A43" s="71">
        <f t="shared" si="6"/>
        <v>38</v>
      </c>
      <c r="B43" s="75">
        <f t="shared" si="4"/>
        <v>1736.4375</v>
      </c>
      <c r="C43" s="81">
        <f>$B43*(1-'Inputs &amp; Assuptions'!$C$12)</f>
        <v>1354.4212500000001</v>
      </c>
      <c r="E43" s="71">
        <f t="shared" si="7"/>
        <v>38</v>
      </c>
      <c r="F43" s="65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>
        <f>$C43</f>
        <v>1354.4212500000001</v>
      </c>
      <c r="AR43" s="32">
        <f t="array" ref="AR43">IF(COLUMN() - ($E43 + 5) &lt; 0, 0,
  IF(COLUMN() - ($E43 + 5) = 0, $F43,
    AQ43 * (1 - IFERROR(INDEX('Inputs &amp; Assuptions'!$C$13:$C$72, COLUMN() - ($E43 + 5)), 0))
  )
)</f>
        <v>1283.3141343750001</v>
      </c>
      <c r="AS43" s="32">
        <f t="array" ref="AS43">IF(COLUMN() - ($E43 + 5) &lt; 0, 0,
  IF(COLUMN() - ($E43 + 5) = 0, $F43,
    AR43 * (1 - IFERROR(INDEX('Inputs &amp; Assuptions'!$C$13:$C$72, COLUMN() - ($E43 + 5)), 0))
  )
)</f>
        <v>1231.981569</v>
      </c>
      <c r="AT43" s="32">
        <f t="array" ref="AT43">IF(COLUMN() - ($E43 + 5) &lt; 0, 0,
  IF(COLUMN() - ($E43 + 5) = 0, $F43,
    AS43 * (1 - IFERROR(INDEX('Inputs &amp; Assuptions'!$C$13:$C$72, COLUMN() - ($E43 + 5)), 0))
  )
)</f>
        <v>1198.1020758525001</v>
      </c>
      <c r="AU43" s="32">
        <f t="array" ref="AU43">IF(COLUMN() - ($E43 + 5) &lt; 0, 0,
  IF(COLUMN() - ($E43 + 5) = 0, $F43,
    AT43 * (1 - IFERROR(INDEX('Inputs &amp; Assuptions'!$C$13:$C$72, COLUMN() - ($E43 + 5)), 0))
  )
)</f>
        <v>1168.1495239561875</v>
      </c>
      <c r="AV43" s="32">
        <f t="array" ref="AV43">IF(COLUMN() - ($E43 + 5) &lt; 0, 0,
  IF(COLUMN() - ($E43 + 5) = 0, $F43,
    AU43 * (1 - IFERROR(INDEX('Inputs &amp; Assuptions'!$C$13:$C$72, COLUMN() - ($E43 + 5)), 0))
  )
)</f>
        <v>1141.8661596671734</v>
      </c>
      <c r="AW43" s="32">
        <f t="array" ref="AW43">IF(COLUMN() - ($E43 + 5) &lt; 0, 0,
  IF(COLUMN() - ($E43 + 5) = 0, $F43,
    AV43 * (1 - IFERROR(INDEX('Inputs &amp; Assuptions'!$C$13:$C$72, COLUMN() - ($E43 + 5)), 0))
  )
)</f>
        <v>1119.0288364738299</v>
      </c>
      <c r="AX43" s="32">
        <f t="array" ref="AX43">IF(COLUMN() - ($E43 + 5) &lt; 0, 0,
  IF(COLUMN() - ($E43 + 5) = 0, $F43,
    AW43 * (1 - IFERROR(INDEX('Inputs &amp; Assuptions'!$C$13:$C$72, COLUMN() - ($E43 + 5)), 0))
  )
)</f>
        <v>1099.445831835538</v>
      </c>
      <c r="AY43" s="32">
        <f t="array" ref="AY43">IF(COLUMN() - ($E43 + 5) &lt; 0, 0,
  IF(COLUMN() - ($E43 + 5) = 0, $F43,
    AX43 * (1 - IFERROR(INDEX('Inputs &amp; Assuptions'!$C$13:$C$72, COLUMN() - ($E43 + 5)), 0))
  )
)</f>
        <v>1082.9541443580049</v>
      </c>
      <c r="AZ43" s="32">
        <f t="array" ref="AZ43">IF(COLUMN() - ($E43 + 5) &lt; 0, 0,
  IF(COLUMN() - ($E43 + 5) = 0, $F43,
    AY43 * (1 - IFERROR(INDEX('Inputs &amp; Assuptions'!$C$13:$C$72, COLUMN() - ($E43 + 5)), 0))
  )
)</f>
        <v>1069.4172175535298</v>
      </c>
      <c r="BA43" s="32">
        <f t="array" ref="BA43">IF(COLUMN() - ($E43 + 5) &lt; 0, 0,
  IF(COLUMN() - ($E43 + 5) = 0, $F43,
    AZ43 * (1 - IFERROR(INDEX('Inputs &amp; Assuptions'!$C$13:$C$72, COLUMN() - ($E43 + 5)), 0))
  )
)</f>
        <v>1058.7230453779944</v>
      </c>
      <c r="BB43" s="32">
        <f t="array" ref="BB43">IF(COLUMN() - ($E43 + 5) &lt; 0, 0,
  IF(COLUMN() - ($E43 + 5) = 0, $F43,
    BA43 * (1 - IFERROR(INDEX('Inputs &amp; Assuptions'!$C$13:$C$72, COLUMN() - ($E43 + 5)), 0))
  )
)</f>
        <v>1053.4294301511045</v>
      </c>
      <c r="BC43" s="32">
        <f t="array" ref="BC43">IF(COLUMN() - ($E43 + 5) &lt; 0, 0,
  IF(COLUMN() - ($E43 + 5) = 0, $F43,
    BB43 * (1 - IFERROR(INDEX('Inputs &amp; Assuptions'!$C$13:$C$72, COLUMN() - ($E43 + 5)), 0))
  )
)</f>
        <v>1048.1622830003489</v>
      </c>
      <c r="BD43" s="32">
        <f t="array" ref="BD43">IF(COLUMN() - ($E43 + 5) &lt; 0, 0,
  IF(COLUMN() - ($E43 + 5) = 0, $F43,
    BC43 * (1 - IFERROR(INDEX('Inputs &amp; Assuptions'!$C$13:$C$72, COLUMN() - ($E43 + 5)), 0))
  )
)</f>
        <v>1042.9214715853473</v>
      </c>
      <c r="BE43" s="32">
        <f t="array" ref="BE43">IF(COLUMN() - ($E43 + 5) &lt; 0, 0,
  IF(COLUMN() - ($E43 + 5) = 0, $F43,
    BD43 * (1 - IFERROR(INDEX('Inputs &amp; Assuptions'!$C$13:$C$72, COLUMN() - ($E43 + 5)), 0))
  )
)</f>
        <v>1037.7068642274205</v>
      </c>
      <c r="BF43" s="32">
        <f t="array" ref="BF43">IF(COLUMN() - ($E43 + 5) &lt; 0, 0,
  IF(COLUMN() - ($E43 + 5) = 0, $F43,
    BE43 * (1 - IFERROR(INDEX('Inputs &amp; Assuptions'!$C$13:$C$72, COLUMN() - ($E43 + 5)), 0))
  )
)</f>
        <v>1032.5183299062835</v>
      </c>
      <c r="BG43" s="32">
        <f t="array" ref="BG43">IF(COLUMN() - ($E43 + 5) &lt; 0, 0,
  IF(COLUMN() - ($E43 + 5) = 0, $F43,
    BF43 * (1 - IFERROR(INDEX('Inputs &amp; Assuptions'!$C$13:$C$72, COLUMN() - ($E43 + 5)), 0))
  )
)</f>
        <v>1027.3557382567521</v>
      </c>
      <c r="BH43" s="32">
        <f t="array" ref="BH43">IF(COLUMN() - ($E43 + 5) &lt; 0, 0,
  IF(COLUMN() - ($E43 + 5) = 0, $F43,
    BG43 * (1 - IFERROR(INDEX('Inputs &amp; Assuptions'!$C$13:$C$72, COLUMN() - ($E43 + 5)), 0))
  )
)</f>
        <v>1022.2189595654684</v>
      </c>
      <c r="BI43" s="32">
        <f t="array" ref="BI43">IF(COLUMN() - ($E43 + 5) &lt; 0, 0,
  IF(COLUMN() - ($E43 + 5) = 0, $F43,
    BH43 * (1 - IFERROR(INDEX('Inputs &amp; Assuptions'!$C$13:$C$72, COLUMN() - ($E43 + 5)), 0))
  )
)</f>
        <v>1017.107864767641</v>
      </c>
      <c r="BJ43" s="32">
        <f t="array" ref="BJ43">IF(COLUMN() - ($E43 + 5) &lt; 0, 0,
  IF(COLUMN() - ($E43 + 5) = 0, $F43,
    BI43 * (1 - IFERROR(INDEX('Inputs &amp; Assuptions'!$C$13:$C$72, COLUMN() - ($E43 + 5)), 0))
  )
)</f>
        <v>1012.0223254438027</v>
      </c>
      <c r="BK43" s="32">
        <f t="array" ref="BK43">IF(COLUMN() - ($E43 + 5) &lt; 0, 0,
  IF(COLUMN() - ($E43 + 5) = 0, $F43,
    BJ43 * (1 - IFERROR(INDEX('Inputs &amp; Assuptions'!$C$13:$C$72, COLUMN() - ($E43 + 5)), 0))
  )
)</f>
        <v>1006.9622138165837</v>
      </c>
      <c r="BL43" s="32">
        <f t="array" ref="BL43">IF(COLUMN() - ($E43 + 5) &lt; 0, 0,
  IF(COLUMN() - ($E43 + 5) = 0, $F43,
    BK43 * (1 - IFERROR(INDEX('Inputs &amp; Assuptions'!$C$13:$C$72, COLUMN() - ($E43 + 5)), 0))
  )
)</f>
        <v>1001.9274027475008</v>
      </c>
      <c r="BM43" s="66">
        <f t="array" ref="BM43">IF(COLUMN() - ($E43 + 5) &lt; 0, 0,
  IF(COLUMN() - ($E43 + 5) = 0, $F43,
    BL43 * (1 - IFERROR(INDEX('Inputs &amp; Assuptions'!$C$13:$C$72, COLUMN() - ($E43 + 5)), 0))
  )
)</f>
        <v>996.9177657337633</v>
      </c>
      <c r="BN43" s="33"/>
    </row>
    <row r="44" spans="1:66" x14ac:dyDescent="0.3">
      <c r="A44" s="71">
        <f t="shared" si="6"/>
        <v>39</v>
      </c>
      <c r="B44" s="75">
        <f t="shared" si="4"/>
        <v>1736.4375</v>
      </c>
      <c r="C44" s="81">
        <f>$B44*(1-'Inputs &amp; Assuptions'!$C$12)</f>
        <v>1354.4212500000001</v>
      </c>
      <c r="E44" s="71">
        <f t="shared" si="7"/>
        <v>39</v>
      </c>
      <c r="F44" s="65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>
        <f>$C44</f>
        <v>1354.4212500000001</v>
      </c>
      <c r="AS44" s="32">
        <f t="array" ref="AS44">IF(COLUMN() - ($E44 + 5) &lt; 0, 0,
  IF(COLUMN() - ($E44 + 5) = 0, $F44,
    AR44 * (1 - IFERROR(INDEX('Inputs &amp; Assuptions'!$C$13:$C$72, COLUMN() - ($E44 + 5)), 0))
  )
)</f>
        <v>1283.3141343750001</v>
      </c>
      <c r="AT44" s="32">
        <f t="array" ref="AT44">IF(COLUMN() - ($E44 + 5) &lt; 0, 0,
  IF(COLUMN() - ($E44 + 5) = 0, $F44,
    AS44 * (1 - IFERROR(INDEX('Inputs &amp; Assuptions'!$C$13:$C$72, COLUMN() - ($E44 + 5)), 0))
  )
)</f>
        <v>1231.981569</v>
      </c>
      <c r="AU44" s="32">
        <f t="array" ref="AU44">IF(COLUMN() - ($E44 + 5) &lt; 0, 0,
  IF(COLUMN() - ($E44 + 5) = 0, $F44,
    AT44 * (1 - IFERROR(INDEX('Inputs &amp; Assuptions'!$C$13:$C$72, COLUMN() - ($E44 + 5)), 0))
  )
)</f>
        <v>1198.1020758525001</v>
      </c>
      <c r="AV44" s="32">
        <f t="array" ref="AV44">IF(COLUMN() - ($E44 + 5) &lt; 0, 0,
  IF(COLUMN() - ($E44 + 5) = 0, $F44,
    AU44 * (1 - IFERROR(INDEX('Inputs &amp; Assuptions'!$C$13:$C$72, COLUMN() - ($E44 + 5)), 0))
  )
)</f>
        <v>1168.1495239561875</v>
      </c>
      <c r="AW44" s="32">
        <f t="array" ref="AW44">IF(COLUMN() - ($E44 + 5) &lt; 0, 0,
  IF(COLUMN() - ($E44 + 5) = 0, $F44,
    AV44 * (1 - IFERROR(INDEX('Inputs &amp; Assuptions'!$C$13:$C$72, COLUMN() - ($E44 + 5)), 0))
  )
)</f>
        <v>1141.8661596671734</v>
      </c>
      <c r="AX44" s="32">
        <f t="array" ref="AX44">IF(COLUMN() - ($E44 + 5) &lt; 0, 0,
  IF(COLUMN() - ($E44 + 5) = 0, $F44,
    AW44 * (1 - IFERROR(INDEX('Inputs &amp; Assuptions'!$C$13:$C$72, COLUMN() - ($E44 + 5)), 0))
  )
)</f>
        <v>1119.0288364738299</v>
      </c>
      <c r="AY44" s="32">
        <f t="array" ref="AY44">IF(COLUMN() - ($E44 + 5) &lt; 0, 0,
  IF(COLUMN() - ($E44 + 5) = 0, $F44,
    AX44 * (1 - IFERROR(INDEX('Inputs &amp; Assuptions'!$C$13:$C$72, COLUMN() - ($E44 + 5)), 0))
  )
)</f>
        <v>1099.445831835538</v>
      </c>
      <c r="AZ44" s="32">
        <f t="array" ref="AZ44">IF(COLUMN() - ($E44 + 5) &lt; 0, 0,
  IF(COLUMN() - ($E44 + 5) = 0, $F44,
    AY44 * (1 - IFERROR(INDEX('Inputs &amp; Assuptions'!$C$13:$C$72, COLUMN() - ($E44 + 5)), 0))
  )
)</f>
        <v>1082.9541443580049</v>
      </c>
      <c r="BA44" s="32">
        <f t="array" ref="BA44">IF(COLUMN() - ($E44 + 5) &lt; 0, 0,
  IF(COLUMN() - ($E44 + 5) = 0, $F44,
    AZ44 * (1 - IFERROR(INDEX('Inputs &amp; Assuptions'!$C$13:$C$72, COLUMN() - ($E44 + 5)), 0))
  )
)</f>
        <v>1069.4172175535298</v>
      </c>
      <c r="BB44" s="32">
        <f t="array" ref="BB44">IF(COLUMN() - ($E44 + 5) &lt; 0, 0,
  IF(COLUMN() - ($E44 + 5) = 0, $F44,
    BA44 * (1 - IFERROR(INDEX('Inputs &amp; Assuptions'!$C$13:$C$72, COLUMN() - ($E44 + 5)), 0))
  )
)</f>
        <v>1058.7230453779944</v>
      </c>
      <c r="BC44" s="32">
        <f t="array" ref="BC44">IF(COLUMN() - ($E44 + 5) &lt; 0, 0,
  IF(COLUMN() - ($E44 + 5) = 0, $F44,
    BB44 * (1 - IFERROR(INDEX('Inputs &amp; Assuptions'!$C$13:$C$72, COLUMN() - ($E44 + 5)), 0))
  )
)</f>
        <v>1053.4294301511045</v>
      </c>
      <c r="BD44" s="32">
        <f t="array" ref="BD44">IF(COLUMN() - ($E44 + 5) &lt; 0, 0,
  IF(COLUMN() - ($E44 + 5) = 0, $F44,
    BC44 * (1 - IFERROR(INDEX('Inputs &amp; Assuptions'!$C$13:$C$72, COLUMN() - ($E44 + 5)), 0))
  )
)</f>
        <v>1048.1622830003489</v>
      </c>
      <c r="BE44" s="32">
        <f t="array" ref="BE44">IF(COLUMN() - ($E44 + 5) &lt; 0, 0,
  IF(COLUMN() - ($E44 + 5) = 0, $F44,
    BD44 * (1 - IFERROR(INDEX('Inputs &amp; Assuptions'!$C$13:$C$72, COLUMN() - ($E44 + 5)), 0))
  )
)</f>
        <v>1042.9214715853473</v>
      </c>
      <c r="BF44" s="32">
        <f t="array" ref="BF44">IF(COLUMN() - ($E44 + 5) &lt; 0, 0,
  IF(COLUMN() - ($E44 + 5) = 0, $F44,
    BE44 * (1 - IFERROR(INDEX('Inputs &amp; Assuptions'!$C$13:$C$72, COLUMN() - ($E44 + 5)), 0))
  )
)</f>
        <v>1037.7068642274205</v>
      </c>
      <c r="BG44" s="32">
        <f t="array" ref="BG44">IF(COLUMN() - ($E44 + 5) &lt; 0, 0,
  IF(COLUMN() - ($E44 + 5) = 0, $F44,
    BF44 * (1 - IFERROR(INDEX('Inputs &amp; Assuptions'!$C$13:$C$72, COLUMN() - ($E44 + 5)), 0))
  )
)</f>
        <v>1032.5183299062835</v>
      </c>
      <c r="BH44" s="32">
        <f t="array" ref="BH44">IF(COLUMN() - ($E44 + 5) &lt; 0, 0,
  IF(COLUMN() - ($E44 + 5) = 0, $F44,
    BG44 * (1 - IFERROR(INDEX('Inputs &amp; Assuptions'!$C$13:$C$72, COLUMN() - ($E44 + 5)), 0))
  )
)</f>
        <v>1027.3557382567521</v>
      </c>
      <c r="BI44" s="32">
        <f t="array" ref="BI44">IF(COLUMN() - ($E44 + 5) &lt; 0, 0,
  IF(COLUMN() - ($E44 + 5) = 0, $F44,
    BH44 * (1 - IFERROR(INDEX('Inputs &amp; Assuptions'!$C$13:$C$72, COLUMN() - ($E44 + 5)), 0))
  )
)</f>
        <v>1022.2189595654684</v>
      </c>
      <c r="BJ44" s="32">
        <f t="array" ref="BJ44">IF(COLUMN() - ($E44 + 5) &lt; 0, 0,
  IF(COLUMN() - ($E44 + 5) = 0, $F44,
    BI44 * (1 - IFERROR(INDEX('Inputs &amp; Assuptions'!$C$13:$C$72, COLUMN() - ($E44 + 5)), 0))
  )
)</f>
        <v>1017.107864767641</v>
      </c>
      <c r="BK44" s="32">
        <f t="array" ref="BK44">IF(COLUMN() - ($E44 + 5) &lt; 0, 0,
  IF(COLUMN() - ($E44 + 5) = 0, $F44,
    BJ44 * (1 - IFERROR(INDEX('Inputs &amp; Assuptions'!$C$13:$C$72, COLUMN() - ($E44 + 5)), 0))
  )
)</f>
        <v>1012.0223254438027</v>
      </c>
      <c r="BL44" s="32">
        <f t="array" ref="BL44">IF(COLUMN() - ($E44 + 5) &lt; 0, 0,
  IF(COLUMN() - ($E44 + 5) = 0, $F44,
    BK44 * (1 - IFERROR(INDEX('Inputs &amp; Assuptions'!$C$13:$C$72, COLUMN() - ($E44 + 5)), 0))
  )
)</f>
        <v>1006.9622138165837</v>
      </c>
      <c r="BM44" s="66">
        <f t="array" ref="BM44">IF(COLUMN() - ($E44 + 5) &lt; 0, 0,
  IF(COLUMN() - ($E44 + 5) = 0, $F44,
    BL44 * (1 - IFERROR(INDEX('Inputs &amp; Assuptions'!$C$13:$C$72, COLUMN() - ($E44 + 5)), 0))
  )
)</f>
        <v>1001.9274027475008</v>
      </c>
      <c r="BN44" s="33"/>
    </row>
    <row r="45" spans="1:66" x14ac:dyDescent="0.3">
      <c r="A45" s="71">
        <f t="shared" si="6"/>
        <v>40</v>
      </c>
      <c r="B45" s="75">
        <f t="shared" si="4"/>
        <v>1736.4375</v>
      </c>
      <c r="C45" s="81">
        <f>$B45*(1-'Inputs &amp; Assuptions'!$C$12)</f>
        <v>1354.4212500000001</v>
      </c>
      <c r="E45" s="71">
        <f t="shared" si="7"/>
        <v>40</v>
      </c>
      <c r="F45" s="65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>
        <f>$C45</f>
        <v>1354.4212500000001</v>
      </c>
      <c r="AT45" s="32">
        <f t="array" ref="AT45">IF(COLUMN() - ($E45 + 5) &lt; 0, 0,
  IF(COLUMN() - ($E45 + 5) = 0, $F45,
    AS45 * (1 - IFERROR(INDEX('Inputs &amp; Assuptions'!$C$13:$C$72, COLUMN() - ($E45 + 5)), 0))
  )
)</f>
        <v>1283.3141343750001</v>
      </c>
      <c r="AU45" s="32">
        <f t="array" ref="AU45">IF(COLUMN() - ($E45 + 5) &lt; 0, 0,
  IF(COLUMN() - ($E45 + 5) = 0, $F45,
    AT45 * (1 - IFERROR(INDEX('Inputs &amp; Assuptions'!$C$13:$C$72, COLUMN() - ($E45 + 5)), 0))
  )
)</f>
        <v>1231.981569</v>
      </c>
      <c r="AV45" s="32">
        <f t="array" ref="AV45">IF(COLUMN() - ($E45 + 5) &lt; 0, 0,
  IF(COLUMN() - ($E45 + 5) = 0, $F45,
    AU45 * (1 - IFERROR(INDEX('Inputs &amp; Assuptions'!$C$13:$C$72, COLUMN() - ($E45 + 5)), 0))
  )
)</f>
        <v>1198.1020758525001</v>
      </c>
      <c r="AW45" s="32">
        <f t="array" ref="AW45">IF(COLUMN() - ($E45 + 5) &lt; 0, 0,
  IF(COLUMN() - ($E45 + 5) = 0, $F45,
    AV45 * (1 - IFERROR(INDEX('Inputs &amp; Assuptions'!$C$13:$C$72, COLUMN() - ($E45 + 5)), 0))
  )
)</f>
        <v>1168.1495239561875</v>
      </c>
      <c r="AX45" s="32">
        <f t="array" ref="AX45">IF(COLUMN() - ($E45 + 5) &lt; 0, 0,
  IF(COLUMN() - ($E45 + 5) = 0, $F45,
    AW45 * (1 - IFERROR(INDEX('Inputs &amp; Assuptions'!$C$13:$C$72, COLUMN() - ($E45 + 5)), 0))
  )
)</f>
        <v>1141.8661596671734</v>
      </c>
      <c r="AY45" s="32">
        <f t="array" ref="AY45">IF(COLUMN() - ($E45 + 5) &lt; 0, 0,
  IF(COLUMN() - ($E45 + 5) = 0, $F45,
    AX45 * (1 - IFERROR(INDEX('Inputs &amp; Assuptions'!$C$13:$C$72, COLUMN() - ($E45 + 5)), 0))
  )
)</f>
        <v>1119.0288364738299</v>
      </c>
      <c r="AZ45" s="32">
        <f t="array" ref="AZ45">IF(COLUMN() - ($E45 + 5) &lt; 0, 0,
  IF(COLUMN() - ($E45 + 5) = 0, $F45,
    AY45 * (1 - IFERROR(INDEX('Inputs &amp; Assuptions'!$C$13:$C$72, COLUMN() - ($E45 + 5)), 0))
  )
)</f>
        <v>1099.445831835538</v>
      </c>
      <c r="BA45" s="32">
        <f t="array" ref="BA45">IF(COLUMN() - ($E45 + 5) &lt; 0, 0,
  IF(COLUMN() - ($E45 + 5) = 0, $F45,
    AZ45 * (1 - IFERROR(INDEX('Inputs &amp; Assuptions'!$C$13:$C$72, COLUMN() - ($E45 + 5)), 0))
  )
)</f>
        <v>1082.9541443580049</v>
      </c>
      <c r="BB45" s="32">
        <f t="array" ref="BB45">IF(COLUMN() - ($E45 + 5) &lt; 0, 0,
  IF(COLUMN() - ($E45 + 5) = 0, $F45,
    BA45 * (1 - IFERROR(INDEX('Inputs &amp; Assuptions'!$C$13:$C$72, COLUMN() - ($E45 + 5)), 0))
  )
)</f>
        <v>1069.4172175535298</v>
      </c>
      <c r="BC45" s="32">
        <f t="array" ref="BC45">IF(COLUMN() - ($E45 + 5) &lt; 0, 0,
  IF(COLUMN() - ($E45 + 5) = 0, $F45,
    BB45 * (1 - IFERROR(INDEX('Inputs &amp; Assuptions'!$C$13:$C$72, COLUMN() - ($E45 + 5)), 0))
  )
)</f>
        <v>1058.7230453779944</v>
      </c>
      <c r="BD45" s="32">
        <f t="array" ref="BD45">IF(COLUMN() - ($E45 + 5) &lt; 0, 0,
  IF(COLUMN() - ($E45 + 5) = 0, $F45,
    BC45 * (1 - IFERROR(INDEX('Inputs &amp; Assuptions'!$C$13:$C$72, COLUMN() - ($E45 + 5)), 0))
  )
)</f>
        <v>1053.4294301511045</v>
      </c>
      <c r="BE45" s="32">
        <f t="array" ref="BE45">IF(COLUMN() - ($E45 + 5) &lt; 0, 0,
  IF(COLUMN() - ($E45 + 5) = 0, $F45,
    BD45 * (1 - IFERROR(INDEX('Inputs &amp; Assuptions'!$C$13:$C$72, COLUMN() - ($E45 + 5)), 0))
  )
)</f>
        <v>1048.1622830003489</v>
      </c>
      <c r="BF45" s="32">
        <f t="array" ref="BF45">IF(COLUMN() - ($E45 + 5) &lt; 0, 0,
  IF(COLUMN() - ($E45 + 5) = 0, $F45,
    BE45 * (1 - IFERROR(INDEX('Inputs &amp; Assuptions'!$C$13:$C$72, COLUMN() - ($E45 + 5)), 0))
  )
)</f>
        <v>1042.9214715853473</v>
      </c>
      <c r="BG45" s="32">
        <f t="array" ref="BG45">IF(COLUMN() - ($E45 + 5) &lt; 0, 0,
  IF(COLUMN() - ($E45 + 5) = 0, $F45,
    BF45 * (1 - IFERROR(INDEX('Inputs &amp; Assuptions'!$C$13:$C$72, COLUMN() - ($E45 + 5)), 0))
  )
)</f>
        <v>1037.7068642274205</v>
      </c>
      <c r="BH45" s="32">
        <f t="array" ref="BH45">IF(COLUMN() - ($E45 + 5) &lt; 0, 0,
  IF(COLUMN() - ($E45 + 5) = 0, $F45,
    BG45 * (1 - IFERROR(INDEX('Inputs &amp; Assuptions'!$C$13:$C$72, COLUMN() - ($E45 + 5)), 0))
  )
)</f>
        <v>1032.5183299062835</v>
      </c>
      <c r="BI45" s="32">
        <f t="array" ref="BI45">IF(COLUMN() - ($E45 + 5) &lt; 0, 0,
  IF(COLUMN() - ($E45 + 5) = 0, $F45,
    BH45 * (1 - IFERROR(INDEX('Inputs &amp; Assuptions'!$C$13:$C$72, COLUMN() - ($E45 + 5)), 0))
  )
)</f>
        <v>1027.3557382567521</v>
      </c>
      <c r="BJ45" s="32">
        <f t="array" ref="BJ45">IF(COLUMN() - ($E45 + 5) &lt; 0, 0,
  IF(COLUMN() - ($E45 + 5) = 0, $F45,
    BI45 * (1 - IFERROR(INDEX('Inputs &amp; Assuptions'!$C$13:$C$72, COLUMN() - ($E45 + 5)), 0))
  )
)</f>
        <v>1022.2189595654684</v>
      </c>
      <c r="BK45" s="32">
        <f t="array" ref="BK45">IF(COLUMN() - ($E45 + 5) &lt; 0, 0,
  IF(COLUMN() - ($E45 + 5) = 0, $F45,
    BJ45 * (1 - IFERROR(INDEX('Inputs &amp; Assuptions'!$C$13:$C$72, COLUMN() - ($E45 + 5)), 0))
  )
)</f>
        <v>1017.107864767641</v>
      </c>
      <c r="BL45" s="32">
        <f t="array" ref="BL45">IF(COLUMN() - ($E45 + 5) &lt; 0, 0,
  IF(COLUMN() - ($E45 + 5) = 0, $F45,
    BK45 * (1 - IFERROR(INDEX('Inputs &amp; Assuptions'!$C$13:$C$72, COLUMN() - ($E45 + 5)), 0))
  )
)</f>
        <v>1012.0223254438027</v>
      </c>
      <c r="BM45" s="66">
        <f t="array" ref="BM45">IF(COLUMN() - ($E45 + 5) &lt; 0, 0,
  IF(COLUMN() - ($E45 + 5) = 0, $F45,
    BL45 * (1 - IFERROR(INDEX('Inputs &amp; Assuptions'!$C$13:$C$72, COLUMN() - ($E45 + 5)), 0))
  )
)</f>
        <v>1006.9622138165837</v>
      </c>
      <c r="BN45" s="33"/>
    </row>
    <row r="46" spans="1:66" x14ac:dyDescent="0.3">
      <c r="A46" s="71">
        <f t="shared" si="6"/>
        <v>41</v>
      </c>
      <c r="B46" s="75">
        <f t="shared" si="4"/>
        <v>1736.4375</v>
      </c>
      <c r="C46" s="81">
        <f>$B46*(1-'Inputs &amp; Assuptions'!$C$12)</f>
        <v>1354.4212500000001</v>
      </c>
      <c r="E46" s="71">
        <f t="shared" si="7"/>
        <v>41</v>
      </c>
      <c r="F46" s="65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>
        <f>$C46</f>
        <v>1354.4212500000001</v>
      </c>
      <c r="AU46" s="32">
        <f t="array" ref="AU46">IF(COLUMN() - ($E46 + 5) &lt; 0, 0,
  IF(COLUMN() - ($E46 + 5) = 0, $F46,
    AT46 * (1 - IFERROR(INDEX('Inputs &amp; Assuptions'!$C$13:$C$72, COLUMN() - ($E46 + 5)), 0))
  )
)</f>
        <v>1283.3141343750001</v>
      </c>
      <c r="AV46" s="32">
        <f t="array" ref="AV46">IF(COLUMN() - ($E46 + 5) &lt; 0, 0,
  IF(COLUMN() - ($E46 + 5) = 0, $F46,
    AU46 * (1 - IFERROR(INDEX('Inputs &amp; Assuptions'!$C$13:$C$72, COLUMN() - ($E46 + 5)), 0))
  )
)</f>
        <v>1231.981569</v>
      </c>
      <c r="AW46" s="32">
        <f t="array" ref="AW46">IF(COLUMN() - ($E46 + 5) &lt; 0, 0,
  IF(COLUMN() - ($E46 + 5) = 0, $F46,
    AV46 * (1 - IFERROR(INDEX('Inputs &amp; Assuptions'!$C$13:$C$72, COLUMN() - ($E46 + 5)), 0))
  )
)</f>
        <v>1198.1020758525001</v>
      </c>
      <c r="AX46" s="32">
        <f t="array" ref="AX46">IF(COLUMN() - ($E46 + 5) &lt; 0, 0,
  IF(COLUMN() - ($E46 + 5) = 0, $F46,
    AW46 * (1 - IFERROR(INDEX('Inputs &amp; Assuptions'!$C$13:$C$72, COLUMN() - ($E46 + 5)), 0))
  )
)</f>
        <v>1168.1495239561875</v>
      </c>
      <c r="AY46" s="32">
        <f t="array" ref="AY46">IF(COLUMN() - ($E46 + 5) &lt; 0, 0,
  IF(COLUMN() - ($E46 + 5) = 0, $F46,
    AX46 * (1 - IFERROR(INDEX('Inputs &amp; Assuptions'!$C$13:$C$72, COLUMN() - ($E46 + 5)), 0))
  )
)</f>
        <v>1141.8661596671734</v>
      </c>
      <c r="AZ46" s="32">
        <f t="array" ref="AZ46">IF(COLUMN() - ($E46 + 5) &lt; 0, 0,
  IF(COLUMN() - ($E46 + 5) = 0, $F46,
    AY46 * (1 - IFERROR(INDEX('Inputs &amp; Assuptions'!$C$13:$C$72, COLUMN() - ($E46 + 5)), 0))
  )
)</f>
        <v>1119.0288364738299</v>
      </c>
      <c r="BA46" s="32">
        <f t="array" ref="BA46">IF(COLUMN() - ($E46 + 5) &lt; 0, 0,
  IF(COLUMN() - ($E46 + 5) = 0, $F46,
    AZ46 * (1 - IFERROR(INDEX('Inputs &amp; Assuptions'!$C$13:$C$72, COLUMN() - ($E46 + 5)), 0))
  )
)</f>
        <v>1099.445831835538</v>
      </c>
      <c r="BB46" s="32">
        <f t="array" ref="BB46">IF(COLUMN() - ($E46 + 5) &lt; 0, 0,
  IF(COLUMN() - ($E46 + 5) = 0, $F46,
    BA46 * (1 - IFERROR(INDEX('Inputs &amp; Assuptions'!$C$13:$C$72, COLUMN() - ($E46 + 5)), 0))
  )
)</f>
        <v>1082.9541443580049</v>
      </c>
      <c r="BC46" s="32">
        <f t="array" ref="BC46">IF(COLUMN() - ($E46 + 5) &lt; 0, 0,
  IF(COLUMN() - ($E46 + 5) = 0, $F46,
    BB46 * (1 - IFERROR(INDEX('Inputs &amp; Assuptions'!$C$13:$C$72, COLUMN() - ($E46 + 5)), 0))
  )
)</f>
        <v>1069.4172175535298</v>
      </c>
      <c r="BD46" s="32">
        <f t="array" ref="BD46">IF(COLUMN() - ($E46 + 5) &lt; 0, 0,
  IF(COLUMN() - ($E46 + 5) = 0, $F46,
    BC46 * (1 - IFERROR(INDEX('Inputs &amp; Assuptions'!$C$13:$C$72, COLUMN() - ($E46 + 5)), 0))
  )
)</f>
        <v>1058.7230453779944</v>
      </c>
      <c r="BE46" s="32">
        <f t="array" ref="BE46">IF(COLUMN() - ($E46 + 5) &lt; 0, 0,
  IF(COLUMN() - ($E46 + 5) = 0, $F46,
    BD46 * (1 - IFERROR(INDEX('Inputs &amp; Assuptions'!$C$13:$C$72, COLUMN() - ($E46 + 5)), 0))
  )
)</f>
        <v>1053.4294301511045</v>
      </c>
      <c r="BF46" s="32">
        <f t="array" ref="BF46">IF(COLUMN() - ($E46 + 5) &lt; 0, 0,
  IF(COLUMN() - ($E46 + 5) = 0, $F46,
    BE46 * (1 - IFERROR(INDEX('Inputs &amp; Assuptions'!$C$13:$C$72, COLUMN() - ($E46 + 5)), 0))
  )
)</f>
        <v>1048.1622830003489</v>
      </c>
      <c r="BG46" s="32">
        <f t="array" ref="BG46">IF(COLUMN() - ($E46 + 5) &lt; 0, 0,
  IF(COLUMN() - ($E46 + 5) = 0, $F46,
    BF46 * (1 - IFERROR(INDEX('Inputs &amp; Assuptions'!$C$13:$C$72, COLUMN() - ($E46 + 5)), 0))
  )
)</f>
        <v>1042.9214715853473</v>
      </c>
      <c r="BH46" s="32">
        <f t="array" ref="BH46">IF(COLUMN() - ($E46 + 5) &lt; 0, 0,
  IF(COLUMN() - ($E46 + 5) = 0, $F46,
    BG46 * (1 - IFERROR(INDEX('Inputs &amp; Assuptions'!$C$13:$C$72, COLUMN() - ($E46 + 5)), 0))
  )
)</f>
        <v>1037.7068642274205</v>
      </c>
      <c r="BI46" s="32">
        <f t="array" ref="BI46">IF(COLUMN() - ($E46 + 5) &lt; 0, 0,
  IF(COLUMN() - ($E46 + 5) = 0, $F46,
    BH46 * (1 - IFERROR(INDEX('Inputs &amp; Assuptions'!$C$13:$C$72, COLUMN() - ($E46 + 5)), 0))
  )
)</f>
        <v>1032.5183299062835</v>
      </c>
      <c r="BJ46" s="32">
        <f t="array" ref="BJ46">IF(COLUMN() - ($E46 + 5) &lt; 0, 0,
  IF(COLUMN() - ($E46 + 5) = 0, $F46,
    BI46 * (1 - IFERROR(INDEX('Inputs &amp; Assuptions'!$C$13:$C$72, COLUMN() - ($E46 + 5)), 0))
  )
)</f>
        <v>1027.3557382567521</v>
      </c>
      <c r="BK46" s="32">
        <f t="array" ref="BK46">IF(COLUMN() - ($E46 + 5) &lt; 0, 0,
  IF(COLUMN() - ($E46 + 5) = 0, $F46,
    BJ46 * (1 - IFERROR(INDEX('Inputs &amp; Assuptions'!$C$13:$C$72, COLUMN() - ($E46 + 5)), 0))
  )
)</f>
        <v>1022.2189595654684</v>
      </c>
      <c r="BL46" s="32">
        <f t="array" ref="BL46">IF(COLUMN() - ($E46 + 5) &lt; 0, 0,
  IF(COLUMN() - ($E46 + 5) = 0, $F46,
    BK46 * (1 - IFERROR(INDEX('Inputs &amp; Assuptions'!$C$13:$C$72, COLUMN() - ($E46 + 5)), 0))
  )
)</f>
        <v>1017.107864767641</v>
      </c>
      <c r="BM46" s="66">
        <f t="array" ref="BM46">IF(COLUMN() - ($E46 + 5) &lt; 0, 0,
  IF(COLUMN() - ($E46 + 5) = 0, $F46,
    BL46 * (1 - IFERROR(INDEX('Inputs &amp; Assuptions'!$C$13:$C$72, COLUMN() - ($E46 + 5)), 0))
  )
)</f>
        <v>1012.0223254438027</v>
      </c>
      <c r="BN46" s="33"/>
    </row>
    <row r="47" spans="1:66" x14ac:dyDescent="0.3">
      <c r="A47" s="71">
        <f t="shared" si="6"/>
        <v>42</v>
      </c>
      <c r="B47" s="75">
        <f t="shared" si="4"/>
        <v>1736.4375</v>
      </c>
      <c r="C47" s="81">
        <f>$B47*(1-'Inputs &amp; Assuptions'!$C$12)</f>
        <v>1354.4212500000001</v>
      </c>
      <c r="E47" s="71">
        <f t="shared" si="7"/>
        <v>42</v>
      </c>
      <c r="F47" s="65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>
        <f>$C47</f>
        <v>1354.4212500000001</v>
      </c>
      <c r="AV47" s="32">
        <f t="array" ref="AV47">IF(COLUMN() - ($E47 + 5) &lt; 0, 0,
  IF(COLUMN() - ($E47 + 5) = 0, $F47,
    AU47 * (1 - IFERROR(INDEX('Inputs &amp; Assuptions'!$C$13:$C$72, COLUMN() - ($E47 + 5)), 0))
  )
)</f>
        <v>1283.3141343750001</v>
      </c>
      <c r="AW47" s="32">
        <f t="array" ref="AW47">IF(COLUMN() - ($E47 + 5) &lt; 0, 0,
  IF(COLUMN() - ($E47 + 5) = 0, $F47,
    AV47 * (1 - IFERROR(INDEX('Inputs &amp; Assuptions'!$C$13:$C$72, COLUMN() - ($E47 + 5)), 0))
  )
)</f>
        <v>1231.981569</v>
      </c>
      <c r="AX47" s="32">
        <f t="array" ref="AX47">IF(COLUMN() - ($E47 + 5) &lt; 0, 0,
  IF(COLUMN() - ($E47 + 5) = 0, $F47,
    AW47 * (1 - IFERROR(INDEX('Inputs &amp; Assuptions'!$C$13:$C$72, COLUMN() - ($E47 + 5)), 0))
  )
)</f>
        <v>1198.1020758525001</v>
      </c>
      <c r="AY47" s="32">
        <f t="array" ref="AY47">IF(COLUMN() - ($E47 + 5) &lt; 0, 0,
  IF(COLUMN() - ($E47 + 5) = 0, $F47,
    AX47 * (1 - IFERROR(INDEX('Inputs &amp; Assuptions'!$C$13:$C$72, COLUMN() - ($E47 + 5)), 0))
  )
)</f>
        <v>1168.1495239561875</v>
      </c>
      <c r="AZ47" s="32">
        <f t="array" ref="AZ47">IF(COLUMN() - ($E47 + 5) &lt; 0, 0,
  IF(COLUMN() - ($E47 + 5) = 0, $F47,
    AY47 * (1 - IFERROR(INDEX('Inputs &amp; Assuptions'!$C$13:$C$72, COLUMN() - ($E47 + 5)), 0))
  )
)</f>
        <v>1141.8661596671734</v>
      </c>
      <c r="BA47" s="32">
        <f t="array" ref="BA47">IF(COLUMN() - ($E47 + 5) &lt; 0, 0,
  IF(COLUMN() - ($E47 + 5) = 0, $F47,
    AZ47 * (1 - IFERROR(INDEX('Inputs &amp; Assuptions'!$C$13:$C$72, COLUMN() - ($E47 + 5)), 0))
  )
)</f>
        <v>1119.0288364738299</v>
      </c>
      <c r="BB47" s="32">
        <f t="array" ref="BB47">IF(COLUMN() - ($E47 + 5) &lt; 0, 0,
  IF(COLUMN() - ($E47 + 5) = 0, $F47,
    BA47 * (1 - IFERROR(INDEX('Inputs &amp; Assuptions'!$C$13:$C$72, COLUMN() - ($E47 + 5)), 0))
  )
)</f>
        <v>1099.445831835538</v>
      </c>
      <c r="BC47" s="32">
        <f t="array" ref="BC47">IF(COLUMN() - ($E47 + 5) &lt; 0, 0,
  IF(COLUMN() - ($E47 + 5) = 0, $F47,
    BB47 * (1 - IFERROR(INDEX('Inputs &amp; Assuptions'!$C$13:$C$72, COLUMN() - ($E47 + 5)), 0))
  )
)</f>
        <v>1082.9541443580049</v>
      </c>
      <c r="BD47" s="32">
        <f t="array" ref="BD47">IF(COLUMN() - ($E47 + 5) &lt; 0, 0,
  IF(COLUMN() - ($E47 + 5) = 0, $F47,
    BC47 * (1 - IFERROR(INDEX('Inputs &amp; Assuptions'!$C$13:$C$72, COLUMN() - ($E47 + 5)), 0))
  )
)</f>
        <v>1069.4172175535298</v>
      </c>
      <c r="BE47" s="32">
        <f t="array" ref="BE47">IF(COLUMN() - ($E47 + 5) &lt; 0, 0,
  IF(COLUMN() - ($E47 + 5) = 0, $F47,
    BD47 * (1 - IFERROR(INDEX('Inputs &amp; Assuptions'!$C$13:$C$72, COLUMN() - ($E47 + 5)), 0))
  )
)</f>
        <v>1058.7230453779944</v>
      </c>
      <c r="BF47" s="32">
        <f t="array" ref="BF47">IF(COLUMN() - ($E47 + 5) &lt; 0, 0,
  IF(COLUMN() - ($E47 + 5) = 0, $F47,
    BE47 * (1 - IFERROR(INDEX('Inputs &amp; Assuptions'!$C$13:$C$72, COLUMN() - ($E47 + 5)), 0))
  )
)</f>
        <v>1053.4294301511045</v>
      </c>
      <c r="BG47" s="32">
        <f t="array" ref="BG47">IF(COLUMN() - ($E47 + 5) &lt; 0, 0,
  IF(COLUMN() - ($E47 + 5) = 0, $F47,
    BF47 * (1 - IFERROR(INDEX('Inputs &amp; Assuptions'!$C$13:$C$72, COLUMN() - ($E47 + 5)), 0))
  )
)</f>
        <v>1048.1622830003489</v>
      </c>
      <c r="BH47" s="32">
        <f t="array" ref="BH47">IF(COLUMN() - ($E47 + 5) &lt; 0, 0,
  IF(COLUMN() - ($E47 + 5) = 0, $F47,
    BG47 * (1 - IFERROR(INDEX('Inputs &amp; Assuptions'!$C$13:$C$72, COLUMN() - ($E47 + 5)), 0))
  )
)</f>
        <v>1042.9214715853473</v>
      </c>
      <c r="BI47" s="32">
        <f t="array" ref="BI47">IF(COLUMN() - ($E47 + 5) &lt; 0, 0,
  IF(COLUMN() - ($E47 + 5) = 0, $F47,
    BH47 * (1 - IFERROR(INDEX('Inputs &amp; Assuptions'!$C$13:$C$72, COLUMN() - ($E47 + 5)), 0))
  )
)</f>
        <v>1037.7068642274205</v>
      </c>
      <c r="BJ47" s="32">
        <f t="array" ref="BJ47">IF(COLUMN() - ($E47 + 5) &lt; 0, 0,
  IF(COLUMN() - ($E47 + 5) = 0, $F47,
    BI47 * (1 - IFERROR(INDEX('Inputs &amp; Assuptions'!$C$13:$C$72, COLUMN() - ($E47 + 5)), 0))
  )
)</f>
        <v>1032.5183299062835</v>
      </c>
      <c r="BK47" s="32">
        <f t="array" ref="BK47">IF(COLUMN() - ($E47 + 5) &lt; 0, 0,
  IF(COLUMN() - ($E47 + 5) = 0, $F47,
    BJ47 * (1 - IFERROR(INDEX('Inputs &amp; Assuptions'!$C$13:$C$72, COLUMN() - ($E47 + 5)), 0))
  )
)</f>
        <v>1027.3557382567521</v>
      </c>
      <c r="BL47" s="32">
        <f t="array" ref="BL47">IF(COLUMN() - ($E47 + 5) &lt; 0, 0,
  IF(COLUMN() - ($E47 + 5) = 0, $F47,
    BK47 * (1 - IFERROR(INDEX('Inputs &amp; Assuptions'!$C$13:$C$72, COLUMN() - ($E47 + 5)), 0))
  )
)</f>
        <v>1022.2189595654684</v>
      </c>
      <c r="BM47" s="66">
        <f t="array" ref="BM47">IF(COLUMN() - ($E47 + 5) &lt; 0, 0,
  IF(COLUMN() - ($E47 + 5) = 0, $F47,
    BL47 * (1 - IFERROR(INDEX('Inputs &amp; Assuptions'!$C$13:$C$72, COLUMN() - ($E47 + 5)), 0))
  )
)</f>
        <v>1017.107864767641</v>
      </c>
      <c r="BN47" s="33"/>
    </row>
    <row r="48" spans="1:66" x14ac:dyDescent="0.3">
      <c r="A48" s="71">
        <f t="shared" si="6"/>
        <v>43</v>
      </c>
      <c r="B48" s="75">
        <f t="shared" si="4"/>
        <v>1736.4375</v>
      </c>
      <c r="C48" s="81">
        <f>$B48*(1-'Inputs &amp; Assuptions'!$C$12)</f>
        <v>1354.4212500000001</v>
      </c>
      <c r="E48" s="71">
        <f t="shared" si="7"/>
        <v>43</v>
      </c>
      <c r="F48" s="65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>
        <f>$C48</f>
        <v>1354.4212500000001</v>
      </c>
      <c r="AW48" s="32">
        <f t="array" ref="AW48">IF(COLUMN() - ($E48 + 5) &lt; 0, 0,
  IF(COLUMN() - ($E48 + 5) = 0, $F48,
    AV48 * (1 - IFERROR(INDEX('Inputs &amp; Assuptions'!$C$13:$C$72, COLUMN() - ($E48 + 5)), 0))
  )
)</f>
        <v>1283.3141343750001</v>
      </c>
      <c r="AX48" s="32">
        <f t="array" ref="AX48">IF(COLUMN() - ($E48 + 5) &lt; 0, 0,
  IF(COLUMN() - ($E48 + 5) = 0, $F48,
    AW48 * (1 - IFERROR(INDEX('Inputs &amp; Assuptions'!$C$13:$C$72, COLUMN() - ($E48 + 5)), 0))
  )
)</f>
        <v>1231.981569</v>
      </c>
      <c r="AY48" s="32">
        <f t="array" ref="AY48">IF(COLUMN() - ($E48 + 5) &lt; 0, 0,
  IF(COLUMN() - ($E48 + 5) = 0, $F48,
    AX48 * (1 - IFERROR(INDEX('Inputs &amp; Assuptions'!$C$13:$C$72, COLUMN() - ($E48 + 5)), 0))
  )
)</f>
        <v>1198.1020758525001</v>
      </c>
      <c r="AZ48" s="32">
        <f t="array" ref="AZ48">IF(COLUMN() - ($E48 + 5) &lt; 0, 0,
  IF(COLUMN() - ($E48 + 5) = 0, $F48,
    AY48 * (1 - IFERROR(INDEX('Inputs &amp; Assuptions'!$C$13:$C$72, COLUMN() - ($E48 + 5)), 0))
  )
)</f>
        <v>1168.1495239561875</v>
      </c>
      <c r="BA48" s="32">
        <f t="array" ref="BA48">IF(COLUMN() - ($E48 + 5) &lt; 0, 0,
  IF(COLUMN() - ($E48 + 5) = 0, $F48,
    AZ48 * (1 - IFERROR(INDEX('Inputs &amp; Assuptions'!$C$13:$C$72, COLUMN() - ($E48 + 5)), 0))
  )
)</f>
        <v>1141.8661596671734</v>
      </c>
      <c r="BB48" s="32">
        <f t="array" ref="BB48">IF(COLUMN() - ($E48 + 5) &lt; 0, 0,
  IF(COLUMN() - ($E48 + 5) = 0, $F48,
    BA48 * (1 - IFERROR(INDEX('Inputs &amp; Assuptions'!$C$13:$C$72, COLUMN() - ($E48 + 5)), 0))
  )
)</f>
        <v>1119.0288364738299</v>
      </c>
      <c r="BC48" s="32">
        <f t="array" ref="BC48">IF(COLUMN() - ($E48 + 5) &lt; 0, 0,
  IF(COLUMN() - ($E48 + 5) = 0, $F48,
    BB48 * (1 - IFERROR(INDEX('Inputs &amp; Assuptions'!$C$13:$C$72, COLUMN() - ($E48 + 5)), 0))
  )
)</f>
        <v>1099.445831835538</v>
      </c>
      <c r="BD48" s="32">
        <f t="array" ref="BD48">IF(COLUMN() - ($E48 + 5) &lt; 0, 0,
  IF(COLUMN() - ($E48 + 5) = 0, $F48,
    BC48 * (1 - IFERROR(INDEX('Inputs &amp; Assuptions'!$C$13:$C$72, COLUMN() - ($E48 + 5)), 0))
  )
)</f>
        <v>1082.9541443580049</v>
      </c>
      <c r="BE48" s="32">
        <f t="array" ref="BE48">IF(COLUMN() - ($E48 + 5) &lt; 0, 0,
  IF(COLUMN() - ($E48 + 5) = 0, $F48,
    BD48 * (1 - IFERROR(INDEX('Inputs &amp; Assuptions'!$C$13:$C$72, COLUMN() - ($E48 + 5)), 0))
  )
)</f>
        <v>1069.4172175535298</v>
      </c>
      <c r="BF48" s="32">
        <f t="array" ref="BF48">IF(COLUMN() - ($E48 + 5) &lt; 0, 0,
  IF(COLUMN() - ($E48 + 5) = 0, $F48,
    BE48 * (1 - IFERROR(INDEX('Inputs &amp; Assuptions'!$C$13:$C$72, COLUMN() - ($E48 + 5)), 0))
  )
)</f>
        <v>1058.7230453779944</v>
      </c>
      <c r="BG48" s="32">
        <f t="array" ref="BG48">IF(COLUMN() - ($E48 + 5) &lt; 0, 0,
  IF(COLUMN() - ($E48 + 5) = 0, $F48,
    BF48 * (1 - IFERROR(INDEX('Inputs &amp; Assuptions'!$C$13:$C$72, COLUMN() - ($E48 + 5)), 0))
  )
)</f>
        <v>1053.4294301511045</v>
      </c>
      <c r="BH48" s="32">
        <f t="array" ref="BH48">IF(COLUMN() - ($E48 + 5) &lt; 0, 0,
  IF(COLUMN() - ($E48 + 5) = 0, $F48,
    BG48 * (1 - IFERROR(INDEX('Inputs &amp; Assuptions'!$C$13:$C$72, COLUMN() - ($E48 + 5)), 0))
  )
)</f>
        <v>1048.1622830003489</v>
      </c>
      <c r="BI48" s="32">
        <f t="array" ref="BI48">IF(COLUMN() - ($E48 + 5) &lt; 0, 0,
  IF(COLUMN() - ($E48 + 5) = 0, $F48,
    BH48 * (1 - IFERROR(INDEX('Inputs &amp; Assuptions'!$C$13:$C$72, COLUMN() - ($E48 + 5)), 0))
  )
)</f>
        <v>1042.9214715853473</v>
      </c>
      <c r="BJ48" s="32">
        <f t="array" ref="BJ48">IF(COLUMN() - ($E48 + 5) &lt; 0, 0,
  IF(COLUMN() - ($E48 + 5) = 0, $F48,
    BI48 * (1 - IFERROR(INDEX('Inputs &amp; Assuptions'!$C$13:$C$72, COLUMN() - ($E48 + 5)), 0))
  )
)</f>
        <v>1037.7068642274205</v>
      </c>
      <c r="BK48" s="32">
        <f t="array" ref="BK48">IF(COLUMN() - ($E48 + 5) &lt; 0, 0,
  IF(COLUMN() - ($E48 + 5) = 0, $F48,
    BJ48 * (1 - IFERROR(INDEX('Inputs &amp; Assuptions'!$C$13:$C$72, COLUMN() - ($E48 + 5)), 0))
  )
)</f>
        <v>1032.5183299062835</v>
      </c>
      <c r="BL48" s="32">
        <f t="array" ref="BL48">IF(COLUMN() - ($E48 + 5) &lt; 0, 0,
  IF(COLUMN() - ($E48 + 5) = 0, $F48,
    BK48 * (1 - IFERROR(INDEX('Inputs &amp; Assuptions'!$C$13:$C$72, COLUMN() - ($E48 + 5)), 0))
  )
)</f>
        <v>1027.3557382567521</v>
      </c>
      <c r="BM48" s="66">
        <f t="array" ref="BM48">IF(COLUMN() - ($E48 + 5) &lt; 0, 0,
  IF(COLUMN() - ($E48 + 5) = 0, $F48,
    BL48 * (1 - IFERROR(INDEX('Inputs &amp; Assuptions'!$C$13:$C$72, COLUMN() - ($E48 + 5)), 0))
  )
)</f>
        <v>1022.2189595654684</v>
      </c>
      <c r="BN48" s="33"/>
    </row>
    <row r="49" spans="1:66" x14ac:dyDescent="0.3">
      <c r="A49" s="71">
        <f t="shared" si="6"/>
        <v>44</v>
      </c>
      <c r="B49" s="75">
        <f t="shared" si="4"/>
        <v>1736.4375</v>
      </c>
      <c r="C49" s="81">
        <f>$B49*(1-'Inputs &amp; Assuptions'!$C$12)</f>
        <v>1354.4212500000001</v>
      </c>
      <c r="E49" s="71">
        <f t="shared" si="7"/>
        <v>44</v>
      </c>
      <c r="F49" s="6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>
        <f>$C49</f>
        <v>1354.4212500000001</v>
      </c>
      <c r="AX49" s="32">
        <f t="array" ref="AX49">IF(COLUMN() - ($E49 + 5) &lt; 0, 0,
  IF(COLUMN() - ($E49 + 5) = 0, $F49,
    AW49 * (1 - IFERROR(INDEX('Inputs &amp; Assuptions'!$C$13:$C$72, COLUMN() - ($E49 + 5)), 0))
  )
)</f>
        <v>1283.3141343750001</v>
      </c>
      <c r="AY49" s="32">
        <f t="array" ref="AY49">IF(COLUMN() - ($E49 + 5) &lt; 0, 0,
  IF(COLUMN() - ($E49 + 5) = 0, $F49,
    AX49 * (1 - IFERROR(INDEX('Inputs &amp; Assuptions'!$C$13:$C$72, COLUMN() - ($E49 + 5)), 0))
  )
)</f>
        <v>1231.981569</v>
      </c>
      <c r="AZ49" s="32">
        <f t="array" ref="AZ49">IF(COLUMN() - ($E49 + 5) &lt; 0, 0,
  IF(COLUMN() - ($E49 + 5) = 0, $F49,
    AY49 * (1 - IFERROR(INDEX('Inputs &amp; Assuptions'!$C$13:$C$72, COLUMN() - ($E49 + 5)), 0))
  )
)</f>
        <v>1198.1020758525001</v>
      </c>
      <c r="BA49" s="32">
        <f t="array" ref="BA49">IF(COLUMN() - ($E49 + 5) &lt; 0, 0,
  IF(COLUMN() - ($E49 + 5) = 0, $F49,
    AZ49 * (1 - IFERROR(INDEX('Inputs &amp; Assuptions'!$C$13:$C$72, COLUMN() - ($E49 + 5)), 0))
  )
)</f>
        <v>1168.1495239561875</v>
      </c>
      <c r="BB49" s="32">
        <f t="array" ref="BB49">IF(COLUMN() - ($E49 + 5) &lt; 0, 0,
  IF(COLUMN() - ($E49 + 5) = 0, $F49,
    BA49 * (1 - IFERROR(INDEX('Inputs &amp; Assuptions'!$C$13:$C$72, COLUMN() - ($E49 + 5)), 0))
  )
)</f>
        <v>1141.8661596671734</v>
      </c>
      <c r="BC49" s="32">
        <f t="array" ref="BC49">IF(COLUMN() - ($E49 + 5) &lt; 0, 0,
  IF(COLUMN() - ($E49 + 5) = 0, $F49,
    BB49 * (1 - IFERROR(INDEX('Inputs &amp; Assuptions'!$C$13:$C$72, COLUMN() - ($E49 + 5)), 0))
  )
)</f>
        <v>1119.0288364738299</v>
      </c>
      <c r="BD49" s="32">
        <f t="array" ref="BD49">IF(COLUMN() - ($E49 + 5) &lt; 0, 0,
  IF(COLUMN() - ($E49 + 5) = 0, $F49,
    BC49 * (1 - IFERROR(INDEX('Inputs &amp; Assuptions'!$C$13:$C$72, COLUMN() - ($E49 + 5)), 0))
  )
)</f>
        <v>1099.445831835538</v>
      </c>
      <c r="BE49" s="32">
        <f t="array" ref="BE49">IF(COLUMN() - ($E49 + 5) &lt; 0, 0,
  IF(COLUMN() - ($E49 + 5) = 0, $F49,
    BD49 * (1 - IFERROR(INDEX('Inputs &amp; Assuptions'!$C$13:$C$72, COLUMN() - ($E49 + 5)), 0))
  )
)</f>
        <v>1082.9541443580049</v>
      </c>
      <c r="BF49" s="32">
        <f t="array" ref="BF49">IF(COLUMN() - ($E49 + 5) &lt; 0, 0,
  IF(COLUMN() - ($E49 + 5) = 0, $F49,
    BE49 * (1 - IFERROR(INDEX('Inputs &amp; Assuptions'!$C$13:$C$72, COLUMN() - ($E49 + 5)), 0))
  )
)</f>
        <v>1069.4172175535298</v>
      </c>
      <c r="BG49" s="32">
        <f t="array" ref="BG49">IF(COLUMN() - ($E49 + 5) &lt; 0, 0,
  IF(COLUMN() - ($E49 + 5) = 0, $F49,
    BF49 * (1 - IFERROR(INDEX('Inputs &amp; Assuptions'!$C$13:$C$72, COLUMN() - ($E49 + 5)), 0))
  )
)</f>
        <v>1058.7230453779944</v>
      </c>
      <c r="BH49" s="32">
        <f t="array" ref="BH49">IF(COLUMN() - ($E49 + 5) &lt; 0, 0,
  IF(COLUMN() - ($E49 + 5) = 0, $F49,
    BG49 * (1 - IFERROR(INDEX('Inputs &amp; Assuptions'!$C$13:$C$72, COLUMN() - ($E49 + 5)), 0))
  )
)</f>
        <v>1053.4294301511045</v>
      </c>
      <c r="BI49" s="32">
        <f t="array" ref="BI49">IF(COLUMN() - ($E49 + 5) &lt; 0, 0,
  IF(COLUMN() - ($E49 + 5) = 0, $F49,
    BH49 * (1 - IFERROR(INDEX('Inputs &amp; Assuptions'!$C$13:$C$72, COLUMN() - ($E49 + 5)), 0))
  )
)</f>
        <v>1048.1622830003489</v>
      </c>
      <c r="BJ49" s="32">
        <f t="array" ref="BJ49">IF(COLUMN() - ($E49 + 5) &lt; 0, 0,
  IF(COLUMN() - ($E49 + 5) = 0, $F49,
    BI49 * (1 - IFERROR(INDEX('Inputs &amp; Assuptions'!$C$13:$C$72, COLUMN() - ($E49 + 5)), 0))
  )
)</f>
        <v>1042.9214715853473</v>
      </c>
      <c r="BK49" s="32">
        <f t="array" ref="BK49">IF(COLUMN() - ($E49 + 5) &lt; 0, 0,
  IF(COLUMN() - ($E49 + 5) = 0, $F49,
    BJ49 * (1 - IFERROR(INDEX('Inputs &amp; Assuptions'!$C$13:$C$72, COLUMN() - ($E49 + 5)), 0))
  )
)</f>
        <v>1037.7068642274205</v>
      </c>
      <c r="BL49" s="32">
        <f t="array" ref="BL49">IF(COLUMN() - ($E49 + 5) &lt; 0, 0,
  IF(COLUMN() - ($E49 + 5) = 0, $F49,
    BK49 * (1 - IFERROR(INDEX('Inputs &amp; Assuptions'!$C$13:$C$72, COLUMN() - ($E49 + 5)), 0))
  )
)</f>
        <v>1032.5183299062835</v>
      </c>
      <c r="BM49" s="66">
        <f t="array" ref="BM49">IF(COLUMN() - ($E49 + 5) &lt; 0, 0,
  IF(COLUMN() - ($E49 + 5) = 0, $F49,
    BL49 * (1 - IFERROR(INDEX('Inputs &amp; Assuptions'!$C$13:$C$72, COLUMN() - ($E49 + 5)), 0))
  )
)</f>
        <v>1027.3557382567521</v>
      </c>
      <c r="BN49" s="33"/>
    </row>
    <row r="50" spans="1:66" x14ac:dyDescent="0.3">
      <c r="A50" s="71">
        <f t="shared" si="6"/>
        <v>45</v>
      </c>
      <c r="B50" s="75">
        <f t="shared" si="4"/>
        <v>1736.4375</v>
      </c>
      <c r="C50" s="81">
        <f>$B50*(1-'Inputs &amp; Assuptions'!$C$12)</f>
        <v>1354.4212500000001</v>
      </c>
      <c r="E50" s="71">
        <f t="shared" si="7"/>
        <v>45</v>
      </c>
      <c r="F50" s="65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>
        <f>$C50</f>
        <v>1354.4212500000001</v>
      </c>
      <c r="AY50" s="32">
        <f t="array" ref="AY50">IF(COLUMN() - ($E50 + 5) &lt; 0, 0,
  IF(COLUMN() - ($E50 + 5) = 0, $F50,
    AX50 * (1 - IFERROR(INDEX('Inputs &amp; Assuptions'!$C$13:$C$72, COLUMN() - ($E50 + 5)), 0))
  )
)</f>
        <v>1283.3141343750001</v>
      </c>
      <c r="AZ50" s="32">
        <f t="array" ref="AZ50">IF(COLUMN() - ($E50 + 5) &lt; 0, 0,
  IF(COLUMN() - ($E50 + 5) = 0, $F50,
    AY50 * (1 - IFERROR(INDEX('Inputs &amp; Assuptions'!$C$13:$C$72, COLUMN() - ($E50 + 5)), 0))
  )
)</f>
        <v>1231.981569</v>
      </c>
      <c r="BA50" s="32">
        <f t="array" ref="BA50">IF(COLUMN() - ($E50 + 5) &lt; 0, 0,
  IF(COLUMN() - ($E50 + 5) = 0, $F50,
    AZ50 * (1 - IFERROR(INDEX('Inputs &amp; Assuptions'!$C$13:$C$72, COLUMN() - ($E50 + 5)), 0))
  )
)</f>
        <v>1198.1020758525001</v>
      </c>
      <c r="BB50" s="32">
        <f t="array" ref="BB50">IF(COLUMN() - ($E50 + 5) &lt; 0, 0,
  IF(COLUMN() - ($E50 + 5) = 0, $F50,
    BA50 * (1 - IFERROR(INDEX('Inputs &amp; Assuptions'!$C$13:$C$72, COLUMN() - ($E50 + 5)), 0))
  )
)</f>
        <v>1168.1495239561875</v>
      </c>
      <c r="BC50" s="32">
        <f t="array" ref="BC50">IF(COLUMN() - ($E50 + 5) &lt; 0, 0,
  IF(COLUMN() - ($E50 + 5) = 0, $F50,
    BB50 * (1 - IFERROR(INDEX('Inputs &amp; Assuptions'!$C$13:$C$72, COLUMN() - ($E50 + 5)), 0))
  )
)</f>
        <v>1141.8661596671734</v>
      </c>
      <c r="BD50" s="32">
        <f t="array" ref="BD50">IF(COLUMN() - ($E50 + 5) &lt; 0, 0,
  IF(COLUMN() - ($E50 + 5) = 0, $F50,
    BC50 * (1 - IFERROR(INDEX('Inputs &amp; Assuptions'!$C$13:$C$72, COLUMN() - ($E50 + 5)), 0))
  )
)</f>
        <v>1119.0288364738299</v>
      </c>
      <c r="BE50" s="32">
        <f t="array" ref="BE50">IF(COLUMN() - ($E50 + 5) &lt; 0, 0,
  IF(COLUMN() - ($E50 + 5) = 0, $F50,
    BD50 * (1 - IFERROR(INDEX('Inputs &amp; Assuptions'!$C$13:$C$72, COLUMN() - ($E50 + 5)), 0))
  )
)</f>
        <v>1099.445831835538</v>
      </c>
      <c r="BF50" s="32">
        <f t="array" ref="BF50">IF(COLUMN() - ($E50 + 5) &lt; 0, 0,
  IF(COLUMN() - ($E50 + 5) = 0, $F50,
    BE50 * (1 - IFERROR(INDEX('Inputs &amp; Assuptions'!$C$13:$C$72, COLUMN() - ($E50 + 5)), 0))
  )
)</f>
        <v>1082.9541443580049</v>
      </c>
      <c r="BG50" s="32">
        <f t="array" ref="BG50">IF(COLUMN() - ($E50 + 5) &lt; 0, 0,
  IF(COLUMN() - ($E50 + 5) = 0, $F50,
    BF50 * (1 - IFERROR(INDEX('Inputs &amp; Assuptions'!$C$13:$C$72, COLUMN() - ($E50 + 5)), 0))
  )
)</f>
        <v>1069.4172175535298</v>
      </c>
      <c r="BH50" s="32">
        <f t="array" ref="BH50">IF(COLUMN() - ($E50 + 5) &lt; 0, 0,
  IF(COLUMN() - ($E50 + 5) = 0, $F50,
    BG50 * (1 - IFERROR(INDEX('Inputs &amp; Assuptions'!$C$13:$C$72, COLUMN() - ($E50 + 5)), 0))
  )
)</f>
        <v>1058.7230453779944</v>
      </c>
      <c r="BI50" s="32">
        <f t="array" ref="BI50">IF(COLUMN() - ($E50 + 5) &lt; 0, 0,
  IF(COLUMN() - ($E50 + 5) = 0, $F50,
    BH50 * (1 - IFERROR(INDEX('Inputs &amp; Assuptions'!$C$13:$C$72, COLUMN() - ($E50 + 5)), 0))
  )
)</f>
        <v>1053.4294301511045</v>
      </c>
      <c r="BJ50" s="32">
        <f t="array" ref="BJ50">IF(COLUMN() - ($E50 + 5) &lt; 0, 0,
  IF(COLUMN() - ($E50 + 5) = 0, $F50,
    BI50 * (1 - IFERROR(INDEX('Inputs &amp; Assuptions'!$C$13:$C$72, COLUMN() - ($E50 + 5)), 0))
  )
)</f>
        <v>1048.1622830003489</v>
      </c>
      <c r="BK50" s="32">
        <f t="array" ref="BK50">IF(COLUMN() - ($E50 + 5) &lt; 0, 0,
  IF(COLUMN() - ($E50 + 5) = 0, $F50,
    BJ50 * (1 - IFERROR(INDEX('Inputs &amp; Assuptions'!$C$13:$C$72, COLUMN() - ($E50 + 5)), 0))
  )
)</f>
        <v>1042.9214715853473</v>
      </c>
      <c r="BL50" s="32">
        <f t="array" ref="BL50">IF(COLUMN() - ($E50 + 5) &lt; 0, 0,
  IF(COLUMN() - ($E50 + 5) = 0, $F50,
    BK50 * (1 - IFERROR(INDEX('Inputs &amp; Assuptions'!$C$13:$C$72, COLUMN() - ($E50 + 5)), 0))
  )
)</f>
        <v>1037.7068642274205</v>
      </c>
      <c r="BM50" s="66">
        <f t="array" ref="BM50">IF(COLUMN() - ($E50 + 5) &lt; 0, 0,
  IF(COLUMN() - ($E50 + 5) = 0, $F50,
    BL50 * (1 - IFERROR(INDEX('Inputs &amp; Assuptions'!$C$13:$C$72, COLUMN() - ($E50 + 5)), 0))
  )
)</f>
        <v>1032.5183299062835</v>
      </c>
      <c r="BN50" s="33"/>
    </row>
    <row r="51" spans="1:66" x14ac:dyDescent="0.3">
      <c r="A51" s="71">
        <f t="shared" si="6"/>
        <v>46</v>
      </c>
      <c r="B51" s="75">
        <f t="shared" si="4"/>
        <v>1736.4375</v>
      </c>
      <c r="C51" s="81">
        <f>$B51*(1-'Inputs &amp; Assuptions'!$C$12)</f>
        <v>1354.4212500000001</v>
      </c>
      <c r="E51" s="71">
        <f t="shared" si="7"/>
        <v>46</v>
      </c>
      <c r="F51" s="65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>
        <f>$C51</f>
        <v>1354.4212500000001</v>
      </c>
      <c r="AZ51" s="32">
        <f t="array" ref="AZ51">IF(COLUMN() - ($E51 + 5) &lt; 0, 0,
  IF(COLUMN() - ($E51 + 5) = 0, $F51,
    AY51 * (1 - IFERROR(INDEX('Inputs &amp; Assuptions'!$C$13:$C$72, COLUMN() - ($E51 + 5)), 0))
  )
)</f>
        <v>1283.3141343750001</v>
      </c>
      <c r="BA51" s="32">
        <f t="array" ref="BA51">IF(COLUMN() - ($E51 + 5) &lt; 0, 0,
  IF(COLUMN() - ($E51 + 5) = 0, $F51,
    AZ51 * (1 - IFERROR(INDEX('Inputs &amp; Assuptions'!$C$13:$C$72, COLUMN() - ($E51 + 5)), 0))
  )
)</f>
        <v>1231.981569</v>
      </c>
      <c r="BB51" s="32">
        <f t="array" ref="BB51">IF(COLUMN() - ($E51 + 5) &lt; 0, 0,
  IF(COLUMN() - ($E51 + 5) = 0, $F51,
    BA51 * (1 - IFERROR(INDEX('Inputs &amp; Assuptions'!$C$13:$C$72, COLUMN() - ($E51 + 5)), 0))
  )
)</f>
        <v>1198.1020758525001</v>
      </c>
      <c r="BC51" s="32">
        <f t="array" ref="BC51">IF(COLUMN() - ($E51 + 5) &lt; 0, 0,
  IF(COLUMN() - ($E51 + 5) = 0, $F51,
    BB51 * (1 - IFERROR(INDEX('Inputs &amp; Assuptions'!$C$13:$C$72, COLUMN() - ($E51 + 5)), 0))
  )
)</f>
        <v>1168.1495239561875</v>
      </c>
      <c r="BD51" s="32">
        <f t="array" ref="BD51">IF(COLUMN() - ($E51 + 5) &lt; 0, 0,
  IF(COLUMN() - ($E51 + 5) = 0, $F51,
    BC51 * (1 - IFERROR(INDEX('Inputs &amp; Assuptions'!$C$13:$C$72, COLUMN() - ($E51 + 5)), 0))
  )
)</f>
        <v>1141.8661596671734</v>
      </c>
      <c r="BE51" s="32">
        <f t="array" ref="BE51">IF(COLUMN() - ($E51 + 5) &lt; 0, 0,
  IF(COLUMN() - ($E51 + 5) = 0, $F51,
    BD51 * (1 - IFERROR(INDEX('Inputs &amp; Assuptions'!$C$13:$C$72, COLUMN() - ($E51 + 5)), 0))
  )
)</f>
        <v>1119.0288364738299</v>
      </c>
      <c r="BF51" s="32">
        <f t="array" ref="BF51">IF(COLUMN() - ($E51 + 5) &lt; 0, 0,
  IF(COLUMN() - ($E51 + 5) = 0, $F51,
    BE51 * (1 - IFERROR(INDEX('Inputs &amp; Assuptions'!$C$13:$C$72, COLUMN() - ($E51 + 5)), 0))
  )
)</f>
        <v>1099.445831835538</v>
      </c>
      <c r="BG51" s="32">
        <f t="array" ref="BG51">IF(COLUMN() - ($E51 + 5) &lt; 0, 0,
  IF(COLUMN() - ($E51 + 5) = 0, $F51,
    BF51 * (1 - IFERROR(INDEX('Inputs &amp; Assuptions'!$C$13:$C$72, COLUMN() - ($E51 + 5)), 0))
  )
)</f>
        <v>1082.9541443580049</v>
      </c>
      <c r="BH51" s="32">
        <f t="array" ref="BH51">IF(COLUMN() - ($E51 + 5) &lt; 0, 0,
  IF(COLUMN() - ($E51 + 5) = 0, $F51,
    BG51 * (1 - IFERROR(INDEX('Inputs &amp; Assuptions'!$C$13:$C$72, COLUMN() - ($E51 + 5)), 0))
  )
)</f>
        <v>1069.4172175535298</v>
      </c>
      <c r="BI51" s="32">
        <f t="array" ref="BI51">IF(COLUMN() - ($E51 + 5) &lt; 0, 0,
  IF(COLUMN() - ($E51 + 5) = 0, $F51,
    BH51 * (1 - IFERROR(INDEX('Inputs &amp; Assuptions'!$C$13:$C$72, COLUMN() - ($E51 + 5)), 0))
  )
)</f>
        <v>1058.7230453779944</v>
      </c>
      <c r="BJ51" s="32">
        <f t="array" ref="BJ51">IF(COLUMN() - ($E51 + 5) &lt; 0, 0,
  IF(COLUMN() - ($E51 + 5) = 0, $F51,
    BI51 * (1 - IFERROR(INDEX('Inputs &amp; Assuptions'!$C$13:$C$72, COLUMN() - ($E51 + 5)), 0))
  )
)</f>
        <v>1053.4294301511045</v>
      </c>
      <c r="BK51" s="32">
        <f t="array" ref="BK51">IF(COLUMN() - ($E51 + 5) &lt; 0, 0,
  IF(COLUMN() - ($E51 + 5) = 0, $F51,
    BJ51 * (1 - IFERROR(INDEX('Inputs &amp; Assuptions'!$C$13:$C$72, COLUMN() - ($E51 + 5)), 0))
  )
)</f>
        <v>1048.1622830003489</v>
      </c>
      <c r="BL51" s="32">
        <f t="array" ref="BL51">IF(COLUMN() - ($E51 + 5) &lt; 0, 0,
  IF(COLUMN() - ($E51 + 5) = 0, $F51,
    BK51 * (1 - IFERROR(INDEX('Inputs &amp; Assuptions'!$C$13:$C$72, COLUMN() - ($E51 + 5)), 0))
  )
)</f>
        <v>1042.9214715853473</v>
      </c>
      <c r="BM51" s="66">
        <f t="array" ref="BM51">IF(COLUMN() - ($E51 + 5) &lt; 0, 0,
  IF(COLUMN() - ($E51 + 5) = 0, $F51,
    BL51 * (1 - IFERROR(INDEX('Inputs &amp; Assuptions'!$C$13:$C$72, COLUMN() - ($E51 + 5)), 0))
  )
)</f>
        <v>1037.7068642274205</v>
      </c>
      <c r="BN51" s="33"/>
    </row>
    <row r="52" spans="1:66" x14ac:dyDescent="0.3">
      <c r="A52" s="71">
        <f t="shared" si="6"/>
        <v>47</v>
      </c>
      <c r="B52" s="75">
        <f t="shared" si="4"/>
        <v>1736.4375</v>
      </c>
      <c r="C52" s="81">
        <f>$B52*(1-'Inputs &amp; Assuptions'!$C$12)</f>
        <v>1354.4212500000001</v>
      </c>
      <c r="E52" s="71">
        <f t="shared" si="7"/>
        <v>47</v>
      </c>
      <c r="F52" s="65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>
        <f>$C52</f>
        <v>1354.4212500000001</v>
      </c>
      <c r="BA52" s="32">
        <f t="array" ref="BA52">IF(COLUMN() - ($E52 + 5) &lt; 0, 0,
  IF(COLUMN() - ($E52 + 5) = 0, $F52,
    AZ52 * (1 - IFERROR(INDEX('Inputs &amp; Assuptions'!$C$13:$C$72, COLUMN() - ($E52 + 5)), 0))
  )
)</f>
        <v>1283.3141343750001</v>
      </c>
      <c r="BB52" s="32">
        <f t="array" ref="BB52">IF(COLUMN() - ($E52 + 5) &lt; 0, 0,
  IF(COLUMN() - ($E52 + 5) = 0, $F52,
    BA52 * (1 - IFERROR(INDEX('Inputs &amp; Assuptions'!$C$13:$C$72, COLUMN() - ($E52 + 5)), 0))
  )
)</f>
        <v>1231.981569</v>
      </c>
      <c r="BC52" s="32">
        <f t="array" ref="BC52">IF(COLUMN() - ($E52 + 5) &lt; 0, 0,
  IF(COLUMN() - ($E52 + 5) = 0, $F52,
    BB52 * (1 - IFERROR(INDEX('Inputs &amp; Assuptions'!$C$13:$C$72, COLUMN() - ($E52 + 5)), 0))
  )
)</f>
        <v>1198.1020758525001</v>
      </c>
      <c r="BD52" s="32">
        <f t="array" ref="BD52">IF(COLUMN() - ($E52 + 5) &lt; 0, 0,
  IF(COLUMN() - ($E52 + 5) = 0, $F52,
    BC52 * (1 - IFERROR(INDEX('Inputs &amp; Assuptions'!$C$13:$C$72, COLUMN() - ($E52 + 5)), 0))
  )
)</f>
        <v>1168.1495239561875</v>
      </c>
      <c r="BE52" s="32">
        <f t="array" ref="BE52">IF(COLUMN() - ($E52 + 5) &lt; 0, 0,
  IF(COLUMN() - ($E52 + 5) = 0, $F52,
    BD52 * (1 - IFERROR(INDEX('Inputs &amp; Assuptions'!$C$13:$C$72, COLUMN() - ($E52 + 5)), 0))
  )
)</f>
        <v>1141.8661596671734</v>
      </c>
      <c r="BF52" s="32">
        <f t="array" ref="BF52">IF(COLUMN() - ($E52 + 5) &lt; 0, 0,
  IF(COLUMN() - ($E52 + 5) = 0, $F52,
    BE52 * (1 - IFERROR(INDEX('Inputs &amp; Assuptions'!$C$13:$C$72, COLUMN() - ($E52 + 5)), 0))
  )
)</f>
        <v>1119.0288364738299</v>
      </c>
      <c r="BG52" s="32">
        <f t="array" ref="BG52">IF(COLUMN() - ($E52 + 5) &lt; 0, 0,
  IF(COLUMN() - ($E52 + 5) = 0, $F52,
    BF52 * (1 - IFERROR(INDEX('Inputs &amp; Assuptions'!$C$13:$C$72, COLUMN() - ($E52 + 5)), 0))
  )
)</f>
        <v>1099.445831835538</v>
      </c>
      <c r="BH52" s="32">
        <f t="array" ref="BH52">IF(COLUMN() - ($E52 + 5) &lt; 0, 0,
  IF(COLUMN() - ($E52 + 5) = 0, $F52,
    BG52 * (1 - IFERROR(INDEX('Inputs &amp; Assuptions'!$C$13:$C$72, COLUMN() - ($E52 + 5)), 0))
  )
)</f>
        <v>1082.9541443580049</v>
      </c>
      <c r="BI52" s="32">
        <f t="array" ref="BI52">IF(COLUMN() - ($E52 + 5) &lt; 0, 0,
  IF(COLUMN() - ($E52 + 5) = 0, $F52,
    BH52 * (1 - IFERROR(INDEX('Inputs &amp; Assuptions'!$C$13:$C$72, COLUMN() - ($E52 + 5)), 0))
  )
)</f>
        <v>1069.4172175535298</v>
      </c>
      <c r="BJ52" s="32">
        <f t="array" ref="BJ52">IF(COLUMN() - ($E52 + 5) &lt; 0, 0,
  IF(COLUMN() - ($E52 + 5) = 0, $F52,
    BI52 * (1 - IFERROR(INDEX('Inputs &amp; Assuptions'!$C$13:$C$72, COLUMN() - ($E52 + 5)), 0))
  )
)</f>
        <v>1058.7230453779944</v>
      </c>
      <c r="BK52" s="32">
        <f t="array" ref="BK52">IF(COLUMN() - ($E52 + 5) &lt; 0, 0,
  IF(COLUMN() - ($E52 + 5) = 0, $F52,
    BJ52 * (1 - IFERROR(INDEX('Inputs &amp; Assuptions'!$C$13:$C$72, COLUMN() - ($E52 + 5)), 0))
  )
)</f>
        <v>1053.4294301511045</v>
      </c>
      <c r="BL52" s="32">
        <f t="array" ref="BL52">IF(COLUMN() - ($E52 + 5) &lt; 0, 0,
  IF(COLUMN() - ($E52 + 5) = 0, $F52,
    BK52 * (1 - IFERROR(INDEX('Inputs &amp; Assuptions'!$C$13:$C$72, COLUMN() - ($E52 + 5)), 0))
  )
)</f>
        <v>1048.1622830003489</v>
      </c>
      <c r="BM52" s="66">
        <f t="array" ref="BM52">IF(COLUMN() - ($E52 + 5) &lt; 0, 0,
  IF(COLUMN() - ($E52 + 5) = 0, $F52,
    BL52 * (1 - IFERROR(INDEX('Inputs &amp; Assuptions'!$C$13:$C$72, COLUMN() - ($E52 + 5)), 0))
  )
)</f>
        <v>1042.9214715853473</v>
      </c>
      <c r="BN52" s="33"/>
    </row>
    <row r="53" spans="1:66" x14ac:dyDescent="0.3">
      <c r="A53" s="71">
        <f t="shared" si="6"/>
        <v>48</v>
      </c>
      <c r="B53" s="75">
        <f t="shared" si="4"/>
        <v>1736.4375</v>
      </c>
      <c r="C53" s="81">
        <f>$B53*(1-'Inputs &amp; Assuptions'!$C$12)</f>
        <v>1354.4212500000001</v>
      </c>
      <c r="E53" s="71">
        <f t="shared" si="7"/>
        <v>48</v>
      </c>
      <c r="F53" s="6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>
        <f>$C53</f>
        <v>1354.4212500000001</v>
      </c>
      <c r="BB53" s="32">
        <f t="array" ref="BB53">IF(COLUMN() - ($E53 + 5) &lt; 0, 0,
  IF(COLUMN() - ($E53 + 5) = 0, $F53,
    BA53 * (1 - IFERROR(INDEX('Inputs &amp; Assuptions'!$C$13:$C$72, COLUMN() - ($E53 + 5)), 0))
  )
)</f>
        <v>1283.3141343750001</v>
      </c>
      <c r="BC53" s="32">
        <f t="array" ref="BC53">IF(COLUMN() - ($E53 + 5) &lt; 0, 0,
  IF(COLUMN() - ($E53 + 5) = 0, $F53,
    BB53 * (1 - IFERROR(INDEX('Inputs &amp; Assuptions'!$C$13:$C$72, COLUMN() - ($E53 + 5)), 0))
  )
)</f>
        <v>1231.981569</v>
      </c>
      <c r="BD53" s="32">
        <f t="array" ref="BD53">IF(COLUMN() - ($E53 + 5) &lt; 0, 0,
  IF(COLUMN() - ($E53 + 5) = 0, $F53,
    BC53 * (1 - IFERROR(INDEX('Inputs &amp; Assuptions'!$C$13:$C$72, COLUMN() - ($E53 + 5)), 0))
  )
)</f>
        <v>1198.1020758525001</v>
      </c>
      <c r="BE53" s="32">
        <f t="array" ref="BE53">IF(COLUMN() - ($E53 + 5) &lt; 0, 0,
  IF(COLUMN() - ($E53 + 5) = 0, $F53,
    BD53 * (1 - IFERROR(INDEX('Inputs &amp; Assuptions'!$C$13:$C$72, COLUMN() - ($E53 + 5)), 0))
  )
)</f>
        <v>1168.1495239561875</v>
      </c>
      <c r="BF53" s="32">
        <f t="array" ref="BF53">IF(COLUMN() - ($E53 + 5) &lt; 0, 0,
  IF(COLUMN() - ($E53 + 5) = 0, $F53,
    BE53 * (1 - IFERROR(INDEX('Inputs &amp; Assuptions'!$C$13:$C$72, COLUMN() - ($E53 + 5)), 0))
  )
)</f>
        <v>1141.8661596671734</v>
      </c>
      <c r="BG53" s="32">
        <f t="array" ref="BG53">IF(COLUMN() - ($E53 + 5) &lt; 0, 0,
  IF(COLUMN() - ($E53 + 5) = 0, $F53,
    BF53 * (1 - IFERROR(INDEX('Inputs &amp; Assuptions'!$C$13:$C$72, COLUMN() - ($E53 + 5)), 0))
  )
)</f>
        <v>1119.0288364738299</v>
      </c>
      <c r="BH53" s="32">
        <f t="array" ref="BH53">IF(COLUMN() - ($E53 + 5) &lt; 0, 0,
  IF(COLUMN() - ($E53 + 5) = 0, $F53,
    BG53 * (1 - IFERROR(INDEX('Inputs &amp; Assuptions'!$C$13:$C$72, COLUMN() - ($E53 + 5)), 0))
  )
)</f>
        <v>1099.445831835538</v>
      </c>
      <c r="BI53" s="32">
        <f t="array" ref="BI53">IF(COLUMN() - ($E53 + 5) &lt; 0, 0,
  IF(COLUMN() - ($E53 + 5) = 0, $F53,
    BH53 * (1 - IFERROR(INDEX('Inputs &amp; Assuptions'!$C$13:$C$72, COLUMN() - ($E53 + 5)), 0))
  )
)</f>
        <v>1082.9541443580049</v>
      </c>
      <c r="BJ53" s="32">
        <f t="array" ref="BJ53">IF(COLUMN() - ($E53 + 5) &lt; 0, 0,
  IF(COLUMN() - ($E53 + 5) = 0, $F53,
    BI53 * (1 - IFERROR(INDEX('Inputs &amp; Assuptions'!$C$13:$C$72, COLUMN() - ($E53 + 5)), 0))
  )
)</f>
        <v>1069.4172175535298</v>
      </c>
      <c r="BK53" s="32">
        <f t="array" ref="BK53">IF(COLUMN() - ($E53 + 5) &lt; 0, 0,
  IF(COLUMN() - ($E53 + 5) = 0, $F53,
    BJ53 * (1 - IFERROR(INDEX('Inputs &amp; Assuptions'!$C$13:$C$72, COLUMN() - ($E53 + 5)), 0))
  )
)</f>
        <v>1058.7230453779944</v>
      </c>
      <c r="BL53" s="32">
        <f t="array" ref="BL53">IF(COLUMN() - ($E53 + 5) &lt; 0, 0,
  IF(COLUMN() - ($E53 + 5) = 0, $F53,
    BK53 * (1 - IFERROR(INDEX('Inputs &amp; Assuptions'!$C$13:$C$72, COLUMN() - ($E53 + 5)), 0))
  )
)</f>
        <v>1053.4294301511045</v>
      </c>
      <c r="BM53" s="66">
        <f t="array" ref="BM53">IF(COLUMN() - ($E53 + 5) &lt; 0, 0,
  IF(COLUMN() - ($E53 + 5) = 0, $F53,
    BL53 * (1 - IFERROR(INDEX('Inputs &amp; Assuptions'!$C$13:$C$72, COLUMN() - ($E53 + 5)), 0))
  )
)</f>
        <v>1048.1622830003489</v>
      </c>
      <c r="BN53" s="33"/>
    </row>
    <row r="54" spans="1:66" x14ac:dyDescent="0.3">
      <c r="A54" s="71">
        <f t="shared" si="6"/>
        <v>49</v>
      </c>
      <c r="B54" s="75">
        <f t="shared" si="4"/>
        <v>1823.2593750000001</v>
      </c>
      <c r="C54" s="81">
        <f>$B54*(1-'Inputs &amp; Assuptions'!$C$12)</f>
        <v>1422.1423125000001</v>
      </c>
      <c r="E54" s="71">
        <f t="shared" si="7"/>
        <v>49</v>
      </c>
      <c r="F54" s="65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>
        <f>$C54</f>
        <v>1422.1423125000001</v>
      </c>
      <c r="BC54" s="32">
        <f t="array" ref="BC54">IF(COLUMN() - ($E54 + 5) &lt; 0, 0,
  IF(COLUMN() - ($E54 + 5) = 0, $F54,
    BB54 * (1 - IFERROR(INDEX('Inputs &amp; Assuptions'!$C$13:$C$72, COLUMN() - ($E54 + 5)), 0))
  )
)</f>
        <v>1347.4798410937501</v>
      </c>
      <c r="BD54" s="32">
        <f t="array" ref="BD54">IF(COLUMN() - ($E54 + 5) &lt; 0, 0,
  IF(COLUMN() - ($E54 + 5) = 0, $F54,
    BC54 * (1 - IFERROR(INDEX('Inputs &amp; Assuptions'!$C$13:$C$72, COLUMN() - ($E54 + 5)), 0))
  )
)</f>
        <v>1293.58064745</v>
      </c>
      <c r="BE54" s="32">
        <f t="array" ref="BE54">IF(COLUMN() - ($E54 + 5) &lt; 0, 0,
  IF(COLUMN() - ($E54 + 5) = 0, $F54,
    BD54 * (1 - IFERROR(INDEX('Inputs &amp; Assuptions'!$C$13:$C$72, COLUMN() - ($E54 + 5)), 0))
  )
)</f>
        <v>1258.007179645125</v>
      </c>
      <c r="BF54" s="32">
        <f t="array" ref="BF54">IF(COLUMN() - ($E54 + 5) &lt; 0, 0,
  IF(COLUMN() - ($E54 + 5) = 0, $F54,
    BE54 * (1 - IFERROR(INDEX('Inputs &amp; Assuptions'!$C$13:$C$72, COLUMN() - ($E54 + 5)), 0))
  )
)</f>
        <v>1226.5570001539968</v>
      </c>
      <c r="BG54" s="32">
        <f t="array" ref="BG54">IF(COLUMN() - ($E54 + 5) &lt; 0, 0,
  IF(COLUMN() - ($E54 + 5) = 0, $F54,
    BF54 * (1 - IFERROR(INDEX('Inputs &amp; Assuptions'!$C$13:$C$72, COLUMN() - ($E54 + 5)), 0))
  )
)</f>
        <v>1198.9594676505319</v>
      </c>
      <c r="BH54" s="32">
        <f t="array" ref="BH54">IF(COLUMN() - ($E54 + 5) &lt; 0, 0,
  IF(COLUMN() - ($E54 + 5) = 0, $F54,
    BG54 * (1 - IFERROR(INDEX('Inputs &amp; Assuptions'!$C$13:$C$72, COLUMN() - ($E54 + 5)), 0))
  )
)</f>
        <v>1174.9802782975212</v>
      </c>
      <c r="BI54" s="32">
        <f t="array" ref="BI54">IF(COLUMN() - ($E54 + 5) &lt; 0, 0,
  IF(COLUMN() - ($E54 + 5) = 0, $F54,
    BH54 * (1 - IFERROR(INDEX('Inputs &amp; Assuptions'!$C$13:$C$72, COLUMN() - ($E54 + 5)), 0))
  )
)</f>
        <v>1154.4181234273146</v>
      </c>
      <c r="BJ54" s="32">
        <f t="array" ref="BJ54">IF(COLUMN() - ($E54 + 5) &lt; 0, 0,
  IF(COLUMN() - ($E54 + 5) = 0, $F54,
    BI54 * (1 - IFERROR(INDEX('Inputs &amp; Assuptions'!$C$13:$C$72, COLUMN() - ($E54 + 5)), 0))
  )
)</f>
        <v>1137.1018515759049</v>
      </c>
      <c r="BK54" s="32">
        <f t="array" ref="BK54">IF(COLUMN() - ($E54 + 5) &lt; 0, 0,
  IF(COLUMN() - ($E54 + 5) = 0, $F54,
    BJ54 * (1 - IFERROR(INDEX('Inputs &amp; Assuptions'!$C$13:$C$72, COLUMN() - ($E54 + 5)), 0))
  )
)</f>
        <v>1122.8880784312062</v>
      </c>
      <c r="BL54" s="32">
        <f t="array" ref="BL54">IF(COLUMN() - ($E54 + 5) &lt; 0, 0,
  IF(COLUMN() - ($E54 + 5) = 0, $F54,
    BK54 * (1 - IFERROR(INDEX('Inputs &amp; Assuptions'!$C$13:$C$72, COLUMN() - ($E54 + 5)), 0))
  )
)</f>
        <v>1111.6591976468942</v>
      </c>
      <c r="BM54" s="66">
        <f t="array" ref="BM54">IF(COLUMN() - ($E54 + 5) &lt; 0, 0,
  IF(COLUMN() - ($E54 + 5) = 0, $F54,
    BL54 * (1 - IFERROR(INDEX('Inputs &amp; Assuptions'!$C$13:$C$72, COLUMN() - ($E54 + 5)), 0))
  )
)</f>
        <v>1106.1009016586597</v>
      </c>
      <c r="BN54" s="33"/>
    </row>
    <row r="55" spans="1:66" x14ac:dyDescent="0.3">
      <c r="A55" s="71">
        <f t="shared" si="6"/>
        <v>50</v>
      </c>
      <c r="B55" s="75">
        <f t="shared" si="4"/>
        <v>1823.2593750000001</v>
      </c>
      <c r="C55" s="81">
        <f>$B55*(1-'Inputs &amp; Assuptions'!$C$12)</f>
        <v>1422.1423125000001</v>
      </c>
      <c r="E55" s="71">
        <f t="shared" si="7"/>
        <v>50</v>
      </c>
      <c r="F55" s="65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>
        <f>$C55</f>
        <v>1422.1423125000001</v>
      </c>
      <c r="BD55" s="32">
        <f t="array" ref="BD55">IF(COLUMN() - ($E55 + 5) &lt; 0, 0,
  IF(COLUMN() - ($E55 + 5) = 0, $F55,
    BC55 * (1 - IFERROR(INDEX('Inputs &amp; Assuptions'!$C$13:$C$72, COLUMN() - ($E55 + 5)), 0))
  )
)</f>
        <v>1347.4798410937501</v>
      </c>
      <c r="BE55" s="32">
        <f t="array" ref="BE55">IF(COLUMN() - ($E55 + 5) &lt; 0, 0,
  IF(COLUMN() - ($E55 + 5) = 0, $F55,
    BD55 * (1 - IFERROR(INDEX('Inputs &amp; Assuptions'!$C$13:$C$72, COLUMN() - ($E55 + 5)), 0))
  )
)</f>
        <v>1293.58064745</v>
      </c>
      <c r="BF55" s="32">
        <f t="array" ref="BF55">IF(COLUMN() - ($E55 + 5) &lt; 0, 0,
  IF(COLUMN() - ($E55 + 5) = 0, $F55,
    BE55 * (1 - IFERROR(INDEX('Inputs &amp; Assuptions'!$C$13:$C$72, COLUMN() - ($E55 + 5)), 0))
  )
)</f>
        <v>1258.007179645125</v>
      </c>
      <c r="BG55" s="32">
        <f t="array" ref="BG55">IF(COLUMN() - ($E55 + 5) &lt; 0, 0,
  IF(COLUMN() - ($E55 + 5) = 0, $F55,
    BF55 * (1 - IFERROR(INDEX('Inputs &amp; Assuptions'!$C$13:$C$72, COLUMN() - ($E55 + 5)), 0))
  )
)</f>
        <v>1226.5570001539968</v>
      </c>
      <c r="BH55" s="32">
        <f t="array" ref="BH55">IF(COLUMN() - ($E55 + 5) &lt; 0, 0,
  IF(COLUMN() - ($E55 + 5) = 0, $F55,
    BG55 * (1 - IFERROR(INDEX('Inputs &amp; Assuptions'!$C$13:$C$72, COLUMN() - ($E55 + 5)), 0))
  )
)</f>
        <v>1198.9594676505319</v>
      </c>
      <c r="BI55" s="32">
        <f t="array" ref="BI55">IF(COLUMN() - ($E55 + 5) &lt; 0, 0,
  IF(COLUMN() - ($E55 + 5) = 0, $F55,
    BH55 * (1 - IFERROR(INDEX('Inputs &amp; Assuptions'!$C$13:$C$72, COLUMN() - ($E55 + 5)), 0))
  )
)</f>
        <v>1174.9802782975212</v>
      </c>
      <c r="BJ55" s="32">
        <f t="array" ref="BJ55">IF(COLUMN() - ($E55 + 5) &lt; 0, 0,
  IF(COLUMN() - ($E55 + 5) = 0, $F55,
    BI55 * (1 - IFERROR(INDEX('Inputs &amp; Assuptions'!$C$13:$C$72, COLUMN() - ($E55 + 5)), 0))
  )
)</f>
        <v>1154.4181234273146</v>
      </c>
      <c r="BK55" s="32">
        <f t="array" ref="BK55">IF(COLUMN() - ($E55 + 5) &lt; 0, 0,
  IF(COLUMN() - ($E55 + 5) = 0, $F55,
    BJ55 * (1 - IFERROR(INDEX('Inputs &amp; Assuptions'!$C$13:$C$72, COLUMN() - ($E55 + 5)), 0))
  )
)</f>
        <v>1137.1018515759049</v>
      </c>
      <c r="BL55" s="32">
        <f t="array" ref="BL55">IF(COLUMN() - ($E55 + 5) &lt; 0, 0,
  IF(COLUMN() - ($E55 + 5) = 0, $F55,
    BK55 * (1 - IFERROR(INDEX('Inputs &amp; Assuptions'!$C$13:$C$72, COLUMN() - ($E55 + 5)), 0))
  )
)</f>
        <v>1122.8880784312062</v>
      </c>
      <c r="BM55" s="66">
        <f t="array" ref="BM55">IF(COLUMN() - ($E55 + 5) &lt; 0, 0,
  IF(COLUMN() - ($E55 + 5) = 0, $F55,
    BL55 * (1 - IFERROR(INDEX('Inputs &amp; Assuptions'!$C$13:$C$72, COLUMN() - ($E55 + 5)), 0))
  )
)</f>
        <v>1111.6591976468942</v>
      </c>
      <c r="BN55" s="33"/>
    </row>
    <row r="56" spans="1:66" x14ac:dyDescent="0.3">
      <c r="A56" s="71">
        <f t="shared" si="6"/>
        <v>51</v>
      </c>
      <c r="B56" s="75">
        <f t="shared" si="4"/>
        <v>1823.2593750000001</v>
      </c>
      <c r="C56" s="81">
        <f>$B56*(1-'Inputs &amp; Assuptions'!$C$12)</f>
        <v>1422.1423125000001</v>
      </c>
      <c r="E56" s="71">
        <f t="shared" si="7"/>
        <v>51</v>
      </c>
      <c r="F56" s="65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>
        <f>$C56</f>
        <v>1422.1423125000001</v>
      </c>
      <c r="BE56" s="32">
        <f t="array" ref="BE56">IF(COLUMN() - ($E56 + 5) &lt; 0, 0,
  IF(COLUMN() - ($E56 + 5) = 0, $F56,
    BD56 * (1 - IFERROR(INDEX('Inputs &amp; Assuptions'!$C$13:$C$72, COLUMN() - ($E56 + 5)), 0))
  )
)</f>
        <v>1347.4798410937501</v>
      </c>
      <c r="BF56" s="32">
        <f t="array" ref="BF56">IF(COLUMN() - ($E56 + 5) &lt; 0, 0,
  IF(COLUMN() - ($E56 + 5) = 0, $F56,
    BE56 * (1 - IFERROR(INDEX('Inputs &amp; Assuptions'!$C$13:$C$72, COLUMN() - ($E56 + 5)), 0))
  )
)</f>
        <v>1293.58064745</v>
      </c>
      <c r="BG56" s="32">
        <f t="array" ref="BG56">IF(COLUMN() - ($E56 + 5) &lt; 0, 0,
  IF(COLUMN() - ($E56 + 5) = 0, $F56,
    BF56 * (1 - IFERROR(INDEX('Inputs &amp; Assuptions'!$C$13:$C$72, COLUMN() - ($E56 + 5)), 0))
  )
)</f>
        <v>1258.007179645125</v>
      </c>
      <c r="BH56" s="32">
        <f t="array" ref="BH56">IF(COLUMN() - ($E56 + 5) &lt; 0, 0,
  IF(COLUMN() - ($E56 + 5) = 0, $F56,
    BG56 * (1 - IFERROR(INDEX('Inputs &amp; Assuptions'!$C$13:$C$72, COLUMN() - ($E56 + 5)), 0))
  )
)</f>
        <v>1226.5570001539968</v>
      </c>
      <c r="BI56" s="32">
        <f t="array" ref="BI56">IF(COLUMN() - ($E56 + 5) &lt; 0, 0,
  IF(COLUMN() - ($E56 + 5) = 0, $F56,
    BH56 * (1 - IFERROR(INDEX('Inputs &amp; Assuptions'!$C$13:$C$72, COLUMN() - ($E56 + 5)), 0))
  )
)</f>
        <v>1198.9594676505319</v>
      </c>
      <c r="BJ56" s="32">
        <f t="array" ref="BJ56">IF(COLUMN() - ($E56 + 5) &lt; 0, 0,
  IF(COLUMN() - ($E56 + 5) = 0, $F56,
    BI56 * (1 - IFERROR(INDEX('Inputs &amp; Assuptions'!$C$13:$C$72, COLUMN() - ($E56 + 5)), 0))
  )
)</f>
        <v>1174.9802782975212</v>
      </c>
      <c r="BK56" s="32">
        <f t="array" ref="BK56">IF(COLUMN() - ($E56 + 5) &lt; 0, 0,
  IF(COLUMN() - ($E56 + 5) = 0, $F56,
    BJ56 * (1 - IFERROR(INDEX('Inputs &amp; Assuptions'!$C$13:$C$72, COLUMN() - ($E56 + 5)), 0))
  )
)</f>
        <v>1154.4181234273146</v>
      </c>
      <c r="BL56" s="32">
        <f t="array" ref="BL56">IF(COLUMN() - ($E56 + 5) &lt; 0, 0,
  IF(COLUMN() - ($E56 + 5) = 0, $F56,
    BK56 * (1 - IFERROR(INDEX('Inputs &amp; Assuptions'!$C$13:$C$72, COLUMN() - ($E56 + 5)), 0))
  )
)</f>
        <v>1137.1018515759049</v>
      </c>
      <c r="BM56" s="66">
        <f t="array" ref="BM56">IF(COLUMN() - ($E56 + 5) &lt; 0, 0,
  IF(COLUMN() - ($E56 + 5) = 0, $F56,
    BL56 * (1 - IFERROR(INDEX('Inputs &amp; Assuptions'!$C$13:$C$72, COLUMN() - ($E56 + 5)), 0))
  )
)</f>
        <v>1122.8880784312062</v>
      </c>
      <c r="BN56" s="33"/>
    </row>
    <row r="57" spans="1:66" x14ac:dyDescent="0.3">
      <c r="A57" s="71">
        <f t="shared" si="6"/>
        <v>52</v>
      </c>
      <c r="B57" s="75">
        <f t="shared" si="4"/>
        <v>1823.2593750000001</v>
      </c>
      <c r="C57" s="81">
        <f>$B57*(1-'Inputs &amp; Assuptions'!$C$12)</f>
        <v>1422.1423125000001</v>
      </c>
      <c r="E57" s="71">
        <f t="shared" si="7"/>
        <v>52</v>
      </c>
      <c r="F57" s="6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>
        <f>$C57</f>
        <v>1422.1423125000001</v>
      </c>
      <c r="BF57" s="32">
        <f t="array" ref="BF57">IF(COLUMN() - ($E57 + 5) &lt; 0, 0,
  IF(COLUMN() - ($E57 + 5) = 0, $F57,
    BE57 * (1 - IFERROR(INDEX('Inputs &amp; Assuptions'!$C$13:$C$72, COLUMN() - ($E57 + 5)), 0))
  )
)</f>
        <v>1347.4798410937501</v>
      </c>
      <c r="BG57" s="32">
        <f t="array" ref="BG57">IF(COLUMN() - ($E57 + 5) &lt; 0, 0,
  IF(COLUMN() - ($E57 + 5) = 0, $F57,
    BF57 * (1 - IFERROR(INDEX('Inputs &amp; Assuptions'!$C$13:$C$72, COLUMN() - ($E57 + 5)), 0))
  )
)</f>
        <v>1293.58064745</v>
      </c>
      <c r="BH57" s="32">
        <f t="array" ref="BH57">IF(COLUMN() - ($E57 + 5) &lt; 0, 0,
  IF(COLUMN() - ($E57 + 5) = 0, $F57,
    BG57 * (1 - IFERROR(INDEX('Inputs &amp; Assuptions'!$C$13:$C$72, COLUMN() - ($E57 + 5)), 0))
  )
)</f>
        <v>1258.007179645125</v>
      </c>
      <c r="BI57" s="32">
        <f t="array" ref="BI57">IF(COLUMN() - ($E57 + 5) &lt; 0, 0,
  IF(COLUMN() - ($E57 + 5) = 0, $F57,
    BH57 * (1 - IFERROR(INDEX('Inputs &amp; Assuptions'!$C$13:$C$72, COLUMN() - ($E57 + 5)), 0))
  )
)</f>
        <v>1226.5570001539968</v>
      </c>
      <c r="BJ57" s="32">
        <f t="array" ref="BJ57">IF(COLUMN() - ($E57 + 5) &lt; 0, 0,
  IF(COLUMN() - ($E57 + 5) = 0, $F57,
    BI57 * (1 - IFERROR(INDEX('Inputs &amp; Assuptions'!$C$13:$C$72, COLUMN() - ($E57 + 5)), 0))
  )
)</f>
        <v>1198.9594676505319</v>
      </c>
      <c r="BK57" s="32">
        <f t="array" ref="BK57">IF(COLUMN() - ($E57 + 5) &lt; 0, 0,
  IF(COLUMN() - ($E57 + 5) = 0, $F57,
    BJ57 * (1 - IFERROR(INDEX('Inputs &amp; Assuptions'!$C$13:$C$72, COLUMN() - ($E57 + 5)), 0))
  )
)</f>
        <v>1174.9802782975212</v>
      </c>
      <c r="BL57" s="32">
        <f t="array" ref="BL57">IF(COLUMN() - ($E57 + 5) &lt; 0, 0,
  IF(COLUMN() - ($E57 + 5) = 0, $F57,
    BK57 * (1 - IFERROR(INDEX('Inputs &amp; Assuptions'!$C$13:$C$72, COLUMN() - ($E57 + 5)), 0))
  )
)</f>
        <v>1154.4181234273146</v>
      </c>
      <c r="BM57" s="66">
        <f t="array" ref="BM57">IF(COLUMN() - ($E57 + 5) &lt; 0, 0,
  IF(COLUMN() - ($E57 + 5) = 0, $F57,
    BL57 * (1 - IFERROR(INDEX('Inputs &amp; Assuptions'!$C$13:$C$72, COLUMN() - ($E57 + 5)), 0))
  )
)</f>
        <v>1137.1018515759049</v>
      </c>
      <c r="BN57" s="33"/>
    </row>
    <row r="58" spans="1:66" x14ac:dyDescent="0.3">
      <c r="A58" s="71">
        <f t="shared" si="6"/>
        <v>53</v>
      </c>
      <c r="B58" s="75">
        <f t="shared" si="4"/>
        <v>1823.2593750000001</v>
      </c>
      <c r="C58" s="81">
        <f>$B58*(1-'Inputs &amp; Assuptions'!$C$12)</f>
        <v>1422.1423125000001</v>
      </c>
      <c r="E58" s="71">
        <f t="shared" si="7"/>
        <v>53</v>
      </c>
      <c r="F58" s="65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>
        <f>$C58</f>
        <v>1422.1423125000001</v>
      </c>
      <c r="BG58" s="32">
        <f t="array" ref="BG58">IF(COLUMN() - ($E58 + 5) &lt; 0, 0,
  IF(COLUMN() - ($E58 + 5) = 0, $F58,
    BF58 * (1 - IFERROR(INDEX('Inputs &amp; Assuptions'!$C$13:$C$72, COLUMN() - ($E58 + 5)), 0))
  )
)</f>
        <v>1347.4798410937501</v>
      </c>
      <c r="BH58" s="32">
        <f t="array" ref="BH58">IF(COLUMN() - ($E58 + 5) &lt; 0, 0,
  IF(COLUMN() - ($E58 + 5) = 0, $F58,
    BG58 * (1 - IFERROR(INDEX('Inputs &amp; Assuptions'!$C$13:$C$72, COLUMN() - ($E58 + 5)), 0))
  )
)</f>
        <v>1293.58064745</v>
      </c>
      <c r="BI58" s="32">
        <f t="array" ref="BI58">IF(COLUMN() - ($E58 + 5) &lt; 0, 0,
  IF(COLUMN() - ($E58 + 5) = 0, $F58,
    BH58 * (1 - IFERROR(INDEX('Inputs &amp; Assuptions'!$C$13:$C$72, COLUMN() - ($E58 + 5)), 0))
  )
)</f>
        <v>1258.007179645125</v>
      </c>
      <c r="BJ58" s="32">
        <f t="array" ref="BJ58">IF(COLUMN() - ($E58 + 5) &lt; 0, 0,
  IF(COLUMN() - ($E58 + 5) = 0, $F58,
    BI58 * (1 - IFERROR(INDEX('Inputs &amp; Assuptions'!$C$13:$C$72, COLUMN() - ($E58 + 5)), 0))
  )
)</f>
        <v>1226.5570001539968</v>
      </c>
      <c r="BK58" s="32">
        <f t="array" ref="BK58">IF(COLUMN() - ($E58 + 5) &lt; 0, 0,
  IF(COLUMN() - ($E58 + 5) = 0, $F58,
    BJ58 * (1 - IFERROR(INDEX('Inputs &amp; Assuptions'!$C$13:$C$72, COLUMN() - ($E58 + 5)), 0))
  )
)</f>
        <v>1198.9594676505319</v>
      </c>
      <c r="BL58" s="32">
        <f t="array" ref="BL58">IF(COLUMN() - ($E58 + 5) &lt; 0, 0,
  IF(COLUMN() - ($E58 + 5) = 0, $F58,
    BK58 * (1 - IFERROR(INDEX('Inputs &amp; Assuptions'!$C$13:$C$72, COLUMN() - ($E58 + 5)), 0))
  )
)</f>
        <v>1174.9802782975212</v>
      </c>
      <c r="BM58" s="66">
        <f t="array" ref="BM58">IF(COLUMN() - ($E58 + 5) &lt; 0, 0,
  IF(COLUMN() - ($E58 + 5) = 0, $F58,
    BL58 * (1 - IFERROR(INDEX('Inputs &amp; Assuptions'!$C$13:$C$72, COLUMN() - ($E58 + 5)), 0))
  )
)</f>
        <v>1154.4181234273146</v>
      </c>
      <c r="BN58" s="33"/>
    </row>
    <row r="59" spans="1:66" x14ac:dyDescent="0.3">
      <c r="A59" s="71">
        <f t="shared" si="6"/>
        <v>54</v>
      </c>
      <c r="B59" s="75">
        <f t="shared" si="4"/>
        <v>1823.2593750000001</v>
      </c>
      <c r="C59" s="81">
        <f>$B59*(1-'Inputs &amp; Assuptions'!$C$12)</f>
        <v>1422.1423125000001</v>
      </c>
      <c r="E59" s="71">
        <f t="shared" si="7"/>
        <v>54</v>
      </c>
      <c r="F59" s="65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>
        <f>$C59</f>
        <v>1422.1423125000001</v>
      </c>
      <c r="BH59" s="32">
        <f t="array" ref="BH59">IF(COLUMN() - ($E59 + 5) &lt; 0, 0,
  IF(COLUMN() - ($E59 + 5) = 0, $F59,
    BG59 * (1 - IFERROR(INDEX('Inputs &amp; Assuptions'!$C$13:$C$72, COLUMN() - ($E59 + 5)), 0))
  )
)</f>
        <v>1347.4798410937501</v>
      </c>
      <c r="BI59" s="32">
        <f t="array" ref="BI59">IF(COLUMN() - ($E59 + 5) &lt; 0, 0,
  IF(COLUMN() - ($E59 + 5) = 0, $F59,
    BH59 * (1 - IFERROR(INDEX('Inputs &amp; Assuptions'!$C$13:$C$72, COLUMN() - ($E59 + 5)), 0))
  )
)</f>
        <v>1293.58064745</v>
      </c>
      <c r="BJ59" s="32">
        <f t="array" ref="BJ59">IF(COLUMN() - ($E59 + 5) &lt; 0, 0,
  IF(COLUMN() - ($E59 + 5) = 0, $F59,
    BI59 * (1 - IFERROR(INDEX('Inputs &amp; Assuptions'!$C$13:$C$72, COLUMN() - ($E59 + 5)), 0))
  )
)</f>
        <v>1258.007179645125</v>
      </c>
      <c r="BK59" s="32">
        <f t="array" ref="BK59">IF(COLUMN() - ($E59 + 5) &lt; 0, 0,
  IF(COLUMN() - ($E59 + 5) = 0, $F59,
    BJ59 * (1 - IFERROR(INDEX('Inputs &amp; Assuptions'!$C$13:$C$72, COLUMN() - ($E59 + 5)), 0))
  )
)</f>
        <v>1226.5570001539968</v>
      </c>
      <c r="BL59" s="32">
        <f t="array" ref="BL59">IF(COLUMN() - ($E59 + 5) &lt; 0, 0,
  IF(COLUMN() - ($E59 + 5) = 0, $F59,
    BK59 * (1 - IFERROR(INDEX('Inputs &amp; Assuptions'!$C$13:$C$72, COLUMN() - ($E59 + 5)), 0))
  )
)</f>
        <v>1198.9594676505319</v>
      </c>
      <c r="BM59" s="66">
        <f t="array" ref="BM59">IF(COLUMN() - ($E59 + 5) &lt; 0, 0,
  IF(COLUMN() - ($E59 + 5) = 0, $F59,
    BL59 * (1 - IFERROR(INDEX('Inputs &amp; Assuptions'!$C$13:$C$72, COLUMN() - ($E59 + 5)), 0))
  )
)</f>
        <v>1174.9802782975212</v>
      </c>
      <c r="BN59" s="33"/>
    </row>
    <row r="60" spans="1:66" x14ac:dyDescent="0.3">
      <c r="A60" s="71">
        <f t="shared" si="6"/>
        <v>55</v>
      </c>
      <c r="B60" s="75">
        <f t="shared" si="4"/>
        <v>1823.2593750000001</v>
      </c>
      <c r="C60" s="81">
        <f>$B60*(1-'Inputs &amp; Assuptions'!$C$12)</f>
        <v>1422.1423125000001</v>
      </c>
      <c r="E60" s="71">
        <f t="shared" si="7"/>
        <v>55</v>
      </c>
      <c r="F60" s="65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>
        <f>$C60</f>
        <v>1422.1423125000001</v>
      </c>
      <c r="BI60" s="32">
        <f t="array" ref="BI60">IF(COLUMN() - ($E60 + 5) &lt; 0, 0,
  IF(COLUMN() - ($E60 + 5) = 0, $F60,
    BH60 * (1 - IFERROR(INDEX('Inputs &amp; Assuptions'!$C$13:$C$72, COLUMN() - ($E60 + 5)), 0))
  )
)</f>
        <v>1347.4798410937501</v>
      </c>
      <c r="BJ60" s="32">
        <f t="array" ref="BJ60">IF(COLUMN() - ($E60 + 5) &lt; 0, 0,
  IF(COLUMN() - ($E60 + 5) = 0, $F60,
    BI60 * (1 - IFERROR(INDEX('Inputs &amp; Assuptions'!$C$13:$C$72, COLUMN() - ($E60 + 5)), 0))
  )
)</f>
        <v>1293.58064745</v>
      </c>
      <c r="BK60" s="32">
        <f t="array" ref="BK60">IF(COLUMN() - ($E60 + 5) &lt; 0, 0,
  IF(COLUMN() - ($E60 + 5) = 0, $F60,
    BJ60 * (1 - IFERROR(INDEX('Inputs &amp; Assuptions'!$C$13:$C$72, COLUMN() - ($E60 + 5)), 0))
  )
)</f>
        <v>1258.007179645125</v>
      </c>
      <c r="BL60" s="32">
        <f t="array" ref="BL60">IF(COLUMN() - ($E60 + 5) &lt; 0, 0,
  IF(COLUMN() - ($E60 + 5) = 0, $F60,
    BK60 * (1 - IFERROR(INDEX('Inputs &amp; Assuptions'!$C$13:$C$72, COLUMN() - ($E60 + 5)), 0))
  )
)</f>
        <v>1226.5570001539968</v>
      </c>
      <c r="BM60" s="66">
        <f t="array" ref="BM60">IF(COLUMN() - ($E60 + 5) &lt; 0, 0,
  IF(COLUMN() - ($E60 + 5) = 0, $F60,
    BL60 * (1 - IFERROR(INDEX('Inputs &amp; Assuptions'!$C$13:$C$72, COLUMN() - ($E60 + 5)), 0))
  )
)</f>
        <v>1198.9594676505319</v>
      </c>
      <c r="BN60" s="33"/>
    </row>
    <row r="61" spans="1:66" x14ac:dyDescent="0.3">
      <c r="A61" s="71">
        <f t="shared" si="6"/>
        <v>56</v>
      </c>
      <c r="B61" s="75">
        <f t="shared" si="4"/>
        <v>1823.2593750000001</v>
      </c>
      <c r="C61" s="81">
        <f>$B61*(1-'Inputs &amp; Assuptions'!$C$12)</f>
        <v>1422.1423125000001</v>
      </c>
      <c r="E61" s="71">
        <f t="shared" si="7"/>
        <v>56</v>
      </c>
      <c r="F61" s="65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>
        <f>$C61</f>
        <v>1422.1423125000001</v>
      </c>
      <c r="BJ61" s="32">
        <f t="array" ref="BJ61">IF(COLUMN() - ($E61 + 5) &lt; 0, 0,
  IF(COLUMN() - ($E61 + 5) = 0, $F61,
    BI61 * (1 - IFERROR(INDEX('Inputs &amp; Assuptions'!$C$13:$C$72, COLUMN() - ($E61 + 5)), 0))
  )
)</f>
        <v>1347.4798410937501</v>
      </c>
      <c r="BK61" s="32">
        <f t="array" ref="BK61">IF(COLUMN() - ($E61 + 5) &lt; 0, 0,
  IF(COLUMN() - ($E61 + 5) = 0, $F61,
    BJ61 * (1 - IFERROR(INDEX('Inputs &amp; Assuptions'!$C$13:$C$72, COLUMN() - ($E61 + 5)), 0))
  )
)</f>
        <v>1293.58064745</v>
      </c>
      <c r="BL61" s="32">
        <f t="array" ref="BL61">IF(COLUMN() - ($E61 + 5) &lt; 0, 0,
  IF(COLUMN() - ($E61 + 5) = 0, $F61,
    BK61 * (1 - IFERROR(INDEX('Inputs &amp; Assuptions'!$C$13:$C$72, COLUMN() - ($E61 + 5)), 0))
  )
)</f>
        <v>1258.007179645125</v>
      </c>
      <c r="BM61" s="66">
        <f t="array" ref="BM61">IF(COLUMN() - ($E61 + 5) &lt; 0, 0,
  IF(COLUMN() - ($E61 + 5) = 0, $F61,
    BL61 * (1 - IFERROR(INDEX('Inputs &amp; Assuptions'!$C$13:$C$72, COLUMN() - ($E61 + 5)), 0))
  )
)</f>
        <v>1226.5570001539968</v>
      </c>
      <c r="BN61" s="33"/>
    </row>
    <row r="62" spans="1:66" x14ac:dyDescent="0.3">
      <c r="A62" s="71">
        <f t="shared" si="6"/>
        <v>57</v>
      </c>
      <c r="B62" s="75">
        <f t="shared" si="4"/>
        <v>1823.2593750000001</v>
      </c>
      <c r="C62" s="81">
        <f>$B62*(1-'Inputs &amp; Assuptions'!$C$12)</f>
        <v>1422.1423125000001</v>
      </c>
      <c r="E62" s="71">
        <f t="shared" si="7"/>
        <v>57</v>
      </c>
      <c r="F62" s="65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>
        <f>$C62</f>
        <v>1422.1423125000001</v>
      </c>
      <c r="BK62" s="32">
        <f t="array" ref="BK62">IF(COLUMN() - ($E62 + 5) &lt; 0, 0,
  IF(COLUMN() - ($E62 + 5) = 0, $F62,
    BJ62 * (1 - IFERROR(INDEX('Inputs &amp; Assuptions'!$C$13:$C$72, COLUMN() - ($E62 + 5)), 0))
  )
)</f>
        <v>1347.4798410937501</v>
      </c>
      <c r="BL62" s="32">
        <f t="array" ref="BL62">IF(COLUMN() - ($E62 + 5) &lt; 0, 0,
  IF(COLUMN() - ($E62 + 5) = 0, $F62,
    BK62 * (1 - IFERROR(INDEX('Inputs &amp; Assuptions'!$C$13:$C$72, COLUMN() - ($E62 + 5)), 0))
  )
)</f>
        <v>1293.58064745</v>
      </c>
      <c r="BM62" s="66">
        <f t="array" ref="BM62">IF(COLUMN() - ($E62 + 5) &lt; 0, 0,
  IF(COLUMN() - ($E62 + 5) = 0, $F62,
    BL62 * (1 - IFERROR(INDEX('Inputs &amp; Assuptions'!$C$13:$C$72, COLUMN() - ($E62 + 5)), 0))
  )
)</f>
        <v>1258.007179645125</v>
      </c>
      <c r="BN62" s="33"/>
    </row>
    <row r="63" spans="1:66" x14ac:dyDescent="0.3">
      <c r="A63" s="71">
        <f t="shared" si="6"/>
        <v>58</v>
      </c>
      <c r="B63" s="75">
        <f t="shared" si="4"/>
        <v>1823.2593750000001</v>
      </c>
      <c r="C63" s="81">
        <f>$B63*(1-'Inputs &amp; Assuptions'!$C$12)</f>
        <v>1422.1423125000001</v>
      </c>
      <c r="E63" s="71">
        <f t="shared" si="7"/>
        <v>58</v>
      </c>
      <c r="F63" s="65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>
        <f>$C63</f>
        <v>1422.1423125000001</v>
      </c>
      <c r="BL63" s="32">
        <f t="array" ref="BL63">IF(COLUMN() - ($E63 + 5) &lt; 0, 0,
  IF(COLUMN() - ($E63 + 5) = 0, $F63,
    BK63 * (1 - IFERROR(INDEX('Inputs &amp; Assuptions'!$C$13:$C$72, COLUMN() - ($E63 + 5)), 0))
  )
)</f>
        <v>1347.4798410937501</v>
      </c>
      <c r="BM63" s="66">
        <f t="array" ref="BM63">IF(COLUMN() - ($E63 + 5) &lt; 0, 0,
  IF(COLUMN() - ($E63 + 5) = 0, $F63,
    BL63 * (1 - IFERROR(INDEX('Inputs &amp; Assuptions'!$C$13:$C$72, COLUMN() - ($E63 + 5)), 0))
  )
)</f>
        <v>1293.58064745</v>
      </c>
      <c r="BN63" s="33"/>
    </row>
    <row r="64" spans="1:66" x14ac:dyDescent="0.3">
      <c r="A64" s="71">
        <f t="shared" si="6"/>
        <v>59</v>
      </c>
      <c r="B64" s="75">
        <f t="shared" si="4"/>
        <v>1823.2593750000001</v>
      </c>
      <c r="C64" s="81">
        <f>$B64*(1-'Inputs &amp; Assuptions'!$C$12)</f>
        <v>1422.1423125000001</v>
      </c>
      <c r="E64" s="71">
        <f t="shared" si="7"/>
        <v>59</v>
      </c>
      <c r="F64" s="65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>
        <f>$C64</f>
        <v>1422.1423125000001</v>
      </c>
      <c r="BM64" s="66">
        <f t="array" ref="BM64">IF(COLUMN() - ($E64 + 5) &lt; 0, 0,
  IF(COLUMN() - ($E64 + 5) = 0, $F64,
    BL64 * (1 - IFERROR(INDEX('Inputs &amp; Assuptions'!$C$13:$C$72, COLUMN() - ($E64 + 5)), 0))
  )
)</f>
        <v>1347.4798410937501</v>
      </c>
      <c r="BN64" s="33"/>
    </row>
    <row r="65" spans="1:66" x14ac:dyDescent="0.3">
      <c r="A65" s="73">
        <f t="shared" si="6"/>
        <v>60</v>
      </c>
      <c r="B65" s="77">
        <f t="shared" si="4"/>
        <v>1823.2593750000001</v>
      </c>
      <c r="C65" s="82">
        <f>$B65*(1-'Inputs &amp; Assuptions'!$C$12)</f>
        <v>1422.1423125000001</v>
      </c>
      <c r="E65" s="71">
        <f t="shared" si="7"/>
        <v>60</v>
      </c>
      <c r="F65" s="68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0">
        <f>$C65</f>
        <v>1422.1423125000001</v>
      </c>
    </row>
    <row r="66" spans="1:66" s="28" customFormat="1" x14ac:dyDescent="0.3"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4"/>
    </row>
    <row r="67" spans="1:66" x14ac:dyDescent="0.3">
      <c r="A67" s="5" t="s">
        <v>90</v>
      </c>
      <c r="F67" s="32">
        <f t="shared" ref="F67:AK67" si="8">+SUM(F6:F65)</f>
        <v>1170</v>
      </c>
      <c r="G67" s="32">
        <f t="shared" si="8"/>
        <v>2278.5749999999998</v>
      </c>
      <c r="H67" s="32">
        <f t="shared" si="8"/>
        <v>3342.8069999999998</v>
      </c>
      <c r="I67" s="32">
        <f t="shared" si="8"/>
        <v>5547.7726199999997</v>
      </c>
      <c r="J67" s="32">
        <f t="shared" si="8"/>
        <v>5448.2890994999998</v>
      </c>
      <c r="K67" s="32">
        <f t="shared" si="8"/>
        <v>6432.2190207112499</v>
      </c>
      <c r="L67" s="32">
        <f t="shared" si="8"/>
        <v>7397.2565834982743</v>
      </c>
      <c r="M67" s="32">
        <f t="shared" si="8"/>
        <v>8345.5655710865267</v>
      </c>
      <c r="N67" s="32">
        <f t="shared" si="8"/>
        <v>9279.8040422572049</v>
      </c>
      <c r="O67" s="32">
        <f t="shared" si="8"/>
        <v>10202.513749611086</v>
      </c>
      <c r="P67" s="32">
        <f t="shared" si="8"/>
        <v>11116.14119480479</v>
      </c>
      <c r="Q67" s="32">
        <f t="shared" si="8"/>
        <v>12025.343780027391</v>
      </c>
      <c r="R67" s="32">
        <f t="shared" si="8"/>
        <v>12988.637833210356</v>
      </c>
      <c r="S67" s="32">
        <f t="shared" si="8"/>
        <v>13944.469493055651</v>
      </c>
      <c r="T67" s="32">
        <f t="shared" si="8"/>
        <v>14893.83792316467</v>
      </c>
      <c r="U67" s="32">
        <f t="shared" si="8"/>
        <v>15837.262250123144</v>
      </c>
      <c r="V67" s="32">
        <f t="shared" si="8"/>
        <v>16774.934489826825</v>
      </c>
      <c r="W67" s="32">
        <f t="shared" si="8"/>
        <v>17707.035413287431</v>
      </c>
      <c r="X67" s="32">
        <f t="shared" si="8"/>
        <v>18633.736041939821</v>
      </c>
      <c r="Y67" s="32">
        <f t="shared" si="8"/>
        <v>19555.199005459701</v>
      </c>
      <c r="Z67" s="32">
        <f t="shared" si="8"/>
        <v>20471.579782838446</v>
      </c>
      <c r="AA67" s="32">
        <f t="shared" si="8"/>
        <v>21383.02784514003</v>
      </c>
      <c r="AB67" s="32">
        <f t="shared" si="8"/>
        <v>22289.687716429835</v>
      </c>
      <c r="AC67" s="32">
        <f t="shared" si="8"/>
        <v>23191.814288363203</v>
      </c>
      <c r="AD67" s="32">
        <f t="shared" si="8"/>
        <v>24150.855227436903</v>
      </c>
      <c r="AE67" s="32">
        <f t="shared" si="8"/>
        <v>25102.18327431523</v>
      </c>
      <c r="AF67" s="32">
        <f t="shared" si="8"/>
        <v>26046.71767439667</v>
      </c>
      <c r="AG67" s="32">
        <f t="shared" si="8"/>
        <v>26985.272278427699</v>
      </c>
      <c r="AH67" s="32">
        <f t="shared" si="8"/>
        <v>27918.047395537578</v>
      </c>
      <c r="AI67" s="32">
        <f t="shared" si="8"/>
        <v>28845.231534265113</v>
      </c>
      <c r="AJ67" s="32">
        <f t="shared" si="8"/>
        <v>29767.002972598551</v>
      </c>
      <c r="AK67" s="32">
        <f t="shared" si="8"/>
        <v>30683.53118365163</v>
      </c>
      <c r="AL67" s="32">
        <f t="shared" ref="AL67:BM67" si="9">+SUM(AL6:AL65)</f>
        <v>31594.978138759714</v>
      </c>
      <c r="AM67" s="32">
        <f t="shared" si="9"/>
        <v>32501.49950734248</v>
      </c>
      <c r="AN67" s="32">
        <f t="shared" si="9"/>
        <v>33403.245770847054</v>
      </c>
      <c r="AO67" s="32">
        <f t="shared" si="9"/>
        <v>34300.483303034111</v>
      </c>
      <c r="AP67" s="32">
        <f t="shared" si="9"/>
        <v>35257.730897560221</v>
      </c>
      <c r="AQ67" s="32">
        <f t="shared" si="9"/>
        <v>36207.128682238712</v>
      </c>
      <c r="AR67" s="32">
        <f t="shared" si="9"/>
        <v>37149.640621103179</v>
      </c>
      <c r="AS67" s="32">
        <f t="shared" si="9"/>
        <v>38086.120020020819</v>
      </c>
      <c r="AT67" s="32">
        <f t="shared" si="9"/>
        <v>39016.77597234783</v>
      </c>
      <c r="AU67" s="32">
        <f t="shared" si="9"/>
        <v>39941.80518697657</v>
      </c>
      <c r="AV67" s="32">
        <f t="shared" si="9"/>
        <v>40861.393636846697</v>
      </c>
      <c r="AW67" s="32">
        <f t="shared" si="9"/>
        <v>41775.718055874328</v>
      </c>
      <c r="AX67" s="32">
        <f t="shared" si="9"/>
        <v>42684.947307172624</v>
      </c>
      <c r="AY67" s="32">
        <f t="shared" si="9"/>
        <v>43589.243642877147</v>
      </c>
      <c r="AZ67" s="32">
        <f t="shared" si="9"/>
        <v>44488.763873756121</v>
      </c>
      <c r="BA67" s="32">
        <f t="shared" si="9"/>
        <v>45383.786503480689</v>
      </c>
      <c r="BB67" s="32">
        <f t="shared" si="9"/>
        <v>46342.055082556632</v>
      </c>
      <c r="BC67" s="32">
        <f t="shared" si="9"/>
        <v>47292.315568268459</v>
      </c>
      <c r="BD67" s="32">
        <f t="shared" si="9"/>
        <v>48235.578951816547</v>
      </c>
      <c r="BE67" s="32">
        <f t="shared" si="9"/>
        <v>49172.740039181786</v>
      </c>
      <c r="BF67" s="32">
        <f t="shared" si="9"/>
        <v>50104.017219034344</v>
      </c>
      <c r="BG67" s="32">
        <f t="shared" si="9"/>
        <v>51029.615882154176</v>
      </c>
      <c r="BH67" s="32">
        <f t="shared" si="9"/>
        <v>51949.73015233867</v>
      </c>
      <c r="BI67" s="32">
        <f t="shared" si="9"/>
        <v>52864.544458149438</v>
      </c>
      <c r="BJ67" s="32">
        <f t="shared" si="9"/>
        <v>53774.234969515244</v>
      </c>
      <c r="BK67" s="32">
        <f t="shared" si="9"/>
        <v>54678.970920520071</v>
      </c>
      <c r="BL67" s="32">
        <f t="shared" si="9"/>
        <v>55578.915837465494</v>
      </c>
      <c r="BM67" s="32">
        <f t="shared" si="9"/>
        <v>56474.361029826192</v>
      </c>
    </row>
  </sheetData>
  <mergeCells count="1">
    <mergeCell ref="I1:J1"/>
  </mergeCells>
  <conditionalFormatting sqref="A5:A65">
    <cfRule type="cellIs" dxfId="9" priority="4" operator="lessThan">
      <formula>0</formula>
    </cfRule>
  </conditionalFormatting>
  <conditionalFormatting sqref="B5:C5">
    <cfRule type="cellIs" dxfId="8" priority="3" operator="lessThan">
      <formula>0</formula>
    </cfRule>
  </conditionalFormatting>
  <conditionalFormatting sqref="E5:E65">
    <cfRule type="cellIs" dxfId="7" priority="5" operator="lessThan">
      <formula>0</formula>
    </cfRule>
  </conditionalFormatting>
  <conditionalFormatting sqref="F2:F3">
    <cfRule type="cellIs" dxfId="6" priority="1" operator="lessThan">
      <formula>0</formula>
    </cfRule>
  </conditionalFormatting>
  <conditionalFormatting sqref="F5:BM5">
    <cfRule type="cellIs" dxfId="5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67"/>
  <sheetViews>
    <sheetView zoomScale="120" zoomScaleNormal="120" workbookViewId="0">
      <selection activeCell="F9" sqref="F9"/>
    </sheetView>
  </sheetViews>
  <sheetFormatPr defaultColWidth="9.109375" defaultRowHeight="14.4" x14ac:dyDescent="0.3"/>
  <cols>
    <col min="1" max="1" width="9.109375" style="5"/>
    <col min="2" max="3" width="19.6640625" style="5" customWidth="1"/>
    <col min="4" max="5" width="9.109375" style="5"/>
    <col min="6" max="6" width="13.109375" style="5" customWidth="1"/>
    <col min="7" max="7" width="9.33203125" style="5" customWidth="1"/>
    <col min="8" max="9" width="10.44140625" style="5" customWidth="1"/>
    <col min="10" max="30" width="10.6640625" style="5" customWidth="1"/>
    <col min="31" max="31" width="15.6640625" style="5" customWidth="1"/>
    <col min="32" max="44" width="10.6640625" style="5" customWidth="1"/>
    <col min="45" max="66" width="11.6640625" style="5" customWidth="1"/>
    <col min="67" max="16384" width="9.109375" style="5"/>
  </cols>
  <sheetData>
    <row r="1" spans="1:67" ht="15.6" x14ac:dyDescent="0.3">
      <c r="I1" s="109"/>
      <c r="J1" s="109"/>
    </row>
    <row r="2" spans="1:67" x14ac:dyDescent="0.3">
      <c r="F2" s="8" t="s">
        <v>106</v>
      </c>
      <c r="G2" s="4">
        <f>+'Inputs &amp; Assuptions'!$D$4</f>
        <v>1000</v>
      </c>
      <c r="BN2" s="30"/>
    </row>
    <row r="3" spans="1:67" x14ac:dyDescent="0.3">
      <c r="F3" s="8" t="s">
        <v>107</v>
      </c>
      <c r="G3" s="15">
        <f>+'Inputs &amp; Assuptions'!$D$5</f>
        <v>0.05</v>
      </c>
      <c r="BN3" s="30"/>
    </row>
    <row r="4" spans="1:67" x14ac:dyDescent="0.3">
      <c r="BN4" s="30"/>
    </row>
    <row r="5" spans="1:67" x14ac:dyDescent="0.3">
      <c r="A5" s="8" t="s">
        <v>16</v>
      </c>
      <c r="B5" s="45" t="s">
        <v>108</v>
      </c>
      <c r="C5" s="45" t="s">
        <v>109</v>
      </c>
      <c r="D5" s="5" t="s">
        <v>110</v>
      </c>
      <c r="E5" s="8" t="s">
        <v>16</v>
      </c>
      <c r="F5" s="45">
        <v>1</v>
      </c>
      <c r="G5" s="45">
        <f t="shared" ref="G5:AL5" si="0">+F5+1</f>
        <v>2</v>
      </c>
      <c r="H5" s="45">
        <f t="shared" si="0"/>
        <v>3</v>
      </c>
      <c r="I5" s="45">
        <f t="shared" si="0"/>
        <v>4</v>
      </c>
      <c r="J5" s="45">
        <f t="shared" si="0"/>
        <v>5</v>
      </c>
      <c r="K5" s="45">
        <f t="shared" si="0"/>
        <v>6</v>
      </c>
      <c r="L5" s="45">
        <f t="shared" si="0"/>
        <v>7</v>
      </c>
      <c r="M5" s="45">
        <f t="shared" si="0"/>
        <v>8</v>
      </c>
      <c r="N5" s="45">
        <f t="shared" si="0"/>
        <v>9</v>
      </c>
      <c r="O5" s="45">
        <f t="shared" si="0"/>
        <v>10</v>
      </c>
      <c r="P5" s="45">
        <f t="shared" si="0"/>
        <v>11</v>
      </c>
      <c r="Q5" s="45">
        <f t="shared" si="0"/>
        <v>12</v>
      </c>
      <c r="R5" s="45">
        <f t="shared" si="0"/>
        <v>13</v>
      </c>
      <c r="S5" s="45">
        <f t="shared" si="0"/>
        <v>14</v>
      </c>
      <c r="T5" s="45">
        <f t="shared" si="0"/>
        <v>15</v>
      </c>
      <c r="U5" s="45">
        <f t="shared" si="0"/>
        <v>16</v>
      </c>
      <c r="V5" s="45">
        <f t="shared" si="0"/>
        <v>17</v>
      </c>
      <c r="W5" s="45">
        <f t="shared" si="0"/>
        <v>18</v>
      </c>
      <c r="X5" s="45">
        <f t="shared" si="0"/>
        <v>19</v>
      </c>
      <c r="Y5" s="45">
        <f t="shared" si="0"/>
        <v>20</v>
      </c>
      <c r="Z5" s="45">
        <f t="shared" si="0"/>
        <v>21</v>
      </c>
      <c r="AA5" s="45">
        <f t="shared" si="0"/>
        <v>22</v>
      </c>
      <c r="AB5" s="45">
        <f t="shared" si="0"/>
        <v>23</v>
      </c>
      <c r="AC5" s="45">
        <f t="shared" si="0"/>
        <v>24</v>
      </c>
      <c r="AD5" s="45">
        <f t="shared" si="0"/>
        <v>25</v>
      </c>
      <c r="AE5" s="45">
        <f t="shared" si="0"/>
        <v>26</v>
      </c>
      <c r="AF5" s="45">
        <f t="shared" si="0"/>
        <v>27</v>
      </c>
      <c r="AG5" s="45">
        <f t="shared" si="0"/>
        <v>28</v>
      </c>
      <c r="AH5" s="45">
        <f t="shared" si="0"/>
        <v>29</v>
      </c>
      <c r="AI5" s="45">
        <f t="shared" si="0"/>
        <v>30</v>
      </c>
      <c r="AJ5" s="45">
        <f t="shared" si="0"/>
        <v>31</v>
      </c>
      <c r="AK5" s="45">
        <f t="shared" si="0"/>
        <v>32</v>
      </c>
      <c r="AL5" s="45">
        <f t="shared" si="0"/>
        <v>33</v>
      </c>
      <c r="AM5" s="45">
        <f t="shared" ref="AM5:BM5" si="1">+AL5+1</f>
        <v>34</v>
      </c>
      <c r="AN5" s="45">
        <f t="shared" si="1"/>
        <v>35</v>
      </c>
      <c r="AO5" s="45">
        <f t="shared" si="1"/>
        <v>36</v>
      </c>
      <c r="AP5" s="45">
        <f t="shared" si="1"/>
        <v>37</v>
      </c>
      <c r="AQ5" s="45">
        <f t="shared" si="1"/>
        <v>38</v>
      </c>
      <c r="AR5" s="45">
        <f t="shared" si="1"/>
        <v>39</v>
      </c>
      <c r="AS5" s="45">
        <f t="shared" si="1"/>
        <v>40</v>
      </c>
      <c r="AT5" s="45">
        <f t="shared" si="1"/>
        <v>41</v>
      </c>
      <c r="AU5" s="45">
        <f t="shared" si="1"/>
        <v>42</v>
      </c>
      <c r="AV5" s="45">
        <f t="shared" si="1"/>
        <v>43</v>
      </c>
      <c r="AW5" s="45">
        <f t="shared" si="1"/>
        <v>44</v>
      </c>
      <c r="AX5" s="45">
        <f t="shared" si="1"/>
        <v>45</v>
      </c>
      <c r="AY5" s="45">
        <f t="shared" si="1"/>
        <v>46</v>
      </c>
      <c r="AZ5" s="45">
        <f t="shared" si="1"/>
        <v>47</v>
      </c>
      <c r="BA5" s="45">
        <f t="shared" si="1"/>
        <v>48</v>
      </c>
      <c r="BB5" s="45">
        <f t="shared" si="1"/>
        <v>49</v>
      </c>
      <c r="BC5" s="45">
        <f t="shared" si="1"/>
        <v>50</v>
      </c>
      <c r="BD5" s="45">
        <f t="shared" si="1"/>
        <v>51</v>
      </c>
      <c r="BE5" s="45">
        <f t="shared" si="1"/>
        <v>52</v>
      </c>
      <c r="BF5" s="45">
        <f t="shared" si="1"/>
        <v>53</v>
      </c>
      <c r="BG5" s="45">
        <f t="shared" si="1"/>
        <v>54</v>
      </c>
      <c r="BH5" s="45">
        <f t="shared" si="1"/>
        <v>55</v>
      </c>
      <c r="BI5" s="45">
        <f t="shared" si="1"/>
        <v>56</v>
      </c>
      <c r="BJ5" s="45">
        <f t="shared" si="1"/>
        <v>57</v>
      </c>
      <c r="BK5" s="45">
        <f t="shared" si="1"/>
        <v>58</v>
      </c>
      <c r="BL5" s="45">
        <f t="shared" si="1"/>
        <v>59</v>
      </c>
      <c r="BM5" s="45">
        <f t="shared" si="1"/>
        <v>60</v>
      </c>
    </row>
    <row r="6" spans="1:67" x14ac:dyDescent="0.3">
      <c r="A6" s="71">
        <v>1</v>
      </c>
      <c r="B6" s="79">
        <f>IF(MOD($A6, 12) = 0, $G$2 * 1.05, $G$2)</f>
        <v>1000</v>
      </c>
      <c r="C6" s="74">
        <f>$B6*(1-'Inputs &amp; Assuptions'!$D$12)</f>
        <v>978</v>
      </c>
      <c r="E6" s="71">
        <v>1</v>
      </c>
      <c r="F6" s="62">
        <f>$C6</f>
        <v>978</v>
      </c>
      <c r="G6" s="63">
        <f t="array" ref="G6">IF(COLUMN() - ($E6 + 5) &lt; 0, 0,
  IF(COLUMN() - ($E6 + 5) = 0, $F6,
    F6 * (1 - IFERROR(INDEX('Inputs &amp; Assuptions'!$D$13:$D$72, COLUMN() - ($E6 + 5)), 0))
  )
)</f>
        <v>973.11</v>
      </c>
      <c r="H6" s="63">
        <f t="array" ref="H6">IF(COLUMN() - ($E6 + 5) &lt; 0, 0,
  IF(COLUMN() - ($E6 + 5) = 0, $F6,
    G6 * (1 - IFERROR(INDEX('Inputs &amp; Assuptions'!$D$13:$D$72, COLUMN() - ($E6 + 5)), 0))
  )
)</f>
        <v>969.41218200000003</v>
      </c>
      <c r="I6" s="63">
        <f t="array" ref="I6">IF(COLUMN() - ($E6 + 5) &lt; 0, 0,
  IF(COLUMN() - ($E6 + 5) = 0, $F6,
    H6 * (1 - IFERROR(INDEX('Inputs &amp; Assuptions'!$D$13:$D$72, COLUMN() - ($E6 + 5)), 0))
  )
)</f>
        <v>966.98865154500004</v>
      </c>
      <c r="J6" s="63">
        <f t="array" ref="J6">IF(COLUMN() - ($E6 + 5) &lt; 0, 0,
  IF(COLUMN() - ($E6 + 5) = 0, $F6,
    I6 * (1 - IFERROR(INDEX('Inputs &amp; Assuptions'!$D$13:$D$72, COLUMN() - ($E6 + 5)), 0))
  )
)</f>
        <v>964.76457764644658</v>
      </c>
      <c r="K6" s="63">
        <f t="array" ref="K6">IF(COLUMN() - ($E6 + 5) &lt; 0, 0,
  IF(COLUMN() - ($E6 + 5) = 0, $F6,
    J6 * (1 - IFERROR(INDEX('Inputs &amp; Assuptions'!$D$13:$D$72, COLUMN() - ($E6 + 5)), 0))
  )
)</f>
        <v>962.83504849115366</v>
      </c>
      <c r="L6" s="63">
        <f t="array" ref="L6">IF(COLUMN() - ($E6 + 5) &lt; 0, 0,
  IF(COLUMN() - ($E6 + 5) = 0, $F6,
    K6 * (1 - IFERROR(INDEX('Inputs &amp; Assuptions'!$D$13:$D$72, COLUMN() - ($E6 + 5)), 0))
  )
)</f>
        <v>961.10194540386954</v>
      </c>
      <c r="M6" s="63">
        <f t="array" ref="M6">IF(COLUMN() - ($E6 + 5) &lt; 0, 0,
  IF(COLUMN() - ($E6 + 5) = 0, $F6,
    L6 * (1 - IFERROR(INDEX('Inputs &amp; Assuptions'!$D$13:$D$72, COLUMN() - ($E6 + 5)), 0))
  )
)</f>
        <v>959.66029248576376</v>
      </c>
      <c r="N6" s="63">
        <f t="array" ref="N6">IF(COLUMN() - ($E6 + 5) &lt; 0, 0,
  IF(COLUMN() - ($E6 + 5) = 0, $F6,
    M6 * (1 - IFERROR(INDEX('Inputs &amp; Assuptions'!$D$13:$D$72, COLUMN() - ($E6 + 5)), 0))
  )
)</f>
        <v>958.41273410553231</v>
      </c>
      <c r="O6" s="63">
        <f t="array" ref="O6">IF(COLUMN() - ($E6 + 5) &lt; 0, 0,
  IF(COLUMN() - ($E6 + 5) = 0, $F6,
    N6 * (1 - IFERROR(INDEX('Inputs &amp; Assuptions'!$D$13:$D$72, COLUMN() - ($E6 + 5)), 0))
  )
)</f>
        <v>957.45432137142677</v>
      </c>
      <c r="P6" s="63">
        <f t="array" ref="P6">IF(COLUMN() - ($E6 + 5) &lt; 0, 0,
  IF(COLUMN() - ($E6 + 5) = 0, $F6,
    O6 * (1 - IFERROR(INDEX('Inputs &amp; Assuptions'!$D$13:$D$72, COLUMN() - ($E6 + 5)), 0))
  )
)</f>
        <v>956.68835791432957</v>
      </c>
      <c r="Q6" s="63">
        <f t="array" ref="Q6">IF(COLUMN() - ($E6 + 5) &lt; 0, 0,
  IF(COLUMN() - ($E6 + 5) = 0, $F6,
    P6 * (1 - IFERROR(INDEX('Inputs &amp; Assuptions'!$D$13:$D$72, COLUMN() - ($E6 + 5)), 0))
  )
)</f>
        <v>956.21001373537251</v>
      </c>
      <c r="R6" s="63">
        <f t="array" ref="R6">IF(COLUMN() - ($E6 + 5) &lt; 0, 0,
  IF(COLUMN() - ($E6 + 5) = 0, $F6,
    Q6 * (1 - IFERROR(INDEX('Inputs &amp; Assuptions'!$D$13:$D$72, COLUMN() - ($E6 + 5)), 0))
  )
)</f>
        <v>955.73190872850489</v>
      </c>
      <c r="S6" s="63">
        <f t="array" ref="S6">IF(COLUMN() - ($E6 + 5) &lt; 0, 0,
  IF(COLUMN() - ($E6 + 5) = 0, $F6,
    R6 * (1 - IFERROR(INDEX('Inputs &amp; Assuptions'!$D$13:$D$72, COLUMN() - ($E6 + 5)), 0))
  )
)</f>
        <v>955.25404277414066</v>
      </c>
      <c r="T6" s="63">
        <f t="array" ref="T6">IF(COLUMN() - ($E6 + 5) &lt; 0, 0,
  IF(COLUMN() - ($E6 + 5) = 0, $F6,
    S6 * (1 - IFERROR(INDEX('Inputs &amp; Assuptions'!$D$13:$D$72, COLUMN() - ($E6 + 5)), 0))
  )
)</f>
        <v>954.77641575275368</v>
      </c>
      <c r="U6" s="63">
        <f t="array" ref="U6">IF(COLUMN() - ($E6 + 5) &lt; 0, 0,
  IF(COLUMN() - ($E6 + 5) = 0, $F6,
    T6 * (1 - IFERROR(INDEX('Inputs &amp; Assuptions'!$D$13:$D$72, COLUMN() - ($E6 + 5)), 0))
  )
)</f>
        <v>954.29902754487739</v>
      </c>
      <c r="V6" s="63">
        <f t="array" ref="V6">IF(COLUMN() - ($E6 + 5) &lt; 0, 0,
  IF(COLUMN() - ($E6 + 5) = 0, $F6,
    U6 * (1 - IFERROR(INDEX('Inputs &amp; Assuptions'!$D$13:$D$72, COLUMN() - ($E6 + 5)), 0))
  )
)</f>
        <v>953.82187803110503</v>
      </c>
      <c r="W6" s="63">
        <f t="array" ref="W6">IF(COLUMN() - ($E6 + 5) &lt; 0, 0,
  IF(COLUMN() - ($E6 + 5) = 0, $F6,
    V6 * (1 - IFERROR(INDEX('Inputs &amp; Assuptions'!$D$13:$D$72, COLUMN() - ($E6 + 5)), 0))
  )
)</f>
        <v>953.34496709208952</v>
      </c>
      <c r="X6" s="63">
        <f t="array" ref="X6">IF(COLUMN() - ($E6 + 5) &lt; 0, 0,
  IF(COLUMN() - ($E6 + 5) = 0, $F6,
    W6 * (1 - IFERROR(INDEX('Inputs &amp; Assuptions'!$D$13:$D$72, COLUMN() - ($E6 + 5)), 0))
  )
)</f>
        <v>952.86829460854358</v>
      </c>
      <c r="Y6" s="63">
        <f t="array" ref="Y6">IF(COLUMN() - ($E6 + 5) &lt; 0, 0,
  IF(COLUMN() - ($E6 + 5) = 0, $F6,
    X6 * (1 - IFERROR(INDEX('Inputs &amp; Assuptions'!$D$13:$D$72, COLUMN() - ($E6 + 5)), 0))
  )
)</f>
        <v>952.39186046123939</v>
      </c>
      <c r="Z6" s="63">
        <f t="array" ref="Z6">IF(COLUMN() - ($E6 + 5) &lt; 0, 0,
  IF(COLUMN() - ($E6 + 5) = 0, $F6,
    Y6 * (1 - IFERROR(INDEX('Inputs &amp; Assuptions'!$D$13:$D$72, COLUMN() - ($E6 + 5)), 0))
  )
)</f>
        <v>951.91566453100882</v>
      </c>
      <c r="AA6" s="63">
        <f t="array" ref="AA6">IF(COLUMN() - ($E6 + 5) &lt; 0, 0,
  IF(COLUMN() - ($E6 + 5) = 0, $F6,
    Z6 * (1 - IFERROR(INDEX('Inputs &amp; Assuptions'!$D$13:$D$72, COLUMN() - ($E6 + 5)), 0))
  )
)</f>
        <v>951.43970669874341</v>
      </c>
      <c r="AB6" s="63">
        <f t="array" ref="AB6">IF(COLUMN() - ($E6 + 5) &lt; 0, 0,
  IF(COLUMN() - ($E6 + 5) = 0, $F6,
    AA6 * (1 - IFERROR(INDEX('Inputs &amp; Assuptions'!$D$13:$D$72, COLUMN() - ($E6 + 5)), 0))
  )
)</f>
        <v>950.96398684539406</v>
      </c>
      <c r="AC6" s="63">
        <f t="array" ref="AC6">IF(COLUMN() - ($E6 + 5) &lt; 0, 0,
  IF(COLUMN() - ($E6 + 5) = 0, $F6,
    AB6 * (1 - IFERROR(INDEX('Inputs &amp; Assuptions'!$D$13:$D$72, COLUMN() - ($E6 + 5)), 0))
  )
)</f>
        <v>950.48850485197147</v>
      </c>
      <c r="AD6" s="63">
        <f t="array" ref="AD6">IF(COLUMN() - ($E6 + 5) &lt; 0, 0,
  IF(COLUMN() - ($E6 + 5) = 0, $F6,
    AC6 * (1 - IFERROR(INDEX('Inputs &amp; Assuptions'!$D$13:$D$72, COLUMN() - ($E6 + 5)), 0))
  )
)</f>
        <v>950.01326059954556</v>
      </c>
      <c r="AE6" s="63">
        <f t="array" ref="AE6">IF(COLUMN() - ($E6 + 5) &lt; 0, 0,
  IF(COLUMN() - ($E6 + 5) = 0, $F6,
    AD6 * (1 - IFERROR(INDEX('Inputs &amp; Assuptions'!$D$13:$D$72, COLUMN() - ($E6 + 5)), 0))
  )
)</f>
        <v>949.53825396924583</v>
      </c>
      <c r="AF6" s="63">
        <f t="array" ref="AF6">IF(COLUMN() - ($E6 + 5) &lt; 0, 0,
  IF(COLUMN() - ($E6 + 5) = 0, $F6,
    AE6 * (1 - IFERROR(INDEX('Inputs &amp; Assuptions'!$D$13:$D$72, COLUMN() - ($E6 + 5)), 0))
  )
)</f>
        <v>949.06348484226123</v>
      </c>
      <c r="AG6" s="63">
        <f t="array" ref="AG6">IF(COLUMN() - ($E6 + 5) &lt; 0, 0,
  IF(COLUMN() - ($E6 + 5) = 0, $F6,
    AF6 * (1 - IFERROR(INDEX('Inputs &amp; Assuptions'!$D$13:$D$72, COLUMN() - ($E6 + 5)), 0))
  )
)</f>
        <v>948.58895309984018</v>
      </c>
      <c r="AH6" s="63">
        <f t="array" ref="AH6">IF(COLUMN() - ($E6 + 5) &lt; 0, 0,
  IF(COLUMN() - ($E6 + 5) = 0, $F6,
    AG6 * (1 - IFERROR(INDEX('Inputs &amp; Assuptions'!$D$13:$D$72, COLUMN() - ($E6 + 5)), 0))
  )
)</f>
        <v>948.11465862329032</v>
      </c>
      <c r="AI6" s="63">
        <f t="array" ref="AI6">IF(COLUMN() - ($E6 + 5) &lt; 0, 0,
  IF(COLUMN() - ($E6 + 5) = 0, $F6,
    AH6 * (1 - IFERROR(INDEX('Inputs &amp; Assuptions'!$D$13:$D$72, COLUMN() - ($E6 + 5)), 0))
  )
)</f>
        <v>947.64060129397876</v>
      </c>
      <c r="AJ6" s="63">
        <f t="array" ref="AJ6">IF(COLUMN() - ($E6 + 5) &lt; 0, 0,
  IF(COLUMN() - ($E6 + 5) = 0, $F6,
    AI6 * (1 - IFERROR(INDEX('Inputs &amp; Assuptions'!$D$13:$D$72, COLUMN() - ($E6 + 5)), 0))
  )
)</f>
        <v>947.16678099333183</v>
      </c>
      <c r="AK6" s="63">
        <f t="array" ref="AK6">IF(COLUMN() - ($E6 + 5) &lt; 0, 0,
  IF(COLUMN() - ($E6 + 5) = 0, $F6,
    AJ6 * (1 - IFERROR(INDEX('Inputs &amp; Assuptions'!$D$13:$D$72, COLUMN() - ($E6 + 5)), 0))
  )
)</f>
        <v>946.6931976028352</v>
      </c>
      <c r="AL6" s="63">
        <f t="array" ref="AL6">IF(COLUMN() - ($E6 + 5) &lt; 0, 0,
  IF(COLUMN() - ($E6 + 5) = 0, $F6,
    AK6 * (1 - IFERROR(INDEX('Inputs &amp; Assuptions'!$D$13:$D$72, COLUMN() - ($E6 + 5)), 0))
  )
)</f>
        <v>946.21985100403379</v>
      </c>
      <c r="AM6" s="63">
        <f t="array" ref="AM6">IF(COLUMN() - ($E6 + 5) &lt; 0, 0,
  IF(COLUMN() - ($E6 + 5) = 0, $F6,
    AL6 * (1 - IFERROR(INDEX('Inputs &amp; Assuptions'!$D$13:$D$72, COLUMN() - ($E6 + 5)), 0))
  )
)</f>
        <v>945.74674107853184</v>
      </c>
      <c r="AN6" s="63">
        <f t="array" ref="AN6">IF(COLUMN() - ($E6 + 5) &lt; 0, 0,
  IF(COLUMN() - ($E6 + 5) = 0, $F6,
    AM6 * (1 - IFERROR(INDEX('Inputs &amp; Assuptions'!$D$13:$D$72, COLUMN() - ($E6 + 5)), 0))
  )
)</f>
        <v>945.27386770799262</v>
      </c>
      <c r="AO6" s="63">
        <f t="array" ref="AO6">IF(COLUMN() - ($E6 + 5) &lt; 0, 0,
  IF(COLUMN() - ($E6 + 5) = 0, $F6,
    AN6 * (1 - IFERROR(INDEX('Inputs &amp; Assuptions'!$D$13:$D$72, COLUMN() - ($E6 + 5)), 0))
  )
)</f>
        <v>944.80123077413873</v>
      </c>
      <c r="AP6" s="63">
        <f t="array" ref="AP6">IF(COLUMN() - ($E6 + 5) &lt; 0, 0,
  IF(COLUMN() - ($E6 + 5) = 0, $F6,
    AO6 * (1 - IFERROR(INDEX('Inputs &amp; Assuptions'!$D$13:$D$72, COLUMN() - ($E6 + 5)), 0))
  )
)</f>
        <v>944.32883015875166</v>
      </c>
      <c r="AQ6" s="63">
        <f t="array" ref="AQ6">IF(COLUMN() - ($E6 + 5) &lt; 0, 0,
  IF(COLUMN() - ($E6 + 5) = 0, $F6,
    AP6 * (1 - IFERROR(INDEX('Inputs &amp; Assuptions'!$D$13:$D$72, COLUMN() - ($E6 + 5)), 0))
  )
)</f>
        <v>943.85666574367235</v>
      </c>
      <c r="AR6" s="63">
        <f t="array" ref="AR6">IF(COLUMN() - ($E6 + 5) &lt; 0, 0,
  IF(COLUMN() - ($E6 + 5) = 0, $F6,
    AQ6 * (1 - IFERROR(INDEX('Inputs &amp; Assuptions'!$D$13:$D$72, COLUMN() - ($E6 + 5)), 0))
  )
)</f>
        <v>943.38473741080054</v>
      </c>
      <c r="AS6" s="63">
        <f t="array" ref="AS6">IF(COLUMN() - ($E6 + 5) &lt; 0, 0,
  IF(COLUMN() - ($E6 + 5) = 0, $F6,
    AR6 * (1 - IFERROR(INDEX('Inputs &amp; Assuptions'!$D$13:$D$72, COLUMN() - ($E6 + 5)), 0))
  )
)</f>
        <v>942.91304504209518</v>
      </c>
      <c r="AT6" s="63">
        <f t="array" ref="AT6">IF(COLUMN() - ($E6 + 5) &lt; 0, 0,
  IF(COLUMN() - ($E6 + 5) = 0, $F6,
    AS6 * (1 - IFERROR(INDEX('Inputs &amp; Assuptions'!$D$13:$D$72, COLUMN() - ($E6 + 5)), 0))
  )
)</f>
        <v>942.44158851957422</v>
      </c>
      <c r="AU6" s="63">
        <f t="array" ref="AU6">IF(COLUMN() - ($E6 + 5) &lt; 0, 0,
  IF(COLUMN() - ($E6 + 5) = 0, $F6,
    AT6 * (1 - IFERROR(INDEX('Inputs &amp; Assuptions'!$D$13:$D$72, COLUMN() - ($E6 + 5)), 0))
  )
)</f>
        <v>941.97036772531453</v>
      </c>
      <c r="AV6" s="63">
        <f t="array" ref="AV6">IF(COLUMN() - ($E6 + 5) &lt; 0, 0,
  IF(COLUMN() - ($E6 + 5) = 0, $F6,
    AU6 * (1 - IFERROR(INDEX('Inputs &amp; Assuptions'!$D$13:$D$72, COLUMN() - ($E6 + 5)), 0))
  )
)</f>
        <v>941.49938254145195</v>
      </c>
      <c r="AW6" s="63">
        <f t="array" ref="AW6">IF(COLUMN() - ($E6 + 5) &lt; 0, 0,
  IF(COLUMN() - ($E6 + 5) = 0, $F6,
    AV6 * (1 - IFERROR(INDEX('Inputs &amp; Assuptions'!$D$13:$D$72, COLUMN() - ($E6 + 5)), 0))
  )
)</f>
        <v>941.02863285018122</v>
      </c>
      <c r="AX6" s="63">
        <f t="array" ref="AX6">IF(COLUMN() - ($E6 + 5) &lt; 0, 0,
  IF(COLUMN() - ($E6 + 5) = 0, $F6,
    AW6 * (1 - IFERROR(INDEX('Inputs &amp; Assuptions'!$D$13:$D$72, COLUMN() - ($E6 + 5)), 0))
  )
)</f>
        <v>940.55811853375621</v>
      </c>
      <c r="AY6" s="63">
        <f t="array" ref="AY6">IF(COLUMN() - ($E6 + 5) &lt; 0, 0,
  IF(COLUMN() - ($E6 + 5) = 0, $F6,
    AX6 * (1 - IFERROR(INDEX('Inputs &amp; Assuptions'!$D$13:$D$72, COLUMN() - ($E6 + 5)), 0))
  )
)</f>
        <v>940.08783947448944</v>
      </c>
      <c r="AZ6" s="63">
        <f t="array" ref="AZ6">IF(COLUMN() - ($E6 + 5) &lt; 0, 0,
  IF(COLUMN() - ($E6 + 5) = 0, $F6,
    AY6 * (1 - IFERROR(INDEX('Inputs &amp; Assuptions'!$D$13:$D$72, COLUMN() - ($E6 + 5)), 0))
  )
)</f>
        <v>939.61779555475221</v>
      </c>
      <c r="BA6" s="63">
        <f t="array" ref="BA6">IF(COLUMN() - ($E6 + 5) &lt; 0, 0,
  IF(COLUMN() - ($E6 + 5) = 0, $F6,
    AZ6 * (1 - IFERROR(INDEX('Inputs &amp; Assuptions'!$D$13:$D$72, COLUMN() - ($E6 + 5)), 0))
  )
)</f>
        <v>939.14798665697492</v>
      </c>
      <c r="BB6" s="63">
        <f t="array" ref="BB6">IF(COLUMN() - ($E6 + 5) &lt; 0, 0,
  IF(COLUMN() - ($E6 + 5) = 0, $F6,
    BA6 * (1 - IFERROR(INDEX('Inputs &amp; Assuptions'!$D$13:$D$72, COLUMN() - ($E6 + 5)), 0))
  )
)</f>
        <v>938.67841266364644</v>
      </c>
      <c r="BC6" s="63">
        <f t="array" ref="BC6">IF(COLUMN() - ($E6 + 5) &lt; 0, 0,
  IF(COLUMN() - ($E6 + 5) = 0, $F6,
    BB6 * (1 - IFERROR(INDEX('Inputs &amp; Assuptions'!$D$13:$D$72, COLUMN() - ($E6 + 5)), 0))
  )
)</f>
        <v>938.20907345731462</v>
      </c>
      <c r="BD6" s="63">
        <f t="array" ref="BD6">IF(COLUMN() - ($E6 + 5) &lt; 0, 0,
  IF(COLUMN() - ($E6 + 5) = 0, $F6,
    BC6 * (1 - IFERROR(INDEX('Inputs &amp; Assuptions'!$D$13:$D$72, COLUMN() - ($E6 + 5)), 0))
  )
)</f>
        <v>937.73996892058597</v>
      </c>
      <c r="BE6" s="63">
        <f t="array" ref="BE6">IF(COLUMN() - ($E6 + 5) &lt; 0, 0,
  IF(COLUMN() - ($E6 + 5) = 0, $F6,
    BD6 * (1 - IFERROR(INDEX('Inputs &amp; Assuptions'!$D$13:$D$72, COLUMN() - ($E6 + 5)), 0))
  )
)</f>
        <v>937.27109893612567</v>
      </c>
      <c r="BF6" s="63">
        <f t="array" ref="BF6">IF(COLUMN() - ($E6 + 5) &lt; 0, 0,
  IF(COLUMN() - ($E6 + 5) = 0, $F6,
    BE6 * (1 - IFERROR(INDEX('Inputs &amp; Assuptions'!$D$13:$D$72, COLUMN() - ($E6 + 5)), 0))
  )
)</f>
        <v>936.80246338665768</v>
      </c>
      <c r="BG6" s="63">
        <f t="array" ref="BG6">IF(COLUMN() - ($E6 + 5) &lt; 0, 0,
  IF(COLUMN() - ($E6 + 5) = 0, $F6,
    BF6 * (1 - IFERROR(INDEX('Inputs &amp; Assuptions'!$D$13:$D$72, COLUMN() - ($E6 + 5)), 0))
  )
)</f>
        <v>936.33406215496439</v>
      </c>
      <c r="BH6" s="63">
        <f t="array" ref="BH6">IF(COLUMN() - ($E6 + 5) &lt; 0, 0,
  IF(COLUMN() - ($E6 + 5) = 0, $F6,
    BG6 * (1 - IFERROR(INDEX('Inputs &amp; Assuptions'!$D$13:$D$72, COLUMN() - ($E6 + 5)), 0))
  )
)</f>
        <v>935.86589512388696</v>
      </c>
      <c r="BI6" s="63">
        <f t="array" ref="BI6">IF(COLUMN() - ($E6 + 5) &lt; 0, 0,
  IF(COLUMN() - ($E6 + 5) = 0, $F6,
    BH6 * (1 - IFERROR(INDEX('Inputs &amp; Assuptions'!$D$13:$D$72, COLUMN() - ($E6 + 5)), 0))
  )
)</f>
        <v>935.39796217632511</v>
      </c>
      <c r="BJ6" s="63">
        <f t="array" ref="BJ6">IF(COLUMN() - ($E6 + 5) &lt; 0, 0,
  IF(COLUMN() - ($E6 + 5) = 0, $F6,
    BI6 * (1 - IFERROR(INDEX('Inputs &amp; Assuptions'!$D$13:$D$72, COLUMN() - ($E6 + 5)), 0))
  )
)</f>
        <v>934.93026319523699</v>
      </c>
      <c r="BK6" s="63">
        <f t="array" ref="BK6">IF(COLUMN() - ($E6 + 5) &lt; 0, 0,
  IF(COLUMN() - ($E6 + 5) = 0, $F6,
    BJ6 * (1 - IFERROR(INDEX('Inputs &amp; Assuptions'!$D$13:$D$72, COLUMN() - ($E6 + 5)), 0))
  )
)</f>
        <v>934.46279806363941</v>
      </c>
      <c r="BL6" s="63">
        <f t="array" ref="BL6">IF(COLUMN() - ($E6 + 5) &lt; 0, 0,
  IF(COLUMN() - ($E6 + 5) = 0, $F6,
    BK6 * (1 - IFERROR(INDEX('Inputs &amp; Assuptions'!$D$13:$D$72, COLUMN() - ($E6 + 5)), 0))
  )
)</f>
        <v>933.99556666460762</v>
      </c>
      <c r="BM6" s="64">
        <f t="array" ref="BM6">IF(COLUMN() - ($E6 + 5) &lt; 0, 0,
  IF(COLUMN() - ($E6 + 5) = 0, $F6,
    BL6 * (1 - IFERROR(INDEX('Inputs &amp; Assuptions'!$D$13:$D$72, COLUMN() - ($E6 + 5)), 0))
  )
)</f>
        <v>933.52856888127542</v>
      </c>
      <c r="BN6" s="33"/>
      <c r="BO6" s="30"/>
    </row>
    <row r="7" spans="1:67" x14ac:dyDescent="0.3">
      <c r="A7" s="71">
        <f t="shared" ref="A7:A38" si="2">A6+1</f>
        <v>2</v>
      </c>
      <c r="B7" s="75">
        <f>IF(MOD($A7-1, 12) = 0, $B6 * 1.05, $B6)</f>
        <v>1000</v>
      </c>
      <c r="C7" s="76">
        <f>$B7*(1-'Inputs &amp; Assuptions'!$D$12)</f>
        <v>978</v>
      </c>
      <c r="E7" s="71">
        <f t="shared" ref="E7:E38" si="3">E6+1</f>
        <v>2</v>
      </c>
      <c r="F7" s="65"/>
      <c r="G7" s="32">
        <f>$C7</f>
        <v>978</v>
      </c>
      <c r="H7" s="32">
        <f t="array" ref="H7">IF(COLUMN() - ($E7 + 5) &lt; 0, 0,
  IF(COLUMN() - ($E7 + 5) = 0, $F7,
    G7 * (1 - IFERROR(INDEX('Inputs &amp; Assuptions'!$D$13:$D$72, COLUMN() - ($E7 + 5)), 0))
  )
)</f>
        <v>973.11</v>
      </c>
      <c r="I7" s="32">
        <f t="array" ref="I7">IF(COLUMN() - ($E7 + 5) &lt; 0, 0,
  IF(COLUMN() - ($E7 + 5) = 0, $F7,
    H7 * (1 - IFERROR(INDEX('Inputs &amp; Assuptions'!$D$13:$D$72, COLUMN() - ($E7 + 5)), 0))
  )
)</f>
        <v>969.41218200000003</v>
      </c>
      <c r="J7" s="32">
        <f t="array" ref="J7">IF(COLUMN() - ($E7 + 5) &lt; 0, 0,
  IF(COLUMN() - ($E7 + 5) = 0, $F7,
    I7 * (1 - IFERROR(INDEX('Inputs &amp; Assuptions'!$D$13:$D$72, COLUMN() - ($E7 + 5)), 0))
  )
)</f>
        <v>966.98865154500004</v>
      </c>
      <c r="K7" s="32">
        <f t="array" ref="K7">IF(COLUMN() - ($E7 + 5) &lt; 0, 0,
  IF(COLUMN() - ($E7 + 5) = 0, $F7,
    J7 * (1 - IFERROR(INDEX('Inputs &amp; Assuptions'!$D$13:$D$72, COLUMN() - ($E7 + 5)), 0))
  )
)</f>
        <v>964.76457764644658</v>
      </c>
      <c r="L7" s="32">
        <f t="array" ref="L7">IF(COLUMN() - ($E7 + 5) &lt; 0, 0,
  IF(COLUMN() - ($E7 + 5) = 0, $F7,
    K7 * (1 - IFERROR(INDEX('Inputs &amp; Assuptions'!$D$13:$D$72, COLUMN() - ($E7 + 5)), 0))
  )
)</f>
        <v>962.83504849115366</v>
      </c>
      <c r="M7" s="32">
        <f t="array" ref="M7">IF(COLUMN() - ($E7 + 5) &lt; 0, 0,
  IF(COLUMN() - ($E7 + 5) = 0, $F7,
    L7 * (1 - IFERROR(INDEX('Inputs &amp; Assuptions'!$D$13:$D$72, COLUMN() - ($E7 + 5)), 0))
  )
)</f>
        <v>961.10194540386954</v>
      </c>
      <c r="N7" s="32">
        <f t="array" ref="N7">IF(COLUMN() - ($E7 + 5) &lt; 0, 0,
  IF(COLUMN() - ($E7 + 5) = 0, $F7,
    M7 * (1 - IFERROR(INDEX('Inputs &amp; Assuptions'!$D$13:$D$72, COLUMN() - ($E7 + 5)), 0))
  )
)</f>
        <v>959.66029248576376</v>
      </c>
      <c r="O7" s="32">
        <f t="array" ref="O7">IF(COLUMN() - ($E7 + 5) &lt; 0, 0,
  IF(COLUMN() - ($E7 + 5) = 0, $F7,
    N7 * (1 - IFERROR(INDEX('Inputs &amp; Assuptions'!$D$13:$D$72, COLUMN() - ($E7 + 5)), 0))
  )
)</f>
        <v>958.41273410553231</v>
      </c>
      <c r="P7" s="32">
        <f t="array" ref="P7">IF(COLUMN() - ($E7 + 5) &lt; 0, 0,
  IF(COLUMN() - ($E7 + 5) = 0, $F7,
    O7 * (1 - IFERROR(INDEX('Inputs &amp; Assuptions'!$D$13:$D$72, COLUMN() - ($E7 + 5)), 0))
  )
)</f>
        <v>957.45432137142677</v>
      </c>
      <c r="Q7" s="32">
        <f t="array" ref="Q7">IF(COLUMN() - ($E7 + 5) &lt; 0, 0,
  IF(COLUMN() - ($E7 + 5) = 0, $F7,
    P7 * (1 - IFERROR(INDEX('Inputs &amp; Assuptions'!$D$13:$D$72, COLUMN() - ($E7 + 5)), 0))
  )
)</f>
        <v>956.68835791432957</v>
      </c>
      <c r="R7" s="32">
        <f t="array" ref="R7">IF(COLUMN() - ($E7 + 5) &lt; 0, 0,
  IF(COLUMN() - ($E7 + 5) = 0, $F7,
    Q7 * (1 - IFERROR(INDEX('Inputs &amp; Assuptions'!$D$13:$D$72, COLUMN() - ($E7 + 5)), 0))
  )
)</f>
        <v>956.21001373537251</v>
      </c>
      <c r="S7" s="32">
        <f t="array" ref="S7">IF(COLUMN() - ($E7 + 5) &lt; 0, 0,
  IF(COLUMN() - ($E7 + 5) = 0, $F7,
    R7 * (1 - IFERROR(INDEX('Inputs &amp; Assuptions'!$D$13:$D$72, COLUMN() - ($E7 + 5)), 0))
  )
)</f>
        <v>955.73190872850489</v>
      </c>
      <c r="T7" s="32">
        <f t="array" ref="T7">IF(COLUMN() - ($E7 + 5) &lt; 0, 0,
  IF(COLUMN() - ($E7 + 5) = 0, $F7,
    S7 * (1 - IFERROR(INDEX('Inputs &amp; Assuptions'!$D$13:$D$72, COLUMN() - ($E7 + 5)), 0))
  )
)</f>
        <v>955.25404277414066</v>
      </c>
      <c r="U7" s="32">
        <f t="array" ref="U7">IF(COLUMN() - ($E7 + 5) &lt; 0, 0,
  IF(COLUMN() - ($E7 + 5) = 0, $F7,
    T7 * (1 - IFERROR(INDEX('Inputs &amp; Assuptions'!$D$13:$D$72, COLUMN() - ($E7 + 5)), 0))
  )
)</f>
        <v>954.77641575275368</v>
      </c>
      <c r="V7" s="32">
        <f t="array" ref="V7">IF(COLUMN() - ($E7 + 5) &lt; 0, 0,
  IF(COLUMN() - ($E7 + 5) = 0, $F7,
    U7 * (1 - IFERROR(INDEX('Inputs &amp; Assuptions'!$D$13:$D$72, COLUMN() - ($E7 + 5)), 0))
  )
)</f>
        <v>954.29902754487739</v>
      </c>
      <c r="W7" s="32">
        <f t="array" ref="W7">IF(COLUMN() - ($E7 + 5) &lt; 0, 0,
  IF(COLUMN() - ($E7 + 5) = 0, $F7,
    V7 * (1 - IFERROR(INDEX('Inputs &amp; Assuptions'!$D$13:$D$72, COLUMN() - ($E7 + 5)), 0))
  )
)</f>
        <v>953.82187803110503</v>
      </c>
      <c r="X7" s="32">
        <f t="array" ref="X7">IF(COLUMN() - ($E7 + 5) &lt; 0, 0,
  IF(COLUMN() - ($E7 + 5) = 0, $F7,
    W7 * (1 - IFERROR(INDEX('Inputs &amp; Assuptions'!$D$13:$D$72, COLUMN() - ($E7 + 5)), 0))
  )
)</f>
        <v>953.34496709208952</v>
      </c>
      <c r="Y7" s="32">
        <f t="array" ref="Y7">IF(COLUMN() - ($E7 + 5) &lt; 0, 0,
  IF(COLUMN() - ($E7 + 5) = 0, $F7,
    X7 * (1 - IFERROR(INDEX('Inputs &amp; Assuptions'!$D$13:$D$72, COLUMN() - ($E7 + 5)), 0))
  )
)</f>
        <v>952.86829460854358</v>
      </c>
      <c r="Z7" s="32">
        <f t="array" ref="Z7">IF(COLUMN() - ($E7 + 5) &lt; 0, 0,
  IF(COLUMN() - ($E7 + 5) = 0, $F7,
    Y7 * (1 - IFERROR(INDEX('Inputs &amp; Assuptions'!$D$13:$D$72, COLUMN() - ($E7 + 5)), 0))
  )
)</f>
        <v>952.39186046123939</v>
      </c>
      <c r="AA7" s="32">
        <f t="array" ref="AA7">IF(COLUMN() - ($E7 + 5) &lt; 0, 0,
  IF(COLUMN() - ($E7 + 5) = 0, $F7,
    Z7 * (1 - IFERROR(INDEX('Inputs &amp; Assuptions'!$D$13:$D$72, COLUMN() - ($E7 + 5)), 0))
  )
)</f>
        <v>951.91566453100882</v>
      </c>
      <c r="AB7" s="32">
        <f t="array" ref="AB7">IF(COLUMN() - ($E7 + 5) &lt; 0, 0,
  IF(COLUMN() - ($E7 + 5) = 0, $F7,
    AA7 * (1 - IFERROR(INDEX('Inputs &amp; Assuptions'!$D$13:$D$72, COLUMN() - ($E7 + 5)), 0))
  )
)</f>
        <v>951.43970669874341</v>
      </c>
      <c r="AC7" s="32">
        <f t="array" ref="AC7">IF(COLUMN() - ($E7 + 5) &lt; 0, 0,
  IF(COLUMN() - ($E7 + 5) = 0, $F7,
    AB7 * (1 - IFERROR(INDEX('Inputs &amp; Assuptions'!$D$13:$D$72, COLUMN() - ($E7 + 5)), 0))
  )
)</f>
        <v>950.96398684539406</v>
      </c>
      <c r="AD7" s="32">
        <f t="array" ref="AD7">IF(COLUMN() - ($E7 + 5) &lt; 0, 0,
  IF(COLUMN() - ($E7 + 5) = 0, $F7,
    AC7 * (1 - IFERROR(INDEX('Inputs &amp; Assuptions'!$D$13:$D$72, COLUMN() - ($E7 + 5)), 0))
  )
)</f>
        <v>950.48850485197147</v>
      </c>
      <c r="AE7" s="32">
        <f t="array" ref="AE7">IF(COLUMN() - ($E7 + 5) &lt; 0, 0,
  IF(COLUMN() - ($E7 + 5) = 0, $F7,
    AD7 * (1 - IFERROR(INDEX('Inputs &amp; Assuptions'!$D$13:$D$72, COLUMN() - ($E7 + 5)), 0))
  )
)</f>
        <v>950.01326059954556</v>
      </c>
      <c r="AF7" s="32">
        <f t="array" ref="AF7">IF(COLUMN() - ($E7 + 5) &lt; 0, 0,
  IF(COLUMN() - ($E7 + 5) = 0, $F7,
    AE7 * (1 - IFERROR(INDEX('Inputs &amp; Assuptions'!$D$13:$D$72, COLUMN() - ($E7 + 5)), 0))
  )
)</f>
        <v>949.53825396924583</v>
      </c>
      <c r="AG7" s="32">
        <f t="array" ref="AG7">IF(COLUMN() - ($E7 + 5) &lt; 0, 0,
  IF(COLUMN() - ($E7 + 5) = 0, $F7,
    AF7 * (1 - IFERROR(INDEX('Inputs &amp; Assuptions'!$D$13:$D$72, COLUMN() - ($E7 + 5)), 0))
  )
)</f>
        <v>949.06348484226123</v>
      </c>
      <c r="AH7" s="32">
        <f t="array" ref="AH7">IF(COLUMN() - ($E7 + 5) &lt; 0, 0,
  IF(COLUMN() - ($E7 + 5) = 0, $F7,
    AG7 * (1 - IFERROR(INDEX('Inputs &amp; Assuptions'!$D$13:$D$72, COLUMN() - ($E7 + 5)), 0))
  )
)</f>
        <v>948.58895309984018</v>
      </c>
      <c r="AI7" s="32">
        <f t="array" ref="AI7">IF(COLUMN() - ($E7 + 5) &lt; 0, 0,
  IF(COLUMN() - ($E7 + 5) = 0, $F7,
    AH7 * (1 - IFERROR(INDEX('Inputs &amp; Assuptions'!$D$13:$D$72, COLUMN() - ($E7 + 5)), 0))
  )
)</f>
        <v>948.11465862329032</v>
      </c>
      <c r="AJ7" s="32">
        <f t="array" ref="AJ7">IF(COLUMN() - ($E7 + 5) &lt; 0, 0,
  IF(COLUMN() - ($E7 + 5) = 0, $F7,
    AI7 * (1 - IFERROR(INDEX('Inputs &amp; Assuptions'!$D$13:$D$72, COLUMN() - ($E7 + 5)), 0))
  )
)</f>
        <v>947.64060129397876</v>
      </c>
      <c r="AK7" s="32">
        <f t="array" ref="AK7">IF(COLUMN() - ($E7 + 5) &lt; 0, 0,
  IF(COLUMN() - ($E7 + 5) = 0, $F7,
    AJ7 * (1 - IFERROR(INDEX('Inputs &amp; Assuptions'!$D$13:$D$72, COLUMN() - ($E7 + 5)), 0))
  )
)</f>
        <v>947.16678099333183</v>
      </c>
      <c r="AL7" s="32">
        <f t="array" ref="AL7">IF(COLUMN() - ($E7 + 5) &lt; 0, 0,
  IF(COLUMN() - ($E7 + 5) = 0, $F7,
    AK7 * (1 - IFERROR(INDEX('Inputs &amp; Assuptions'!$D$13:$D$72, COLUMN() - ($E7 + 5)), 0))
  )
)</f>
        <v>946.6931976028352</v>
      </c>
      <c r="AM7" s="32">
        <f t="array" ref="AM7">IF(COLUMN() - ($E7 + 5) &lt; 0, 0,
  IF(COLUMN() - ($E7 + 5) = 0, $F7,
    AL7 * (1 - IFERROR(INDEX('Inputs &amp; Assuptions'!$D$13:$D$72, COLUMN() - ($E7 + 5)), 0))
  )
)</f>
        <v>946.21985100403379</v>
      </c>
      <c r="AN7" s="32">
        <f t="array" ref="AN7">IF(COLUMN() - ($E7 + 5) &lt; 0, 0,
  IF(COLUMN() - ($E7 + 5) = 0, $F7,
    AM7 * (1 - IFERROR(INDEX('Inputs &amp; Assuptions'!$D$13:$D$72, COLUMN() - ($E7 + 5)), 0))
  )
)</f>
        <v>945.74674107853184</v>
      </c>
      <c r="AO7" s="32">
        <f t="array" ref="AO7">IF(COLUMN() - ($E7 + 5) &lt; 0, 0,
  IF(COLUMN() - ($E7 + 5) = 0, $F7,
    AN7 * (1 - IFERROR(INDEX('Inputs &amp; Assuptions'!$D$13:$D$72, COLUMN() - ($E7 + 5)), 0))
  )
)</f>
        <v>945.27386770799262</v>
      </c>
      <c r="AP7" s="32">
        <f t="array" ref="AP7">IF(COLUMN() - ($E7 + 5) &lt; 0, 0,
  IF(COLUMN() - ($E7 + 5) = 0, $F7,
    AO7 * (1 - IFERROR(INDEX('Inputs &amp; Assuptions'!$D$13:$D$72, COLUMN() - ($E7 + 5)), 0))
  )
)</f>
        <v>944.80123077413873</v>
      </c>
      <c r="AQ7" s="32">
        <f t="array" ref="AQ7">IF(COLUMN() - ($E7 + 5) &lt; 0, 0,
  IF(COLUMN() - ($E7 + 5) = 0, $F7,
    AP7 * (1 - IFERROR(INDEX('Inputs &amp; Assuptions'!$D$13:$D$72, COLUMN() - ($E7 + 5)), 0))
  )
)</f>
        <v>944.32883015875166</v>
      </c>
      <c r="AR7" s="32">
        <f t="array" ref="AR7">IF(COLUMN() - ($E7 + 5) &lt; 0, 0,
  IF(COLUMN() - ($E7 + 5) = 0, $F7,
    AQ7 * (1 - IFERROR(INDEX('Inputs &amp; Assuptions'!$D$13:$D$72, COLUMN() - ($E7 + 5)), 0))
  )
)</f>
        <v>943.85666574367235</v>
      </c>
      <c r="AS7" s="32">
        <f t="array" ref="AS7">IF(COLUMN() - ($E7 + 5) &lt; 0, 0,
  IF(COLUMN() - ($E7 + 5) = 0, $F7,
    AR7 * (1 - IFERROR(INDEX('Inputs &amp; Assuptions'!$D$13:$D$72, COLUMN() - ($E7 + 5)), 0))
  )
)</f>
        <v>943.38473741080054</v>
      </c>
      <c r="AT7" s="32">
        <f t="array" ref="AT7">IF(COLUMN() - ($E7 + 5) &lt; 0, 0,
  IF(COLUMN() - ($E7 + 5) = 0, $F7,
    AS7 * (1 - IFERROR(INDEX('Inputs &amp; Assuptions'!$D$13:$D$72, COLUMN() - ($E7 + 5)), 0))
  )
)</f>
        <v>942.91304504209518</v>
      </c>
      <c r="AU7" s="32">
        <f t="array" ref="AU7">IF(COLUMN() - ($E7 + 5) &lt; 0, 0,
  IF(COLUMN() - ($E7 + 5) = 0, $F7,
    AT7 * (1 - IFERROR(INDEX('Inputs &amp; Assuptions'!$D$13:$D$72, COLUMN() - ($E7 + 5)), 0))
  )
)</f>
        <v>942.44158851957422</v>
      </c>
      <c r="AV7" s="32">
        <f t="array" ref="AV7">IF(COLUMN() - ($E7 + 5) &lt; 0, 0,
  IF(COLUMN() - ($E7 + 5) = 0, $F7,
    AU7 * (1 - IFERROR(INDEX('Inputs &amp; Assuptions'!$D$13:$D$72, COLUMN() - ($E7 + 5)), 0))
  )
)</f>
        <v>941.97036772531453</v>
      </c>
      <c r="AW7" s="32">
        <f t="array" ref="AW7">IF(COLUMN() - ($E7 + 5) &lt; 0, 0,
  IF(COLUMN() - ($E7 + 5) = 0, $F7,
    AV7 * (1 - IFERROR(INDEX('Inputs &amp; Assuptions'!$D$13:$D$72, COLUMN() - ($E7 + 5)), 0))
  )
)</f>
        <v>941.49938254145195</v>
      </c>
      <c r="AX7" s="32">
        <f t="array" ref="AX7">IF(COLUMN() - ($E7 + 5) &lt; 0, 0,
  IF(COLUMN() - ($E7 + 5) = 0, $F7,
    AW7 * (1 - IFERROR(INDEX('Inputs &amp; Assuptions'!$D$13:$D$72, COLUMN() - ($E7 + 5)), 0))
  )
)</f>
        <v>941.02863285018122</v>
      </c>
      <c r="AY7" s="32">
        <f t="array" ref="AY7">IF(COLUMN() - ($E7 + 5) &lt; 0, 0,
  IF(COLUMN() - ($E7 + 5) = 0, $F7,
    AX7 * (1 - IFERROR(INDEX('Inputs &amp; Assuptions'!$D$13:$D$72, COLUMN() - ($E7 + 5)), 0))
  )
)</f>
        <v>940.55811853375621</v>
      </c>
      <c r="AZ7" s="32">
        <f t="array" ref="AZ7">IF(COLUMN() - ($E7 + 5) &lt; 0, 0,
  IF(COLUMN() - ($E7 + 5) = 0, $F7,
    AY7 * (1 - IFERROR(INDEX('Inputs &amp; Assuptions'!$D$13:$D$72, COLUMN() - ($E7 + 5)), 0))
  )
)</f>
        <v>940.08783947448944</v>
      </c>
      <c r="BA7" s="32">
        <f t="array" ref="BA7">IF(COLUMN() - ($E7 + 5) &lt; 0, 0,
  IF(COLUMN() - ($E7 + 5) = 0, $F7,
    AZ7 * (1 - IFERROR(INDEX('Inputs &amp; Assuptions'!$D$13:$D$72, COLUMN() - ($E7 + 5)), 0))
  )
)</f>
        <v>939.61779555475221</v>
      </c>
      <c r="BB7" s="32">
        <f t="array" ref="BB7">IF(COLUMN() - ($E7 + 5) &lt; 0, 0,
  IF(COLUMN() - ($E7 + 5) = 0, $F7,
    BA7 * (1 - IFERROR(INDEX('Inputs &amp; Assuptions'!$D$13:$D$72, COLUMN() - ($E7 + 5)), 0))
  )
)</f>
        <v>939.14798665697492</v>
      </c>
      <c r="BC7" s="32">
        <f t="array" ref="BC7">IF(COLUMN() - ($E7 + 5) &lt; 0, 0,
  IF(COLUMN() - ($E7 + 5) = 0, $F7,
    BB7 * (1 - IFERROR(INDEX('Inputs &amp; Assuptions'!$D$13:$D$72, COLUMN() - ($E7 + 5)), 0))
  )
)</f>
        <v>938.67841266364644</v>
      </c>
      <c r="BD7" s="32">
        <f t="array" ref="BD7">IF(COLUMN() - ($E7 + 5) &lt; 0, 0,
  IF(COLUMN() - ($E7 + 5) = 0, $F7,
    BC7 * (1 - IFERROR(INDEX('Inputs &amp; Assuptions'!$D$13:$D$72, COLUMN() - ($E7 + 5)), 0))
  )
)</f>
        <v>938.20907345731462</v>
      </c>
      <c r="BE7" s="32">
        <f t="array" ref="BE7">IF(COLUMN() - ($E7 + 5) &lt; 0, 0,
  IF(COLUMN() - ($E7 + 5) = 0, $F7,
    BD7 * (1 - IFERROR(INDEX('Inputs &amp; Assuptions'!$D$13:$D$72, COLUMN() - ($E7 + 5)), 0))
  )
)</f>
        <v>937.73996892058597</v>
      </c>
      <c r="BF7" s="32">
        <f t="array" ref="BF7">IF(COLUMN() - ($E7 + 5) &lt; 0, 0,
  IF(COLUMN() - ($E7 + 5) = 0, $F7,
    BE7 * (1 - IFERROR(INDEX('Inputs &amp; Assuptions'!$D$13:$D$72, COLUMN() - ($E7 + 5)), 0))
  )
)</f>
        <v>937.27109893612567</v>
      </c>
      <c r="BG7" s="32">
        <f t="array" ref="BG7">IF(COLUMN() - ($E7 + 5) &lt; 0, 0,
  IF(COLUMN() - ($E7 + 5) = 0, $F7,
    BF7 * (1 - IFERROR(INDEX('Inputs &amp; Assuptions'!$D$13:$D$72, COLUMN() - ($E7 + 5)), 0))
  )
)</f>
        <v>936.80246338665768</v>
      </c>
      <c r="BH7" s="32">
        <f t="array" ref="BH7">IF(COLUMN() - ($E7 + 5) &lt; 0, 0,
  IF(COLUMN() - ($E7 + 5) = 0, $F7,
    BG7 * (1 - IFERROR(INDEX('Inputs &amp; Assuptions'!$D$13:$D$72, COLUMN() - ($E7 + 5)), 0))
  )
)</f>
        <v>936.33406215496439</v>
      </c>
      <c r="BI7" s="32">
        <f t="array" ref="BI7">IF(COLUMN() - ($E7 + 5) &lt; 0, 0,
  IF(COLUMN() - ($E7 + 5) = 0, $F7,
    BH7 * (1 - IFERROR(INDEX('Inputs &amp; Assuptions'!$D$13:$D$72, COLUMN() - ($E7 + 5)), 0))
  )
)</f>
        <v>935.86589512388696</v>
      </c>
      <c r="BJ7" s="32">
        <f t="array" ref="BJ7">IF(COLUMN() - ($E7 + 5) &lt; 0, 0,
  IF(COLUMN() - ($E7 + 5) = 0, $F7,
    BI7 * (1 - IFERROR(INDEX('Inputs &amp; Assuptions'!$D$13:$D$72, COLUMN() - ($E7 + 5)), 0))
  )
)</f>
        <v>935.39796217632511</v>
      </c>
      <c r="BK7" s="32">
        <f t="array" ref="BK7">IF(COLUMN() - ($E7 + 5) &lt; 0, 0,
  IF(COLUMN() - ($E7 + 5) = 0, $F7,
    BJ7 * (1 - IFERROR(INDEX('Inputs &amp; Assuptions'!$D$13:$D$72, COLUMN() - ($E7 + 5)), 0))
  )
)</f>
        <v>934.93026319523699</v>
      </c>
      <c r="BL7" s="32">
        <f t="array" ref="BL7">IF(COLUMN() - ($E7 + 5) &lt; 0, 0,
  IF(COLUMN() - ($E7 + 5) = 0, $F7,
    BK7 * (1 - IFERROR(INDEX('Inputs &amp; Assuptions'!$D$13:$D$72, COLUMN() - ($E7 + 5)), 0))
  )
)</f>
        <v>934.46279806363941</v>
      </c>
      <c r="BM7" s="66">
        <f t="array" ref="BM7">IF(COLUMN() - ($E7 + 5) &lt; 0, 0,
  IF(COLUMN() - ($E7 + 5) = 0, $F7,
    BL7 * (1 - IFERROR(INDEX('Inputs &amp; Assuptions'!$D$13:$D$72, COLUMN() - ($E7 + 5)), 0))
  )
)</f>
        <v>933.99556666460762</v>
      </c>
      <c r="BN7" s="33"/>
    </row>
    <row r="8" spans="1:67" x14ac:dyDescent="0.3">
      <c r="A8" s="71">
        <f t="shared" si="2"/>
        <v>3</v>
      </c>
      <c r="B8" s="75">
        <f t="shared" ref="B8:B65" si="4">IF(MOD($A8-1, 12) = 0, $B7 * 1.05, $B7)</f>
        <v>1000</v>
      </c>
      <c r="C8" s="76">
        <f>$B8*(1-'Inputs &amp; Assuptions'!$D$12)</f>
        <v>978</v>
      </c>
      <c r="E8" s="71">
        <f t="shared" si="3"/>
        <v>3</v>
      </c>
      <c r="F8" s="65"/>
      <c r="G8" s="32"/>
      <c r="H8" s="32">
        <f>$C8</f>
        <v>978</v>
      </c>
      <c r="I8" s="32">
        <f t="array" ref="I8">IF(COLUMN() - ($E8 + 5) &lt; 0, 0,
  IF(COLUMN() - ($E8 + 5) = 0, $F8,
    H8 * (1 - IFERROR(INDEX('Inputs &amp; Assuptions'!$D$13:$D$72, COLUMN() - ($E8 + 5)), 0))
  )
)</f>
        <v>973.11</v>
      </c>
      <c r="J8" s="32">
        <f t="array" ref="J8">IF(COLUMN() - ($E8 + 5) &lt; 0, 0,
  IF(COLUMN() - ($E8 + 5) = 0, $F8,
    I8 * (1 - IFERROR(INDEX('Inputs &amp; Assuptions'!$D$13:$D$72, COLUMN() - ($E8 + 5)), 0))
  )
)</f>
        <v>969.41218200000003</v>
      </c>
      <c r="K8" s="32">
        <f t="array" ref="K8">IF(COLUMN() - ($E8 + 5) &lt; 0, 0,
  IF(COLUMN() - ($E8 + 5) = 0, $F8,
    J8 * (1 - IFERROR(INDEX('Inputs &amp; Assuptions'!$D$13:$D$72, COLUMN() - ($E8 + 5)), 0))
  )
)</f>
        <v>966.98865154500004</v>
      </c>
      <c r="L8" s="32">
        <f t="array" ref="L8">IF(COLUMN() - ($E8 + 5) &lt; 0, 0,
  IF(COLUMN() - ($E8 + 5) = 0, $F8,
    K8 * (1 - IFERROR(INDEX('Inputs &amp; Assuptions'!$D$13:$D$72, COLUMN() - ($E8 + 5)), 0))
  )
)</f>
        <v>964.76457764644658</v>
      </c>
      <c r="M8" s="32">
        <f t="array" ref="M8">IF(COLUMN() - ($E8 + 5) &lt; 0, 0,
  IF(COLUMN() - ($E8 + 5) = 0, $F8,
    L8 * (1 - IFERROR(INDEX('Inputs &amp; Assuptions'!$D$13:$D$72, COLUMN() - ($E8 + 5)), 0))
  )
)</f>
        <v>962.83504849115366</v>
      </c>
      <c r="N8" s="32">
        <f t="array" ref="N8">IF(COLUMN() - ($E8 + 5) &lt; 0, 0,
  IF(COLUMN() - ($E8 + 5) = 0, $F8,
    M8 * (1 - IFERROR(INDEX('Inputs &amp; Assuptions'!$D$13:$D$72, COLUMN() - ($E8 + 5)), 0))
  )
)</f>
        <v>961.10194540386954</v>
      </c>
      <c r="O8" s="32">
        <f t="array" ref="O8">IF(COLUMN() - ($E8 + 5) &lt; 0, 0,
  IF(COLUMN() - ($E8 + 5) = 0, $F8,
    N8 * (1 - IFERROR(INDEX('Inputs &amp; Assuptions'!$D$13:$D$72, COLUMN() - ($E8 + 5)), 0))
  )
)</f>
        <v>959.66029248576376</v>
      </c>
      <c r="P8" s="32">
        <f t="array" ref="P8">IF(COLUMN() - ($E8 + 5) &lt; 0, 0,
  IF(COLUMN() - ($E8 + 5) = 0, $F8,
    O8 * (1 - IFERROR(INDEX('Inputs &amp; Assuptions'!$D$13:$D$72, COLUMN() - ($E8 + 5)), 0))
  )
)</f>
        <v>958.41273410553231</v>
      </c>
      <c r="Q8" s="32">
        <f t="array" ref="Q8">IF(COLUMN() - ($E8 + 5) &lt; 0, 0,
  IF(COLUMN() - ($E8 + 5) = 0, $F8,
    P8 * (1 - IFERROR(INDEX('Inputs &amp; Assuptions'!$D$13:$D$72, COLUMN() - ($E8 + 5)), 0))
  )
)</f>
        <v>957.45432137142677</v>
      </c>
      <c r="R8" s="32">
        <f t="array" ref="R8">IF(COLUMN() - ($E8 + 5) &lt; 0, 0,
  IF(COLUMN() - ($E8 + 5) = 0, $F8,
    Q8 * (1 - IFERROR(INDEX('Inputs &amp; Assuptions'!$D$13:$D$72, COLUMN() - ($E8 + 5)), 0))
  )
)</f>
        <v>956.68835791432957</v>
      </c>
      <c r="S8" s="32">
        <f t="array" ref="S8">IF(COLUMN() - ($E8 + 5) &lt; 0, 0,
  IF(COLUMN() - ($E8 + 5) = 0, $F8,
    R8 * (1 - IFERROR(INDEX('Inputs &amp; Assuptions'!$D$13:$D$72, COLUMN() - ($E8 + 5)), 0))
  )
)</f>
        <v>956.21001373537251</v>
      </c>
      <c r="T8" s="32">
        <f t="array" ref="T8">IF(COLUMN() - ($E8 + 5) &lt; 0, 0,
  IF(COLUMN() - ($E8 + 5) = 0, $F8,
    S8 * (1 - IFERROR(INDEX('Inputs &amp; Assuptions'!$D$13:$D$72, COLUMN() - ($E8 + 5)), 0))
  )
)</f>
        <v>955.73190872850489</v>
      </c>
      <c r="U8" s="32">
        <f t="array" ref="U8">IF(COLUMN() - ($E8 + 5) &lt; 0, 0,
  IF(COLUMN() - ($E8 + 5) = 0, $F8,
    T8 * (1 - IFERROR(INDEX('Inputs &amp; Assuptions'!$D$13:$D$72, COLUMN() - ($E8 + 5)), 0))
  )
)</f>
        <v>955.25404277414066</v>
      </c>
      <c r="V8" s="32">
        <f t="array" ref="V8">IF(COLUMN() - ($E8 + 5) &lt; 0, 0,
  IF(COLUMN() - ($E8 + 5) = 0, $F8,
    U8 * (1 - IFERROR(INDEX('Inputs &amp; Assuptions'!$D$13:$D$72, COLUMN() - ($E8 + 5)), 0))
  )
)</f>
        <v>954.77641575275368</v>
      </c>
      <c r="W8" s="32">
        <f t="array" ref="W8">IF(COLUMN() - ($E8 + 5) &lt; 0, 0,
  IF(COLUMN() - ($E8 + 5) = 0, $F8,
    V8 * (1 - IFERROR(INDEX('Inputs &amp; Assuptions'!$D$13:$D$72, COLUMN() - ($E8 + 5)), 0))
  )
)</f>
        <v>954.29902754487739</v>
      </c>
      <c r="X8" s="32">
        <f t="array" ref="X8">IF(COLUMN() - ($E8 + 5) &lt; 0, 0,
  IF(COLUMN() - ($E8 + 5) = 0, $F8,
    W8 * (1 - IFERROR(INDEX('Inputs &amp; Assuptions'!$D$13:$D$72, COLUMN() - ($E8 + 5)), 0))
  )
)</f>
        <v>953.82187803110503</v>
      </c>
      <c r="Y8" s="32">
        <f t="array" ref="Y8">IF(COLUMN() - ($E8 + 5) &lt; 0, 0,
  IF(COLUMN() - ($E8 + 5) = 0, $F8,
    X8 * (1 - IFERROR(INDEX('Inputs &amp; Assuptions'!$D$13:$D$72, COLUMN() - ($E8 + 5)), 0))
  )
)</f>
        <v>953.34496709208952</v>
      </c>
      <c r="Z8" s="32">
        <f t="array" ref="Z8">IF(COLUMN() - ($E8 + 5) &lt; 0, 0,
  IF(COLUMN() - ($E8 + 5) = 0, $F8,
    Y8 * (1 - IFERROR(INDEX('Inputs &amp; Assuptions'!$D$13:$D$72, COLUMN() - ($E8 + 5)), 0))
  )
)</f>
        <v>952.86829460854358</v>
      </c>
      <c r="AA8" s="32">
        <f t="array" ref="AA8">IF(COLUMN() - ($E8 + 5) &lt; 0, 0,
  IF(COLUMN() - ($E8 + 5) = 0, $F8,
    Z8 * (1 - IFERROR(INDEX('Inputs &amp; Assuptions'!$D$13:$D$72, COLUMN() - ($E8 + 5)), 0))
  )
)</f>
        <v>952.39186046123939</v>
      </c>
      <c r="AB8" s="32">
        <f t="array" ref="AB8">IF(COLUMN() - ($E8 + 5) &lt; 0, 0,
  IF(COLUMN() - ($E8 + 5) = 0, $F8,
    AA8 * (1 - IFERROR(INDEX('Inputs &amp; Assuptions'!$D$13:$D$72, COLUMN() - ($E8 + 5)), 0))
  )
)</f>
        <v>951.91566453100882</v>
      </c>
      <c r="AC8" s="32">
        <f t="array" ref="AC8">IF(COLUMN() - ($E8 + 5) &lt; 0, 0,
  IF(COLUMN() - ($E8 + 5) = 0, $F8,
    AB8 * (1 - IFERROR(INDEX('Inputs &amp; Assuptions'!$D$13:$D$72, COLUMN() - ($E8 + 5)), 0))
  )
)</f>
        <v>951.43970669874341</v>
      </c>
      <c r="AD8" s="32">
        <f t="array" ref="AD8">IF(COLUMN() - ($E8 + 5) &lt; 0, 0,
  IF(COLUMN() - ($E8 + 5) = 0, $F8,
    AC8 * (1 - IFERROR(INDEX('Inputs &amp; Assuptions'!$D$13:$D$72, COLUMN() - ($E8 + 5)), 0))
  )
)</f>
        <v>950.96398684539406</v>
      </c>
      <c r="AE8" s="32">
        <f t="array" ref="AE8">IF(COLUMN() - ($E8 + 5) &lt; 0, 0,
  IF(COLUMN() - ($E8 + 5) = 0, $F8,
    AD8 * (1 - IFERROR(INDEX('Inputs &amp; Assuptions'!$D$13:$D$72, COLUMN() - ($E8 + 5)), 0))
  )
)</f>
        <v>950.48850485197147</v>
      </c>
      <c r="AF8" s="32">
        <f t="array" ref="AF8">IF(COLUMN() - ($E8 + 5) &lt; 0, 0,
  IF(COLUMN() - ($E8 + 5) = 0, $F8,
    AE8 * (1 - IFERROR(INDEX('Inputs &amp; Assuptions'!$D$13:$D$72, COLUMN() - ($E8 + 5)), 0))
  )
)</f>
        <v>950.01326059954556</v>
      </c>
      <c r="AG8" s="32">
        <f t="array" ref="AG8">IF(COLUMN() - ($E8 + 5) &lt; 0, 0,
  IF(COLUMN() - ($E8 + 5) = 0, $F8,
    AF8 * (1 - IFERROR(INDEX('Inputs &amp; Assuptions'!$D$13:$D$72, COLUMN() - ($E8 + 5)), 0))
  )
)</f>
        <v>949.53825396924583</v>
      </c>
      <c r="AH8" s="32">
        <f t="array" ref="AH8">IF(COLUMN() - ($E8 + 5) &lt; 0, 0,
  IF(COLUMN() - ($E8 + 5) = 0, $F8,
    AG8 * (1 - IFERROR(INDEX('Inputs &amp; Assuptions'!$D$13:$D$72, COLUMN() - ($E8 + 5)), 0))
  )
)</f>
        <v>949.06348484226123</v>
      </c>
      <c r="AI8" s="32">
        <f t="array" ref="AI8">IF(COLUMN() - ($E8 + 5) &lt; 0, 0,
  IF(COLUMN() - ($E8 + 5) = 0, $F8,
    AH8 * (1 - IFERROR(INDEX('Inputs &amp; Assuptions'!$D$13:$D$72, COLUMN() - ($E8 + 5)), 0))
  )
)</f>
        <v>948.58895309984018</v>
      </c>
      <c r="AJ8" s="32">
        <f t="array" ref="AJ8">IF(COLUMN() - ($E8 + 5) &lt; 0, 0,
  IF(COLUMN() - ($E8 + 5) = 0, $F8,
    AI8 * (1 - IFERROR(INDEX('Inputs &amp; Assuptions'!$D$13:$D$72, COLUMN() - ($E8 + 5)), 0))
  )
)</f>
        <v>948.11465862329032</v>
      </c>
      <c r="AK8" s="32">
        <f t="array" ref="AK8">IF(COLUMN() - ($E8 + 5) &lt; 0, 0,
  IF(COLUMN() - ($E8 + 5) = 0, $F8,
    AJ8 * (1 - IFERROR(INDEX('Inputs &amp; Assuptions'!$D$13:$D$72, COLUMN() - ($E8 + 5)), 0))
  )
)</f>
        <v>947.64060129397876</v>
      </c>
      <c r="AL8" s="32">
        <f t="array" ref="AL8">IF(COLUMN() - ($E8 + 5) &lt; 0, 0,
  IF(COLUMN() - ($E8 + 5) = 0, $F8,
    AK8 * (1 - IFERROR(INDEX('Inputs &amp; Assuptions'!$D$13:$D$72, COLUMN() - ($E8 + 5)), 0))
  )
)</f>
        <v>947.16678099333183</v>
      </c>
      <c r="AM8" s="32">
        <f t="array" ref="AM8">IF(COLUMN() - ($E8 + 5) &lt; 0, 0,
  IF(COLUMN() - ($E8 + 5) = 0, $F8,
    AL8 * (1 - IFERROR(INDEX('Inputs &amp; Assuptions'!$D$13:$D$72, COLUMN() - ($E8 + 5)), 0))
  )
)</f>
        <v>946.6931976028352</v>
      </c>
      <c r="AN8" s="32">
        <f t="array" ref="AN8">IF(COLUMN() - ($E8 + 5) &lt; 0, 0,
  IF(COLUMN() - ($E8 + 5) = 0, $F8,
    AM8 * (1 - IFERROR(INDEX('Inputs &amp; Assuptions'!$D$13:$D$72, COLUMN() - ($E8 + 5)), 0))
  )
)</f>
        <v>946.21985100403379</v>
      </c>
      <c r="AO8" s="32">
        <f t="array" ref="AO8">IF(COLUMN() - ($E8 + 5) &lt; 0, 0,
  IF(COLUMN() - ($E8 + 5) = 0, $F8,
    AN8 * (1 - IFERROR(INDEX('Inputs &amp; Assuptions'!$D$13:$D$72, COLUMN() - ($E8 + 5)), 0))
  )
)</f>
        <v>945.74674107853184</v>
      </c>
      <c r="AP8" s="32">
        <f t="array" ref="AP8">IF(COLUMN() - ($E8 + 5) &lt; 0, 0,
  IF(COLUMN() - ($E8 + 5) = 0, $F8,
    AO8 * (1 - IFERROR(INDEX('Inputs &amp; Assuptions'!$D$13:$D$72, COLUMN() - ($E8 + 5)), 0))
  )
)</f>
        <v>945.27386770799262</v>
      </c>
      <c r="AQ8" s="32">
        <f t="array" ref="AQ8">IF(COLUMN() - ($E8 + 5) &lt; 0, 0,
  IF(COLUMN() - ($E8 + 5) = 0, $F8,
    AP8 * (1 - IFERROR(INDEX('Inputs &amp; Assuptions'!$D$13:$D$72, COLUMN() - ($E8 + 5)), 0))
  )
)</f>
        <v>944.80123077413873</v>
      </c>
      <c r="AR8" s="32">
        <f t="array" ref="AR8">IF(COLUMN() - ($E8 + 5) &lt; 0, 0,
  IF(COLUMN() - ($E8 + 5) = 0, $F8,
    AQ8 * (1 - IFERROR(INDEX('Inputs &amp; Assuptions'!$D$13:$D$72, COLUMN() - ($E8 + 5)), 0))
  )
)</f>
        <v>944.32883015875166</v>
      </c>
      <c r="AS8" s="32">
        <f t="array" ref="AS8">IF(COLUMN() - ($E8 + 5) &lt; 0, 0,
  IF(COLUMN() - ($E8 + 5) = 0, $F8,
    AR8 * (1 - IFERROR(INDEX('Inputs &amp; Assuptions'!$D$13:$D$72, COLUMN() - ($E8 + 5)), 0))
  )
)</f>
        <v>943.85666574367235</v>
      </c>
      <c r="AT8" s="32">
        <f t="array" ref="AT8">IF(COLUMN() - ($E8 + 5) &lt; 0, 0,
  IF(COLUMN() - ($E8 + 5) = 0, $F8,
    AS8 * (1 - IFERROR(INDEX('Inputs &amp; Assuptions'!$D$13:$D$72, COLUMN() - ($E8 + 5)), 0))
  )
)</f>
        <v>943.38473741080054</v>
      </c>
      <c r="AU8" s="32">
        <f t="array" ref="AU8">IF(COLUMN() - ($E8 + 5) &lt; 0, 0,
  IF(COLUMN() - ($E8 + 5) = 0, $F8,
    AT8 * (1 - IFERROR(INDEX('Inputs &amp; Assuptions'!$D$13:$D$72, COLUMN() - ($E8 + 5)), 0))
  )
)</f>
        <v>942.91304504209518</v>
      </c>
      <c r="AV8" s="32">
        <f t="array" ref="AV8">IF(COLUMN() - ($E8 + 5) &lt; 0, 0,
  IF(COLUMN() - ($E8 + 5) = 0, $F8,
    AU8 * (1 - IFERROR(INDEX('Inputs &amp; Assuptions'!$D$13:$D$72, COLUMN() - ($E8 + 5)), 0))
  )
)</f>
        <v>942.44158851957422</v>
      </c>
      <c r="AW8" s="32">
        <f t="array" ref="AW8">IF(COLUMN() - ($E8 + 5) &lt; 0, 0,
  IF(COLUMN() - ($E8 + 5) = 0, $F8,
    AV8 * (1 - IFERROR(INDEX('Inputs &amp; Assuptions'!$D$13:$D$72, COLUMN() - ($E8 + 5)), 0))
  )
)</f>
        <v>941.97036772531453</v>
      </c>
      <c r="AX8" s="32">
        <f t="array" ref="AX8">IF(COLUMN() - ($E8 + 5) &lt; 0, 0,
  IF(COLUMN() - ($E8 + 5) = 0, $F8,
    AW8 * (1 - IFERROR(INDEX('Inputs &amp; Assuptions'!$D$13:$D$72, COLUMN() - ($E8 + 5)), 0))
  )
)</f>
        <v>941.49938254145195</v>
      </c>
      <c r="AY8" s="32">
        <f t="array" ref="AY8">IF(COLUMN() - ($E8 + 5) &lt; 0, 0,
  IF(COLUMN() - ($E8 + 5) = 0, $F8,
    AX8 * (1 - IFERROR(INDEX('Inputs &amp; Assuptions'!$D$13:$D$72, COLUMN() - ($E8 + 5)), 0))
  )
)</f>
        <v>941.02863285018122</v>
      </c>
      <c r="AZ8" s="32">
        <f t="array" ref="AZ8">IF(COLUMN() - ($E8 + 5) &lt; 0, 0,
  IF(COLUMN() - ($E8 + 5) = 0, $F8,
    AY8 * (1 - IFERROR(INDEX('Inputs &amp; Assuptions'!$D$13:$D$72, COLUMN() - ($E8 + 5)), 0))
  )
)</f>
        <v>940.55811853375621</v>
      </c>
      <c r="BA8" s="32">
        <f t="array" ref="BA8">IF(COLUMN() - ($E8 + 5) &lt; 0, 0,
  IF(COLUMN() - ($E8 + 5) = 0, $F8,
    AZ8 * (1 - IFERROR(INDEX('Inputs &amp; Assuptions'!$D$13:$D$72, COLUMN() - ($E8 + 5)), 0))
  )
)</f>
        <v>940.08783947448944</v>
      </c>
      <c r="BB8" s="32">
        <f t="array" ref="BB8">IF(COLUMN() - ($E8 + 5) &lt; 0, 0,
  IF(COLUMN() - ($E8 + 5) = 0, $F8,
    BA8 * (1 - IFERROR(INDEX('Inputs &amp; Assuptions'!$D$13:$D$72, COLUMN() - ($E8 + 5)), 0))
  )
)</f>
        <v>939.61779555475221</v>
      </c>
      <c r="BC8" s="32">
        <f t="array" ref="BC8">IF(COLUMN() - ($E8 + 5) &lt; 0, 0,
  IF(COLUMN() - ($E8 + 5) = 0, $F8,
    BB8 * (1 - IFERROR(INDEX('Inputs &amp; Assuptions'!$D$13:$D$72, COLUMN() - ($E8 + 5)), 0))
  )
)</f>
        <v>939.14798665697492</v>
      </c>
      <c r="BD8" s="32">
        <f t="array" ref="BD8">IF(COLUMN() - ($E8 + 5) &lt; 0, 0,
  IF(COLUMN() - ($E8 + 5) = 0, $F8,
    BC8 * (1 - IFERROR(INDEX('Inputs &amp; Assuptions'!$D$13:$D$72, COLUMN() - ($E8 + 5)), 0))
  )
)</f>
        <v>938.67841266364644</v>
      </c>
      <c r="BE8" s="32">
        <f t="array" ref="BE8">IF(COLUMN() - ($E8 + 5) &lt; 0, 0,
  IF(COLUMN() - ($E8 + 5) = 0, $F8,
    BD8 * (1 - IFERROR(INDEX('Inputs &amp; Assuptions'!$D$13:$D$72, COLUMN() - ($E8 + 5)), 0))
  )
)</f>
        <v>938.20907345731462</v>
      </c>
      <c r="BF8" s="32">
        <f t="array" ref="BF8">IF(COLUMN() - ($E8 + 5) &lt; 0, 0,
  IF(COLUMN() - ($E8 + 5) = 0, $F8,
    BE8 * (1 - IFERROR(INDEX('Inputs &amp; Assuptions'!$D$13:$D$72, COLUMN() - ($E8 + 5)), 0))
  )
)</f>
        <v>937.73996892058597</v>
      </c>
      <c r="BG8" s="32">
        <f t="array" ref="BG8">IF(COLUMN() - ($E8 + 5) &lt; 0, 0,
  IF(COLUMN() - ($E8 + 5) = 0, $F8,
    BF8 * (1 - IFERROR(INDEX('Inputs &amp; Assuptions'!$D$13:$D$72, COLUMN() - ($E8 + 5)), 0))
  )
)</f>
        <v>937.27109893612567</v>
      </c>
      <c r="BH8" s="32">
        <f t="array" ref="BH8">IF(COLUMN() - ($E8 + 5) &lt; 0, 0,
  IF(COLUMN() - ($E8 + 5) = 0, $F8,
    BG8 * (1 - IFERROR(INDEX('Inputs &amp; Assuptions'!$D$13:$D$72, COLUMN() - ($E8 + 5)), 0))
  )
)</f>
        <v>936.80246338665768</v>
      </c>
      <c r="BI8" s="32">
        <f t="array" ref="BI8">IF(COLUMN() - ($E8 + 5) &lt; 0, 0,
  IF(COLUMN() - ($E8 + 5) = 0, $F8,
    BH8 * (1 - IFERROR(INDEX('Inputs &amp; Assuptions'!$D$13:$D$72, COLUMN() - ($E8 + 5)), 0))
  )
)</f>
        <v>936.33406215496439</v>
      </c>
      <c r="BJ8" s="32">
        <f t="array" ref="BJ8">IF(COLUMN() - ($E8 + 5) &lt; 0, 0,
  IF(COLUMN() - ($E8 + 5) = 0, $F8,
    BI8 * (1 - IFERROR(INDEX('Inputs &amp; Assuptions'!$D$13:$D$72, COLUMN() - ($E8 + 5)), 0))
  )
)</f>
        <v>935.86589512388696</v>
      </c>
      <c r="BK8" s="32">
        <f t="array" ref="BK8">IF(COLUMN() - ($E8 + 5) &lt; 0, 0,
  IF(COLUMN() - ($E8 + 5) = 0, $F8,
    BJ8 * (1 - IFERROR(INDEX('Inputs &amp; Assuptions'!$D$13:$D$72, COLUMN() - ($E8 + 5)), 0))
  )
)</f>
        <v>935.39796217632511</v>
      </c>
      <c r="BL8" s="32">
        <f t="array" ref="BL8">IF(COLUMN() - ($E8 + 5) &lt; 0, 0,
  IF(COLUMN() - ($E8 + 5) = 0, $F8,
    BK8 * (1 - IFERROR(INDEX('Inputs &amp; Assuptions'!$D$13:$D$72, COLUMN() - ($E8 + 5)), 0))
  )
)</f>
        <v>934.93026319523699</v>
      </c>
      <c r="BM8" s="66">
        <f t="array" ref="BM8">IF(COLUMN() - ($E8 + 5) &lt; 0, 0,
  IF(COLUMN() - ($E8 + 5) = 0, $F8,
    BL8 * (1 - IFERROR(INDEX('Inputs &amp; Assuptions'!$D$13:$D$72, COLUMN() - ($E8 + 5)), 0))
  )
)</f>
        <v>934.46279806363941</v>
      </c>
      <c r="BN8" s="33"/>
    </row>
    <row r="9" spans="1:67" x14ac:dyDescent="0.3">
      <c r="A9" s="71">
        <f t="shared" si="2"/>
        <v>4</v>
      </c>
      <c r="B9" s="75">
        <f t="shared" si="4"/>
        <v>1000</v>
      </c>
      <c r="C9" s="76">
        <f>$B9*(1-'Inputs &amp; Assuptions'!$D$12)</f>
        <v>978</v>
      </c>
      <c r="E9" s="71">
        <f t="shared" si="3"/>
        <v>4</v>
      </c>
      <c r="F9" s="65"/>
      <c r="G9" s="32"/>
      <c r="H9" s="32"/>
      <c r="I9" s="32">
        <f>$C9</f>
        <v>978</v>
      </c>
      <c r="J9" s="32">
        <f t="array" ref="J9">IF(COLUMN() - ($E9 + 5) &lt; 0, 0,
  IF(COLUMN() - ($E9 + 5) = 0, $F9,
    I9 * (1 - IFERROR(INDEX('Inputs &amp; Assuptions'!$D$13:$D$72, COLUMN() - ($E9 + 5)), 0))
  )
)</f>
        <v>973.11</v>
      </c>
      <c r="K9" s="32">
        <f t="array" ref="K9">IF(COLUMN() - ($E9 + 5) &lt; 0, 0,
  IF(COLUMN() - ($E9 + 5) = 0, $F9,
    J9 * (1 - IFERROR(INDEX('Inputs &amp; Assuptions'!$D$13:$D$72, COLUMN() - ($E9 + 5)), 0))
  )
)</f>
        <v>969.41218200000003</v>
      </c>
      <c r="L9" s="32">
        <f t="array" ref="L9">IF(COLUMN() - ($E9 + 5) &lt; 0, 0,
  IF(COLUMN() - ($E9 + 5) = 0, $F9,
    K9 * (1 - IFERROR(INDEX('Inputs &amp; Assuptions'!$D$13:$D$72, COLUMN() - ($E9 + 5)), 0))
  )
)</f>
        <v>966.98865154500004</v>
      </c>
      <c r="M9" s="32">
        <f t="array" ref="M9">IF(COLUMN() - ($E9 + 5) &lt; 0, 0,
  IF(COLUMN() - ($E9 + 5) = 0, $F9,
    L9 * (1 - IFERROR(INDEX('Inputs &amp; Assuptions'!$D$13:$D$72, COLUMN() - ($E9 + 5)), 0))
  )
)</f>
        <v>964.76457764644658</v>
      </c>
      <c r="N9" s="32">
        <f t="array" ref="N9">IF(COLUMN() - ($E9 + 5) &lt; 0, 0,
  IF(COLUMN() - ($E9 + 5) = 0, $F9,
    M9 * (1 - IFERROR(INDEX('Inputs &amp; Assuptions'!$D$13:$D$72, COLUMN() - ($E9 + 5)), 0))
  )
)</f>
        <v>962.83504849115366</v>
      </c>
      <c r="O9" s="32">
        <f t="array" ref="O9">IF(COLUMN() - ($E9 + 5) &lt; 0, 0,
  IF(COLUMN() - ($E9 + 5) = 0, $F9,
    N9 * (1 - IFERROR(INDEX('Inputs &amp; Assuptions'!$D$13:$D$72, COLUMN() - ($E9 + 5)), 0))
  )
)</f>
        <v>961.10194540386954</v>
      </c>
      <c r="P9" s="32">
        <f t="array" ref="P9">IF(COLUMN() - ($E9 + 5) &lt; 0, 0,
  IF(COLUMN() - ($E9 + 5) = 0, $F9,
    O9 * (1 - IFERROR(INDEX('Inputs &amp; Assuptions'!$D$13:$D$72, COLUMN() - ($E9 + 5)), 0))
  )
)</f>
        <v>959.66029248576376</v>
      </c>
      <c r="Q9" s="32">
        <f t="array" ref="Q9">IF(COLUMN() - ($E9 + 5) &lt; 0, 0,
  IF(COLUMN() - ($E9 + 5) = 0, $F9,
    P9 * (1 - IFERROR(INDEX('Inputs &amp; Assuptions'!$D$13:$D$72, COLUMN() - ($E9 + 5)), 0))
  )
)</f>
        <v>958.41273410553231</v>
      </c>
      <c r="R9" s="32">
        <f t="array" ref="R9">IF(COLUMN() - ($E9 + 5) &lt; 0, 0,
  IF(COLUMN() - ($E9 + 5) = 0, $F9,
    Q9 * (1 - IFERROR(INDEX('Inputs &amp; Assuptions'!$D$13:$D$72, COLUMN() - ($E9 + 5)), 0))
  )
)</f>
        <v>957.45432137142677</v>
      </c>
      <c r="S9" s="32">
        <f t="array" ref="S9">IF(COLUMN() - ($E9 + 5) &lt; 0, 0,
  IF(COLUMN() - ($E9 + 5) = 0, $F9,
    R9 * (1 - IFERROR(INDEX('Inputs &amp; Assuptions'!$D$13:$D$72, COLUMN() - ($E9 + 5)), 0))
  )
)</f>
        <v>956.68835791432957</v>
      </c>
      <c r="T9" s="32">
        <f t="array" ref="T9">IF(COLUMN() - ($E9 + 5) &lt; 0, 0,
  IF(COLUMN() - ($E9 + 5) = 0, $F9,
    S9 * (1 - IFERROR(INDEX('Inputs &amp; Assuptions'!$D$13:$D$72, COLUMN() - ($E9 + 5)), 0))
  )
)</f>
        <v>956.21001373537251</v>
      </c>
      <c r="U9" s="32">
        <f t="array" ref="U9">IF(COLUMN() - ($E9 + 5) &lt; 0, 0,
  IF(COLUMN() - ($E9 + 5) = 0, $F9,
    T9 * (1 - IFERROR(INDEX('Inputs &amp; Assuptions'!$D$13:$D$72, COLUMN() - ($E9 + 5)), 0))
  )
)</f>
        <v>955.73190872850489</v>
      </c>
      <c r="V9" s="32">
        <f t="array" ref="V9">IF(COLUMN() - ($E9 + 5) &lt; 0, 0,
  IF(COLUMN() - ($E9 + 5) = 0, $F9,
    U9 * (1 - IFERROR(INDEX('Inputs &amp; Assuptions'!$D$13:$D$72, COLUMN() - ($E9 + 5)), 0))
  )
)</f>
        <v>955.25404277414066</v>
      </c>
      <c r="W9" s="32">
        <f t="array" ref="W9">IF(COLUMN() - ($E9 + 5) &lt; 0, 0,
  IF(COLUMN() - ($E9 + 5) = 0, $F9,
    V9 * (1 - IFERROR(INDEX('Inputs &amp; Assuptions'!$D$13:$D$72, COLUMN() - ($E9 + 5)), 0))
  )
)</f>
        <v>954.77641575275368</v>
      </c>
      <c r="X9" s="32">
        <f t="array" ref="X9">IF(COLUMN() - ($E9 + 5) &lt; 0, 0,
  IF(COLUMN() - ($E9 + 5) = 0, $F9,
    W9 * (1 - IFERROR(INDEX('Inputs &amp; Assuptions'!$D$13:$D$72, COLUMN() - ($E9 + 5)), 0))
  )
)</f>
        <v>954.29902754487739</v>
      </c>
      <c r="Y9" s="32">
        <f t="array" ref="Y9">IF(COLUMN() - ($E9 + 5) &lt; 0, 0,
  IF(COLUMN() - ($E9 + 5) = 0, $F9,
    X9 * (1 - IFERROR(INDEX('Inputs &amp; Assuptions'!$D$13:$D$72, COLUMN() - ($E9 + 5)), 0))
  )
)</f>
        <v>953.82187803110503</v>
      </c>
      <c r="Z9" s="32">
        <f t="array" ref="Z9">IF(COLUMN() - ($E9 + 5) &lt; 0, 0,
  IF(COLUMN() - ($E9 + 5) = 0, $F9,
    Y9 * (1 - IFERROR(INDEX('Inputs &amp; Assuptions'!$D$13:$D$72, COLUMN() - ($E9 + 5)), 0))
  )
)</f>
        <v>953.34496709208952</v>
      </c>
      <c r="AA9" s="32">
        <f t="array" ref="AA9">IF(COLUMN() - ($E9 + 5) &lt; 0, 0,
  IF(COLUMN() - ($E9 + 5) = 0, $F9,
    Z9 * (1 - IFERROR(INDEX('Inputs &amp; Assuptions'!$D$13:$D$72, COLUMN() - ($E9 + 5)), 0))
  )
)</f>
        <v>952.86829460854358</v>
      </c>
      <c r="AB9" s="32">
        <f t="array" ref="AB9">IF(COLUMN() - ($E9 + 5) &lt; 0, 0,
  IF(COLUMN() - ($E9 + 5) = 0, $F9,
    AA9 * (1 - IFERROR(INDEX('Inputs &amp; Assuptions'!$D$13:$D$72, COLUMN() - ($E9 + 5)), 0))
  )
)</f>
        <v>952.39186046123939</v>
      </c>
      <c r="AC9" s="32">
        <f t="array" ref="AC9">IF(COLUMN() - ($E9 + 5) &lt; 0, 0,
  IF(COLUMN() - ($E9 + 5) = 0, $F9,
    AB9 * (1 - IFERROR(INDEX('Inputs &amp; Assuptions'!$D$13:$D$72, COLUMN() - ($E9 + 5)), 0))
  )
)</f>
        <v>951.91566453100882</v>
      </c>
      <c r="AD9" s="32">
        <f t="array" ref="AD9">IF(COLUMN() - ($E9 + 5) &lt; 0, 0,
  IF(COLUMN() - ($E9 + 5) = 0, $F9,
    AC9 * (1 - IFERROR(INDEX('Inputs &amp; Assuptions'!$D$13:$D$72, COLUMN() - ($E9 + 5)), 0))
  )
)</f>
        <v>951.43970669874341</v>
      </c>
      <c r="AE9" s="32">
        <f t="array" ref="AE9">IF(COLUMN() - ($E9 + 5) &lt; 0, 0,
  IF(COLUMN() - ($E9 + 5) = 0, $F9,
    AD9 * (1 - IFERROR(INDEX('Inputs &amp; Assuptions'!$D$13:$D$72, COLUMN() - ($E9 + 5)), 0))
  )
)</f>
        <v>950.96398684539406</v>
      </c>
      <c r="AF9" s="32">
        <f t="array" ref="AF9">IF(COLUMN() - ($E9 + 5) &lt; 0, 0,
  IF(COLUMN() - ($E9 + 5) = 0, $F9,
    AE9 * (1 - IFERROR(INDEX('Inputs &amp; Assuptions'!$D$13:$D$72, COLUMN() - ($E9 + 5)), 0))
  )
)</f>
        <v>950.48850485197147</v>
      </c>
      <c r="AG9" s="32">
        <f t="array" ref="AG9">IF(COLUMN() - ($E9 + 5) &lt; 0, 0,
  IF(COLUMN() - ($E9 + 5) = 0, $F9,
    AF9 * (1 - IFERROR(INDEX('Inputs &amp; Assuptions'!$D$13:$D$72, COLUMN() - ($E9 + 5)), 0))
  )
)</f>
        <v>950.01326059954556</v>
      </c>
      <c r="AH9" s="32">
        <f t="array" ref="AH9">IF(COLUMN() - ($E9 + 5) &lt; 0, 0,
  IF(COLUMN() - ($E9 + 5) = 0, $F9,
    AG9 * (1 - IFERROR(INDEX('Inputs &amp; Assuptions'!$D$13:$D$72, COLUMN() - ($E9 + 5)), 0))
  )
)</f>
        <v>949.53825396924583</v>
      </c>
      <c r="AI9" s="32">
        <f t="array" ref="AI9">IF(COLUMN() - ($E9 + 5) &lt; 0, 0,
  IF(COLUMN() - ($E9 + 5) = 0, $F9,
    AH9 * (1 - IFERROR(INDEX('Inputs &amp; Assuptions'!$D$13:$D$72, COLUMN() - ($E9 + 5)), 0))
  )
)</f>
        <v>949.06348484226123</v>
      </c>
      <c r="AJ9" s="32">
        <f t="array" ref="AJ9">IF(COLUMN() - ($E9 + 5) &lt; 0, 0,
  IF(COLUMN() - ($E9 + 5) = 0, $F9,
    AI9 * (1 - IFERROR(INDEX('Inputs &amp; Assuptions'!$D$13:$D$72, COLUMN() - ($E9 + 5)), 0))
  )
)</f>
        <v>948.58895309984018</v>
      </c>
      <c r="AK9" s="32">
        <f t="array" ref="AK9">IF(COLUMN() - ($E9 + 5) &lt; 0, 0,
  IF(COLUMN() - ($E9 + 5) = 0, $F9,
    AJ9 * (1 - IFERROR(INDEX('Inputs &amp; Assuptions'!$D$13:$D$72, COLUMN() - ($E9 + 5)), 0))
  )
)</f>
        <v>948.11465862329032</v>
      </c>
      <c r="AL9" s="32">
        <f t="array" ref="AL9">IF(COLUMN() - ($E9 + 5) &lt; 0, 0,
  IF(COLUMN() - ($E9 + 5) = 0, $F9,
    AK9 * (1 - IFERROR(INDEX('Inputs &amp; Assuptions'!$D$13:$D$72, COLUMN() - ($E9 + 5)), 0))
  )
)</f>
        <v>947.64060129397876</v>
      </c>
      <c r="AM9" s="32">
        <f t="array" ref="AM9">IF(COLUMN() - ($E9 + 5) &lt; 0, 0,
  IF(COLUMN() - ($E9 + 5) = 0, $F9,
    AL9 * (1 - IFERROR(INDEX('Inputs &amp; Assuptions'!$D$13:$D$72, COLUMN() - ($E9 + 5)), 0))
  )
)</f>
        <v>947.16678099333183</v>
      </c>
      <c r="AN9" s="32">
        <f t="array" ref="AN9">IF(COLUMN() - ($E9 + 5) &lt; 0, 0,
  IF(COLUMN() - ($E9 + 5) = 0, $F9,
    AM9 * (1 - IFERROR(INDEX('Inputs &amp; Assuptions'!$D$13:$D$72, COLUMN() - ($E9 + 5)), 0))
  )
)</f>
        <v>946.6931976028352</v>
      </c>
      <c r="AO9" s="32">
        <f t="array" ref="AO9">IF(COLUMN() - ($E9 + 5) &lt; 0, 0,
  IF(COLUMN() - ($E9 + 5) = 0, $F9,
    AN9 * (1 - IFERROR(INDEX('Inputs &amp; Assuptions'!$D$13:$D$72, COLUMN() - ($E9 + 5)), 0))
  )
)</f>
        <v>946.21985100403379</v>
      </c>
      <c r="AP9" s="32">
        <f t="array" ref="AP9">IF(COLUMN() - ($E9 + 5) &lt; 0, 0,
  IF(COLUMN() - ($E9 + 5) = 0, $F9,
    AO9 * (1 - IFERROR(INDEX('Inputs &amp; Assuptions'!$D$13:$D$72, COLUMN() - ($E9 + 5)), 0))
  )
)</f>
        <v>945.74674107853184</v>
      </c>
      <c r="AQ9" s="32">
        <f t="array" ref="AQ9">IF(COLUMN() - ($E9 + 5) &lt; 0, 0,
  IF(COLUMN() - ($E9 + 5) = 0, $F9,
    AP9 * (1 - IFERROR(INDEX('Inputs &amp; Assuptions'!$D$13:$D$72, COLUMN() - ($E9 + 5)), 0))
  )
)</f>
        <v>945.27386770799262</v>
      </c>
      <c r="AR9" s="32">
        <f t="array" ref="AR9">IF(COLUMN() - ($E9 + 5) &lt; 0, 0,
  IF(COLUMN() - ($E9 + 5) = 0, $F9,
    AQ9 * (1 - IFERROR(INDEX('Inputs &amp; Assuptions'!$D$13:$D$72, COLUMN() - ($E9 + 5)), 0))
  )
)</f>
        <v>944.80123077413873</v>
      </c>
      <c r="AS9" s="32">
        <f t="array" ref="AS9">IF(COLUMN() - ($E9 + 5) &lt; 0, 0,
  IF(COLUMN() - ($E9 + 5) = 0, $F9,
    AR9 * (1 - IFERROR(INDEX('Inputs &amp; Assuptions'!$D$13:$D$72, COLUMN() - ($E9 + 5)), 0))
  )
)</f>
        <v>944.32883015875166</v>
      </c>
      <c r="AT9" s="32">
        <f t="array" ref="AT9">IF(COLUMN() - ($E9 + 5) &lt; 0, 0,
  IF(COLUMN() - ($E9 + 5) = 0, $F9,
    AS9 * (1 - IFERROR(INDEX('Inputs &amp; Assuptions'!$D$13:$D$72, COLUMN() - ($E9 + 5)), 0))
  )
)</f>
        <v>943.85666574367235</v>
      </c>
      <c r="AU9" s="32">
        <f t="array" ref="AU9">IF(COLUMN() - ($E9 + 5) &lt; 0, 0,
  IF(COLUMN() - ($E9 + 5) = 0, $F9,
    AT9 * (1 - IFERROR(INDEX('Inputs &amp; Assuptions'!$D$13:$D$72, COLUMN() - ($E9 + 5)), 0))
  )
)</f>
        <v>943.38473741080054</v>
      </c>
      <c r="AV9" s="32">
        <f t="array" ref="AV9">IF(COLUMN() - ($E9 + 5) &lt; 0, 0,
  IF(COLUMN() - ($E9 + 5) = 0, $F9,
    AU9 * (1 - IFERROR(INDEX('Inputs &amp; Assuptions'!$D$13:$D$72, COLUMN() - ($E9 + 5)), 0))
  )
)</f>
        <v>942.91304504209518</v>
      </c>
      <c r="AW9" s="32">
        <f t="array" ref="AW9">IF(COLUMN() - ($E9 + 5) &lt; 0, 0,
  IF(COLUMN() - ($E9 + 5) = 0, $F9,
    AV9 * (1 - IFERROR(INDEX('Inputs &amp; Assuptions'!$D$13:$D$72, COLUMN() - ($E9 + 5)), 0))
  )
)</f>
        <v>942.44158851957422</v>
      </c>
      <c r="AX9" s="32">
        <f t="array" ref="AX9">IF(COLUMN() - ($E9 + 5) &lt; 0, 0,
  IF(COLUMN() - ($E9 + 5) = 0, $F9,
    AW9 * (1 - IFERROR(INDEX('Inputs &amp; Assuptions'!$D$13:$D$72, COLUMN() - ($E9 + 5)), 0))
  )
)</f>
        <v>941.97036772531453</v>
      </c>
      <c r="AY9" s="32">
        <f t="array" ref="AY9">IF(COLUMN() - ($E9 + 5) &lt; 0, 0,
  IF(COLUMN() - ($E9 + 5) = 0, $F9,
    AX9 * (1 - IFERROR(INDEX('Inputs &amp; Assuptions'!$D$13:$D$72, COLUMN() - ($E9 + 5)), 0))
  )
)</f>
        <v>941.49938254145195</v>
      </c>
      <c r="AZ9" s="32">
        <f t="array" ref="AZ9">IF(COLUMN() - ($E9 + 5) &lt; 0, 0,
  IF(COLUMN() - ($E9 + 5) = 0, $F9,
    AY9 * (1 - IFERROR(INDEX('Inputs &amp; Assuptions'!$D$13:$D$72, COLUMN() - ($E9 + 5)), 0))
  )
)</f>
        <v>941.02863285018122</v>
      </c>
      <c r="BA9" s="32">
        <f t="array" ref="BA9">IF(COLUMN() - ($E9 + 5) &lt; 0, 0,
  IF(COLUMN() - ($E9 + 5) = 0, $F9,
    AZ9 * (1 - IFERROR(INDEX('Inputs &amp; Assuptions'!$D$13:$D$72, COLUMN() - ($E9 + 5)), 0))
  )
)</f>
        <v>940.55811853375621</v>
      </c>
      <c r="BB9" s="32">
        <f t="array" ref="BB9">IF(COLUMN() - ($E9 + 5) &lt; 0, 0,
  IF(COLUMN() - ($E9 + 5) = 0, $F9,
    BA9 * (1 - IFERROR(INDEX('Inputs &amp; Assuptions'!$D$13:$D$72, COLUMN() - ($E9 + 5)), 0))
  )
)</f>
        <v>940.08783947448944</v>
      </c>
      <c r="BC9" s="32">
        <f t="array" ref="BC9">IF(COLUMN() - ($E9 + 5) &lt; 0, 0,
  IF(COLUMN() - ($E9 + 5) = 0, $F9,
    BB9 * (1 - IFERROR(INDEX('Inputs &amp; Assuptions'!$D$13:$D$72, COLUMN() - ($E9 + 5)), 0))
  )
)</f>
        <v>939.61779555475221</v>
      </c>
      <c r="BD9" s="32">
        <f t="array" ref="BD9">IF(COLUMN() - ($E9 + 5) &lt; 0, 0,
  IF(COLUMN() - ($E9 + 5) = 0, $F9,
    BC9 * (1 - IFERROR(INDEX('Inputs &amp; Assuptions'!$D$13:$D$72, COLUMN() - ($E9 + 5)), 0))
  )
)</f>
        <v>939.14798665697492</v>
      </c>
      <c r="BE9" s="32">
        <f t="array" ref="BE9">IF(COLUMN() - ($E9 + 5) &lt; 0, 0,
  IF(COLUMN() - ($E9 + 5) = 0, $F9,
    BD9 * (1 - IFERROR(INDEX('Inputs &amp; Assuptions'!$D$13:$D$72, COLUMN() - ($E9 + 5)), 0))
  )
)</f>
        <v>938.67841266364644</v>
      </c>
      <c r="BF9" s="32">
        <f t="array" ref="BF9">IF(COLUMN() - ($E9 + 5) &lt; 0, 0,
  IF(COLUMN() - ($E9 + 5) = 0, $F9,
    BE9 * (1 - IFERROR(INDEX('Inputs &amp; Assuptions'!$D$13:$D$72, COLUMN() - ($E9 + 5)), 0))
  )
)</f>
        <v>938.20907345731462</v>
      </c>
      <c r="BG9" s="32">
        <f t="array" ref="BG9">IF(COLUMN() - ($E9 + 5) &lt; 0, 0,
  IF(COLUMN() - ($E9 + 5) = 0, $F9,
    BF9 * (1 - IFERROR(INDEX('Inputs &amp; Assuptions'!$D$13:$D$72, COLUMN() - ($E9 + 5)), 0))
  )
)</f>
        <v>937.73996892058597</v>
      </c>
      <c r="BH9" s="32">
        <f t="array" ref="BH9">IF(COLUMN() - ($E9 + 5) &lt; 0, 0,
  IF(COLUMN() - ($E9 + 5) = 0, $F9,
    BG9 * (1 - IFERROR(INDEX('Inputs &amp; Assuptions'!$D$13:$D$72, COLUMN() - ($E9 + 5)), 0))
  )
)</f>
        <v>937.27109893612567</v>
      </c>
      <c r="BI9" s="32">
        <f t="array" ref="BI9">IF(COLUMN() - ($E9 + 5) &lt; 0, 0,
  IF(COLUMN() - ($E9 + 5) = 0, $F9,
    BH9 * (1 - IFERROR(INDEX('Inputs &amp; Assuptions'!$D$13:$D$72, COLUMN() - ($E9 + 5)), 0))
  )
)</f>
        <v>936.80246338665768</v>
      </c>
      <c r="BJ9" s="32">
        <f t="array" ref="BJ9">IF(COLUMN() - ($E9 + 5) &lt; 0, 0,
  IF(COLUMN() - ($E9 + 5) = 0, $F9,
    BI9 * (1 - IFERROR(INDEX('Inputs &amp; Assuptions'!$D$13:$D$72, COLUMN() - ($E9 + 5)), 0))
  )
)</f>
        <v>936.33406215496439</v>
      </c>
      <c r="BK9" s="32">
        <f t="array" ref="BK9">IF(COLUMN() - ($E9 + 5) &lt; 0, 0,
  IF(COLUMN() - ($E9 + 5) = 0, $F9,
    BJ9 * (1 - IFERROR(INDEX('Inputs &amp; Assuptions'!$D$13:$D$72, COLUMN() - ($E9 + 5)), 0))
  )
)</f>
        <v>935.86589512388696</v>
      </c>
      <c r="BL9" s="32">
        <f t="array" ref="BL9">IF(COLUMN() - ($E9 + 5) &lt; 0, 0,
  IF(COLUMN() - ($E9 + 5) = 0, $F9,
    BK9 * (1 - IFERROR(INDEX('Inputs &amp; Assuptions'!$D$13:$D$72, COLUMN() - ($E9 + 5)), 0))
  )
)</f>
        <v>935.39796217632511</v>
      </c>
      <c r="BM9" s="66">
        <f t="array" ref="BM9">IF(COLUMN() - ($E9 + 5) &lt; 0, 0,
  IF(COLUMN() - ($E9 + 5) = 0, $F9,
    BL9 * (1 - IFERROR(INDEX('Inputs &amp; Assuptions'!$D$13:$D$72, COLUMN() - ($E9 + 5)), 0))
  )
)</f>
        <v>934.93026319523699</v>
      </c>
      <c r="BN9" s="33"/>
    </row>
    <row r="10" spans="1:67" x14ac:dyDescent="0.3">
      <c r="A10" s="71">
        <f t="shared" si="2"/>
        <v>5</v>
      </c>
      <c r="B10" s="75">
        <f t="shared" si="4"/>
        <v>1000</v>
      </c>
      <c r="C10" s="76">
        <f>$B10*(1-'Inputs &amp; Assuptions'!$D$12)</f>
        <v>978</v>
      </c>
      <c r="E10" s="71">
        <f t="shared" si="3"/>
        <v>5</v>
      </c>
      <c r="F10" s="65"/>
      <c r="G10" s="32"/>
      <c r="H10" s="32"/>
      <c r="I10" s="32"/>
      <c r="J10" s="32">
        <f>$C10</f>
        <v>978</v>
      </c>
      <c r="K10" s="32">
        <f t="array" ref="K10">IF(COLUMN() - ($E10 + 5) &lt; 0, 0,
  IF(COLUMN() - ($E10 + 5) = 0, $F10,
    J10 * (1 - IFERROR(INDEX('Inputs &amp; Assuptions'!$D$13:$D$72, COLUMN() - ($E10 + 5)), 0))
  )
)</f>
        <v>973.11</v>
      </c>
      <c r="L10" s="32">
        <f t="array" ref="L10">IF(COLUMN() - ($E10 + 5) &lt; 0, 0,
  IF(COLUMN() - ($E10 + 5) = 0, $F10,
    K10 * (1 - IFERROR(INDEX('Inputs &amp; Assuptions'!$D$13:$D$72, COLUMN() - ($E10 + 5)), 0))
  )
)</f>
        <v>969.41218200000003</v>
      </c>
      <c r="M10" s="32">
        <f t="array" ref="M10">IF(COLUMN() - ($E10 + 5) &lt; 0, 0,
  IF(COLUMN() - ($E10 + 5) = 0, $F10,
    L10 * (1 - IFERROR(INDEX('Inputs &amp; Assuptions'!$D$13:$D$72, COLUMN() - ($E10 + 5)), 0))
  )
)</f>
        <v>966.98865154500004</v>
      </c>
      <c r="N10" s="32">
        <f t="array" ref="N10">IF(COLUMN() - ($E10 + 5) &lt; 0, 0,
  IF(COLUMN() - ($E10 + 5) = 0, $F10,
    M10 * (1 - IFERROR(INDEX('Inputs &amp; Assuptions'!$D$13:$D$72, COLUMN() - ($E10 + 5)), 0))
  )
)</f>
        <v>964.76457764644658</v>
      </c>
      <c r="O10" s="32">
        <f t="array" ref="O10">IF(COLUMN() - ($E10 + 5) &lt; 0, 0,
  IF(COLUMN() - ($E10 + 5) = 0, $F10,
    N10 * (1 - IFERROR(INDEX('Inputs &amp; Assuptions'!$D$13:$D$72, COLUMN() - ($E10 + 5)), 0))
  )
)</f>
        <v>962.83504849115366</v>
      </c>
      <c r="P10" s="32">
        <f t="array" ref="P10">IF(COLUMN() - ($E10 + 5) &lt; 0, 0,
  IF(COLUMN() - ($E10 + 5) = 0, $F10,
    O10 * (1 - IFERROR(INDEX('Inputs &amp; Assuptions'!$D$13:$D$72, COLUMN() - ($E10 + 5)), 0))
  )
)</f>
        <v>961.10194540386954</v>
      </c>
      <c r="Q10" s="32">
        <f t="array" ref="Q10">IF(COLUMN() - ($E10 + 5) &lt; 0, 0,
  IF(COLUMN() - ($E10 + 5) = 0, $F10,
    P10 * (1 - IFERROR(INDEX('Inputs &amp; Assuptions'!$D$13:$D$72, COLUMN() - ($E10 + 5)), 0))
  )
)</f>
        <v>959.66029248576376</v>
      </c>
      <c r="R10" s="32">
        <f t="array" ref="R10">IF(COLUMN() - ($E10 + 5) &lt; 0, 0,
  IF(COLUMN() - ($E10 + 5) = 0, $F10,
    Q10 * (1 - IFERROR(INDEX('Inputs &amp; Assuptions'!$D$13:$D$72, COLUMN() - ($E10 + 5)), 0))
  )
)</f>
        <v>958.41273410553231</v>
      </c>
      <c r="S10" s="32">
        <f t="array" ref="S10">IF(COLUMN() - ($E10 + 5) &lt; 0, 0,
  IF(COLUMN() - ($E10 + 5) = 0, $F10,
    R10 * (1 - IFERROR(INDEX('Inputs &amp; Assuptions'!$D$13:$D$72, COLUMN() - ($E10 + 5)), 0))
  )
)</f>
        <v>957.45432137142677</v>
      </c>
      <c r="T10" s="32">
        <f t="array" ref="T10">IF(COLUMN() - ($E10 + 5) &lt; 0, 0,
  IF(COLUMN() - ($E10 + 5) = 0, $F10,
    S10 * (1 - IFERROR(INDEX('Inputs &amp; Assuptions'!$D$13:$D$72, COLUMN() - ($E10 + 5)), 0))
  )
)</f>
        <v>956.68835791432957</v>
      </c>
      <c r="U10" s="32">
        <f t="array" ref="U10">IF(COLUMN() - ($E10 + 5) &lt; 0, 0,
  IF(COLUMN() - ($E10 + 5) = 0, $F10,
    T10 * (1 - IFERROR(INDEX('Inputs &amp; Assuptions'!$D$13:$D$72, COLUMN() - ($E10 + 5)), 0))
  )
)</f>
        <v>956.21001373537251</v>
      </c>
      <c r="V10" s="32">
        <f t="array" ref="V10">IF(COLUMN() - ($E10 + 5) &lt; 0, 0,
  IF(COLUMN() - ($E10 + 5) = 0, $F10,
    U10 * (1 - IFERROR(INDEX('Inputs &amp; Assuptions'!$D$13:$D$72, COLUMN() - ($E10 + 5)), 0))
  )
)</f>
        <v>955.73190872850489</v>
      </c>
      <c r="W10" s="32">
        <f t="array" ref="W10">IF(COLUMN() - ($E10 + 5) &lt; 0, 0,
  IF(COLUMN() - ($E10 + 5) = 0, $F10,
    V10 * (1 - IFERROR(INDEX('Inputs &amp; Assuptions'!$D$13:$D$72, COLUMN() - ($E10 + 5)), 0))
  )
)</f>
        <v>955.25404277414066</v>
      </c>
      <c r="X10" s="32">
        <f t="array" ref="X10">IF(COLUMN() - ($E10 + 5) &lt; 0, 0,
  IF(COLUMN() - ($E10 + 5) = 0, $F10,
    W10 * (1 - IFERROR(INDEX('Inputs &amp; Assuptions'!$D$13:$D$72, COLUMN() - ($E10 + 5)), 0))
  )
)</f>
        <v>954.77641575275368</v>
      </c>
      <c r="Y10" s="32">
        <f t="array" ref="Y10">IF(COLUMN() - ($E10 + 5) &lt; 0, 0,
  IF(COLUMN() - ($E10 + 5) = 0, $F10,
    X10 * (1 - IFERROR(INDEX('Inputs &amp; Assuptions'!$D$13:$D$72, COLUMN() - ($E10 + 5)), 0))
  )
)</f>
        <v>954.29902754487739</v>
      </c>
      <c r="Z10" s="32">
        <f t="array" ref="Z10">IF(COLUMN() - ($E10 + 5) &lt; 0, 0,
  IF(COLUMN() - ($E10 + 5) = 0, $F10,
    Y10 * (1 - IFERROR(INDEX('Inputs &amp; Assuptions'!$D$13:$D$72, COLUMN() - ($E10 + 5)), 0))
  )
)</f>
        <v>953.82187803110503</v>
      </c>
      <c r="AA10" s="32">
        <f t="array" ref="AA10">IF(COLUMN() - ($E10 + 5) &lt; 0, 0,
  IF(COLUMN() - ($E10 + 5) = 0, $F10,
    Z10 * (1 - IFERROR(INDEX('Inputs &amp; Assuptions'!$D$13:$D$72, COLUMN() - ($E10 + 5)), 0))
  )
)</f>
        <v>953.34496709208952</v>
      </c>
      <c r="AB10" s="32">
        <f t="array" ref="AB10">IF(COLUMN() - ($E10 + 5) &lt; 0, 0,
  IF(COLUMN() - ($E10 + 5) = 0, $F10,
    AA10 * (1 - IFERROR(INDEX('Inputs &amp; Assuptions'!$D$13:$D$72, COLUMN() - ($E10 + 5)), 0))
  )
)</f>
        <v>952.86829460854358</v>
      </c>
      <c r="AC10" s="32">
        <f t="array" ref="AC10">IF(COLUMN() - ($E10 + 5) &lt; 0, 0,
  IF(COLUMN() - ($E10 + 5) = 0, $F10,
    AB10 * (1 - IFERROR(INDEX('Inputs &amp; Assuptions'!$D$13:$D$72, COLUMN() - ($E10 + 5)), 0))
  )
)</f>
        <v>952.39186046123939</v>
      </c>
      <c r="AD10" s="32">
        <f t="array" ref="AD10">IF(COLUMN() - ($E10 + 5) &lt; 0, 0,
  IF(COLUMN() - ($E10 + 5) = 0, $F10,
    AC10 * (1 - IFERROR(INDEX('Inputs &amp; Assuptions'!$D$13:$D$72, COLUMN() - ($E10 + 5)), 0))
  )
)</f>
        <v>951.91566453100882</v>
      </c>
      <c r="AE10" s="32">
        <f t="array" ref="AE10">IF(COLUMN() - ($E10 + 5) &lt; 0, 0,
  IF(COLUMN() - ($E10 + 5) = 0, $F10,
    AD10 * (1 - IFERROR(INDEX('Inputs &amp; Assuptions'!$D$13:$D$72, COLUMN() - ($E10 + 5)), 0))
  )
)</f>
        <v>951.43970669874341</v>
      </c>
      <c r="AF10" s="32">
        <f t="array" ref="AF10">IF(COLUMN() - ($E10 + 5) &lt; 0, 0,
  IF(COLUMN() - ($E10 + 5) = 0, $F10,
    AE10 * (1 - IFERROR(INDEX('Inputs &amp; Assuptions'!$D$13:$D$72, COLUMN() - ($E10 + 5)), 0))
  )
)</f>
        <v>950.96398684539406</v>
      </c>
      <c r="AG10" s="32">
        <f t="array" ref="AG10">IF(COLUMN() - ($E10 + 5) &lt; 0, 0,
  IF(COLUMN() - ($E10 + 5) = 0, $F10,
    AF10 * (1 - IFERROR(INDEX('Inputs &amp; Assuptions'!$D$13:$D$72, COLUMN() - ($E10 + 5)), 0))
  )
)</f>
        <v>950.48850485197147</v>
      </c>
      <c r="AH10" s="32">
        <f t="array" ref="AH10">IF(COLUMN() - ($E10 + 5) &lt; 0, 0,
  IF(COLUMN() - ($E10 + 5) = 0, $F10,
    AG10 * (1 - IFERROR(INDEX('Inputs &amp; Assuptions'!$D$13:$D$72, COLUMN() - ($E10 + 5)), 0))
  )
)</f>
        <v>950.01326059954556</v>
      </c>
      <c r="AI10" s="32">
        <f t="array" ref="AI10">IF(COLUMN() - ($E10 + 5) &lt; 0, 0,
  IF(COLUMN() - ($E10 + 5) = 0, $F10,
    AH10 * (1 - IFERROR(INDEX('Inputs &amp; Assuptions'!$D$13:$D$72, COLUMN() - ($E10 + 5)), 0))
  )
)</f>
        <v>949.53825396924583</v>
      </c>
      <c r="AJ10" s="32">
        <f t="array" ref="AJ10">IF(COLUMN() - ($E10 + 5) &lt; 0, 0,
  IF(COLUMN() - ($E10 + 5) = 0, $F10,
    AI10 * (1 - IFERROR(INDEX('Inputs &amp; Assuptions'!$D$13:$D$72, COLUMN() - ($E10 + 5)), 0))
  )
)</f>
        <v>949.06348484226123</v>
      </c>
      <c r="AK10" s="32">
        <f t="array" ref="AK10">IF(COLUMN() - ($E10 + 5) &lt; 0, 0,
  IF(COLUMN() - ($E10 + 5) = 0, $F10,
    AJ10 * (1 - IFERROR(INDEX('Inputs &amp; Assuptions'!$D$13:$D$72, COLUMN() - ($E10 + 5)), 0))
  )
)</f>
        <v>948.58895309984018</v>
      </c>
      <c r="AL10" s="32">
        <f t="array" ref="AL10">IF(COLUMN() - ($E10 + 5) &lt; 0, 0,
  IF(COLUMN() - ($E10 + 5) = 0, $F10,
    AK10 * (1 - IFERROR(INDEX('Inputs &amp; Assuptions'!$D$13:$D$72, COLUMN() - ($E10 + 5)), 0))
  )
)</f>
        <v>948.11465862329032</v>
      </c>
      <c r="AM10" s="32">
        <f t="array" ref="AM10">IF(COLUMN() - ($E10 + 5) &lt; 0, 0,
  IF(COLUMN() - ($E10 + 5) = 0, $F10,
    AL10 * (1 - IFERROR(INDEX('Inputs &amp; Assuptions'!$D$13:$D$72, COLUMN() - ($E10 + 5)), 0))
  )
)</f>
        <v>947.64060129397876</v>
      </c>
      <c r="AN10" s="32">
        <f t="array" ref="AN10">IF(COLUMN() - ($E10 + 5) &lt; 0, 0,
  IF(COLUMN() - ($E10 + 5) = 0, $F10,
    AM10 * (1 - IFERROR(INDEX('Inputs &amp; Assuptions'!$D$13:$D$72, COLUMN() - ($E10 + 5)), 0))
  )
)</f>
        <v>947.16678099333183</v>
      </c>
      <c r="AO10" s="32">
        <f t="array" ref="AO10">IF(COLUMN() - ($E10 + 5) &lt; 0, 0,
  IF(COLUMN() - ($E10 + 5) = 0, $F10,
    AN10 * (1 - IFERROR(INDEX('Inputs &amp; Assuptions'!$D$13:$D$72, COLUMN() - ($E10 + 5)), 0))
  )
)</f>
        <v>946.6931976028352</v>
      </c>
      <c r="AP10" s="32">
        <f t="array" ref="AP10">IF(COLUMN() - ($E10 + 5) &lt; 0, 0,
  IF(COLUMN() - ($E10 + 5) = 0, $F10,
    AO10 * (1 - IFERROR(INDEX('Inputs &amp; Assuptions'!$D$13:$D$72, COLUMN() - ($E10 + 5)), 0))
  )
)</f>
        <v>946.21985100403379</v>
      </c>
      <c r="AQ10" s="32">
        <f t="array" ref="AQ10">IF(COLUMN() - ($E10 + 5) &lt; 0, 0,
  IF(COLUMN() - ($E10 + 5) = 0, $F10,
    AP10 * (1 - IFERROR(INDEX('Inputs &amp; Assuptions'!$D$13:$D$72, COLUMN() - ($E10 + 5)), 0))
  )
)</f>
        <v>945.74674107853184</v>
      </c>
      <c r="AR10" s="32">
        <f t="array" ref="AR10">IF(COLUMN() - ($E10 + 5) &lt; 0, 0,
  IF(COLUMN() - ($E10 + 5) = 0, $F10,
    AQ10 * (1 - IFERROR(INDEX('Inputs &amp; Assuptions'!$D$13:$D$72, COLUMN() - ($E10 + 5)), 0))
  )
)</f>
        <v>945.27386770799262</v>
      </c>
      <c r="AS10" s="32">
        <f t="array" ref="AS10">IF(COLUMN() - ($E10 + 5) &lt; 0, 0,
  IF(COLUMN() - ($E10 + 5) = 0, $F10,
    AR10 * (1 - IFERROR(INDEX('Inputs &amp; Assuptions'!$D$13:$D$72, COLUMN() - ($E10 + 5)), 0))
  )
)</f>
        <v>944.80123077413873</v>
      </c>
      <c r="AT10" s="32">
        <f t="array" ref="AT10">IF(COLUMN() - ($E10 + 5) &lt; 0, 0,
  IF(COLUMN() - ($E10 + 5) = 0, $F10,
    AS10 * (1 - IFERROR(INDEX('Inputs &amp; Assuptions'!$D$13:$D$72, COLUMN() - ($E10 + 5)), 0))
  )
)</f>
        <v>944.32883015875166</v>
      </c>
      <c r="AU10" s="32">
        <f t="array" ref="AU10">IF(COLUMN() - ($E10 + 5) &lt; 0, 0,
  IF(COLUMN() - ($E10 + 5) = 0, $F10,
    AT10 * (1 - IFERROR(INDEX('Inputs &amp; Assuptions'!$D$13:$D$72, COLUMN() - ($E10 + 5)), 0))
  )
)</f>
        <v>943.85666574367235</v>
      </c>
      <c r="AV10" s="32">
        <f t="array" ref="AV10">IF(COLUMN() - ($E10 + 5) &lt; 0, 0,
  IF(COLUMN() - ($E10 + 5) = 0, $F10,
    AU10 * (1 - IFERROR(INDEX('Inputs &amp; Assuptions'!$D$13:$D$72, COLUMN() - ($E10 + 5)), 0))
  )
)</f>
        <v>943.38473741080054</v>
      </c>
      <c r="AW10" s="32">
        <f t="array" ref="AW10">IF(COLUMN() - ($E10 + 5) &lt; 0, 0,
  IF(COLUMN() - ($E10 + 5) = 0, $F10,
    AV10 * (1 - IFERROR(INDEX('Inputs &amp; Assuptions'!$D$13:$D$72, COLUMN() - ($E10 + 5)), 0))
  )
)</f>
        <v>942.91304504209518</v>
      </c>
      <c r="AX10" s="32">
        <f t="array" ref="AX10">IF(COLUMN() - ($E10 + 5) &lt; 0, 0,
  IF(COLUMN() - ($E10 + 5) = 0, $F10,
    AW10 * (1 - IFERROR(INDEX('Inputs &amp; Assuptions'!$D$13:$D$72, COLUMN() - ($E10 + 5)), 0))
  )
)</f>
        <v>942.44158851957422</v>
      </c>
      <c r="AY10" s="32">
        <f t="array" ref="AY10">IF(COLUMN() - ($E10 + 5) &lt; 0, 0,
  IF(COLUMN() - ($E10 + 5) = 0, $F10,
    AX10 * (1 - IFERROR(INDEX('Inputs &amp; Assuptions'!$D$13:$D$72, COLUMN() - ($E10 + 5)), 0))
  )
)</f>
        <v>941.97036772531453</v>
      </c>
      <c r="AZ10" s="32">
        <f t="array" ref="AZ10">IF(COLUMN() - ($E10 + 5) &lt; 0, 0,
  IF(COLUMN() - ($E10 + 5) = 0, $F10,
    AY10 * (1 - IFERROR(INDEX('Inputs &amp; Assuptions'!$D$13:$D$72, COLUMN() - ($E10 + 5)), 0))
  )
)</f>
        <v>941.49938254145195</v>
      </c>
      <c r="BA10" s="32">
        <f t="array" ref="BA10">IF(COLUMN() - ($E10 + 5) &lt; 0, 0,
  IF(COLUMN() - ($E10 + 5) = 0, $F10,
    AZ10 * (1 - IFERROR(INDEX('Inputs &amp; Assuptions'!$D$13:$D$72, COLUMN() - ($E10 + 5)), 0))
  )
)</f>
        <v>941.02863285018122</v>
      </c>
      <c r="BB10" s="32">
        <f t="array" ref="BB10">IF(COLUMN() - ($E10 + 5) &lt; 0, 0,
  IF(COLUMN() - ($E10 + 5) = 0, $F10,
    BA10 * (1 - IFERROR(INDEX('Inputs &amp; Assuptions'!$D$13:$D$72, COLUMN() - ($E10 + 5)), 0))
  )
)</f>
        <v>940.55811853375621</v>
      </c>
      <c r="BC10" s="32">
        <f t="array" ref="BC10">IF(COLUMN() - ($E10 + 5) &lt; 0, 0,
  IF(COLUMN() - ($E10 + 5) = 0, $F10,
    BB10 * (1 - IFERROR(INDEX('Inputs &amp; Assuptions'!$D$13:$D$72, COLUMN() - ($E10 + 5)), 0))
  )
)</f>
        <v>940.08783947448944</v>
      </c>
      <c r="BD10" s="32">
        <f t="array" ref="BD10">IF(COLUMN() - ($E10 + 5) &lt; 0, 0,
  IF(COLUMN() - ($E10 + 5) = 0, $F10,
    BC10 * (1 - IFERROR(INDEX('Inputs &amp; Assuptions'!$D$13:$D$72, COLUMN() - ($E10 + 5)), 0))
  )
)</f>
        <v>939.61779555475221</v>
      </c>
      <c r="BE10" s="32">
        <f t="array" ref="BE10">IF(COLUMN() - ($E10 + 5) &lt; 0, 0,
  IF(COLUMN() - ($E10 + 5) = 0, $F10,
    BD10 * (1 - IFERROR(INDEX('Inputs &amp; Assuptions'!$D$13:$D$72, COLUMN() - ($E10 + 5)), 0))
  )
)</f>
        <v>939.14798665697492</v>
      </c>
      <c r="BF10" s="32">
        <f t="array" ref="BF10">IF(COLUMN() - ($E10 + 5) &lt; 0, 0,
  IF(COLUMN() - ($E10 + 5) = 0, $F10,
    BE10 * (1 - IFERROR(INDEX('Inputs &amp; Assuptions'!$D$13:$D$72, COLUMN() - ($E10 + 5)), 0))
  )
)</f>
        <v>938.67841266364644</v>
      </c>
      <c r="BG10" s="32">
        <f t="array" ref="BG10">IF(COLUMN() - ($E10 + 5) &lt; 0, 0,
  IF(COLUMN() - ($E10 + 5) = 0, $F10,
    BF10 * (1 - IFERROR(INDEX('Inputs &amp; Assuptions'!$D$13:$D$72, COLUMN() - ($E10 + 5)), 0))
  )
)</f>
        <v>938.20907345731462</v>
      </c>
      <c r="BH10" s="32">
        <f t="array" ref="BH10">IF(COLUMN() - ($E10 + 5) &lt; 0, 0,
  IF(COLUMN() - ($E10 + 5) = 0, $F10,
    BG10 * (1 - IFERROR(INDEX('Inputs &amp; Assuptions'!$D$13:$D$72, COLUMN() - ($E10 + 5)), 0))
  )
)</f>
        <v>937.73996892058597</v>
      </c>
      <c r="BI10" s="32">
        <f t="array" ref="BI10">IF(COLUMN() - ($E10 + 5) &lt; 0, 0,
  IF(COLUMN() - ($E10 + 5) = 0, $F10,
    BH10 * (1 - IFERROR(INDEX('Inputs &amp; Assuptions'!$D$13:$D$72, COLUMN() - ($E10 + 5)), 0))
  )
)</f>
        <v>937.27109893612567</v>
      </c>
      <c r="BJ10" s="32">
        <f t="array" ref="BJ10">IF(COLUMN() - ($E10 + 5) &lt; 0, 0,
  IF(COLUMN() - ($E10 + 5) = 0, $F10,
    BI10 * (1 - IFERROR(INDEX('Inputs &amp; Assuptions'!$D$13:$D$72, COLUMN() - ($E10 + 5)), 0))
  )
)</f>
        <v>936.80246338665768</v>
      </c>
      <c r="BK10" s="32">
        <f t="array" ref="BK10">IF(COLUMN() - ($E10 + 5) &lt; 0, 0,
  IF(COLUMN() - ($E10 + 5) = 0, $F10,
    BJ10 * (1 - IFERROR(INDEX('Inputs &amp; Assuptions'!$D$13:$D$72, COLUMN() - ($E10 + 5)), 0))
  )
)</f>
        <v>936.33406215496439</v>
      </c>
      <c r="BL10" s="32">
        <f t="array" ref="BL10">IF(COLUMN() - ($E10 + 5) &lt; 0, 0,
  IF(COLUMN() - ($E10 + 5) = 0, $F10,
    BK10 * (1 - IFERROR(INDEX('Inputs &amp; Assuptions'!$D$13:$D$72, COLUMN() - ($E10 + 5)), 0))
  )
)</f>
        <v>935.86589512388696</v>
      </c>
      <c r="BM10" s="66">
        <f t="array" ref="BM10">IF(COLUMN() - ($E10 + 5) &lt; 0, 0,
  IF(COLUMN() - ($E10 + 5) = 0, $F10,
    BL10 * (1 - IFERROR(INDEX('Inputs &amp; Assuptions'!$D$13:$D$72, COLUMN() - ($E10 + 5)), 0))
  )
)</f>
        <v>935.39796217632511</v>
      </c>
      <c r="BN10" s="33"/>
    </row>
    <row r="11" spans="1:67" x14ac:dyDescent="0.3">
      <c r="A11" s="71">
        <f t="shared" si="2"/>
        <v>6</v>
      </c>
      <c r="B11" s="75">
        <f t="shared" si="4"/>
        <v>1000</v>
      </c>
      <c r="C11" s="76">
        <f>$B11*(1-'Inputs &amp; Assuptions'!$D$12)</f>
        <v>978</v>
      </c>
      <c r="E11" s="71">
        <f t="shared" si="3"/>
        <v>6</v>
      </c>
      <c r="F11" s="65"/>
      <c r="G11" s="32"/>
      <c r="H11" s="32"/>
      <c r="I11" s="32"/>
      <c r="J11" s="32"/>
      <c r="K11" s="32">
        <f>$C11</f>
        <v>978</v>
      </c>
      <c r="L11" s="32">
        <f t="array" ref="L11">IF(COLUMN() - ($E11 + 5) &lt; 0, 0,
  IF(COLUMN() - ($E11 + 5) = 0, $F11,
    K11 * (1 - IFERROR(INDEX('Inputs &amp; Assuptions'!$D$13:$D$72, COLUMN() - ($E11 + 5)), 0))
  )
)</f>
        <v>973.11</v>
      </c>
      <c r="M11" s="32">
        <f t="array" ref="M11">IF(COLUMN() - ($E11 + 5) &lt; 0, 0,
  IF(COLUMN() - ($E11 + 5) = 0, $F11,
    L11 * (1 - IFERROR(INDEX('Inputs &amp; Assuptions'!$D$13:$D$72, COLUMN() - ($E11 + 5)), 0))
  )
)</f>
        <v>969.41218200000003</v>
      </c>
      <c r="N11" s="32">
        <f t="array" ref="N11">IF(COLUMN() - ($E11 + 5) &lt; 0, 0,
  IF(COLUMN() - ($E11 + 5) = 0, $F11,
    M11 * (1 - IFERROR(INDEX('Inputs &amp; Assuptions'!$D$13:$D$72, COLUMN() - ($E11 + 5)), 0))
  )
)</f>
        <v>966.98865154500004</v>
      </c>
      <c r="O11" s="32">
        <f t="array" ref="O11">IF(COLUMN() - ($E11 + 5) &lt; 0, 0,
  IF(COLUMN() - ($E11 + 5) = 0, $F11,
    N11 * (1 - IFERROR(INDEX('Inputs &amp; Assuptions'!$D$13:$D$72, COLUMN() - ($E11 + 5)), 0))
  )
)</f>
        <v>964.76457764644658</v>
      </c>
      <c r="P11" s="32">
        <f t="array" ref="P11">IF(COLUMN() - ($E11 + 5) &lt; 0, 0,
  IF(COLUMN() - ($E11 + 5) = 0, $F11,
    O11 * (1 - IFERROR(INDEX('Inputs &amp; Assuptions'!$D$13:$D$72, COLUMN() - ($E11 + 5)), 0))
  )
)</f>
        <v>962.83504849115366</v>
      </c>
      <c r="Q11" s="32">
        <f t="array" ref="Q11">IF(COLUMN() - ($E11 + 5) &lt; 0, 0,
  IF(COLUMN() - ($E11 + 5) = 0, $F11,
    P11 * (1 - IFERROR(INDEX('Inputs &amp; Assuptions'!$D$13:$D$72, COLUMN() - ($E11 + 5)), 0))
  )
)</f>
        <v>961.10194540386954</v>
      </c>
      <c r="R11" s="32">
        <f t="array" ref="R11">IF(COLUMN() - ($E11 + 5) &lt; 0, 0,
  IF(COLUMN() - ($E11 + 5) = 0, $F11,
    Q11 * (1 - IFERROR(INDEX('Inputs &amp; Assuptions'!$D$13:$D$72, COLUMN() - ($E11 + 5)), 0))
  )
)</f>
        <v>959.66029248576376</v>
      </c>
      <c r="S11" s="32">
        <f t="array" ref="S11">IF(COLUMN() - ($E11 + 5) &lt; 0, 0,
  IF(COLUMN() - ($E11 + 5) = 0, $F11,
    R11 * (1 - IFERROR(INDEX('Inputs &amp; Assuptions'!$D$13:$D$72, COLUMN() - ($E11 + 5)), 0))
  )
)</f>
        <v>958.41273410553231</v>
      </c>
      <c r="T11" s="32">
        <f t="array" ref="T11">IF(COLUMN() - ($E11 + 5) &lt; 0, 0,
  IF(COLUMN() - ($E11 + 5) = 0, $F11,
    S11 * (1 - IFERROR(INDEX('Inputs &amp; Assuptions'!$D$13:$D$72, COLUMN() - ($E11 + 5)), 0))
  )
)</f>
        <v>957.45432137142677</v>
      </c>
      <c r="U11" s="32">
        <f t="array" ref="U11">IF(COLUMN() - ($E11 + 5) &lt; 0, 0,
  IF(COLUMN() - ($E11 + 5) = 0, $F11,
    T11 * (1 - IFERROR(INDEX('Inputs &amp; Assuptions'!$D$13:$D$72, COLUMN() - ($E11 + 5)), 0))
  )
)</f>
        <v>956.68835791432957</v>
      </c>
      <c r="V11" s="32">
        <f t="array" ref="V11">IF(COLUMN() - ($E11 + 5) &lt; 0, 0,
  IF(COLUMN() - ($E11 + 5) = 0, $F11,
    U11 * (1 - IFERROR(INDEX('Inputs &amp; Assuptions'!$D$13:$D$72, COLUMN() - ($E11 + 5)), 0))
  )
)</f>
        <v>956.21001373537251</v>
      </c>
      <c r="W11" s="32">
        <f t="array" ref="W11">IF(COLUMN() - ($E11 + 5) &lt; 0, 0,
  IF(COLUMN() - ($E11 + 5) = 0, $F11,
    V11 * (1 - IFERROR(INDEX('Inputs &amp; Assuptions'!$D$13:$D$72, COLUMN() - ($E11 + 5)), 0))
  )
)</f>
        <v>955.73190872850489</v>
      </c>
      <c r="X11" s="32">
        <f t="array" ref="X11">IF(COLUMN() - ($E11 + 5) &lt; 0, 0,
  IF(COLUMN() - ($E11 + 5) = 0, $F11,
    W11 * (1 - IFERROR(INDEX('Inputs &amp; Assuptions'!$D$13:$D$72, COLUMN() - ($E11 + 5)), 0))
  )
)</f>
        <v>955.25404277414066</v>
      </c>
      <c r="Y11" s="32">
        <f t="array" ref="Y11">IF(COLUMN() - ($E11 + 5) &lt; 0, 0,
  IF(COLUMN() - ($E11 + 5) = 0, $F11,
    X11 * (1 - IFERROR(INDEX('Inputs &amp; Assuptions'!$D$13:$D$72, COLUMN() - ($E11 + 5)), 0))
  )
)</f>
        <v>954.77641575275368</v>
      </c>
      <c r="Z11" s="32">
        <f t="array" ref="Z11">IF(COLUMN() - ($E11 + 5) &lt; 0, 0,
  IF(COLUMN() - ($E11 + 5) = 0, $F11,
    Y11 * (1 - IFERROR(INDEX('Inputs &amp; Assuptions'!$D$13:$D$72, COLUMN() - ($E11 + 5)), 0))
  )
)</f>
        <v>954.29902754487739</v>
      </c>
      <c r="AA11" s="32">
        <f t="array" ref="AA11">IF(COLUMN() - ($E11 + 5) &lt; 0, 0,
  IF(COLUMN() - ($E11 + 5) = 0, $F11,
    Z11 * (1 - IFERROR(INDEX('Inputs &amp; Assuptions'!$D$13:$D$72, COLUMN() - ($E11 + 5)), 0))
  )
)</f>
        <v>953.82187803110503</v>
      </c>
      <c r="AB11" s="32">
        <f t="array" ref="AB11">IF(COLUMN() - ($E11 + 5) &lt; 0, 0,
  IF(COLUMN() - ($E11 + 5) = 0, $F11,
    AA11 * (1 - IFERROR(INDEX('Inputs &amp; Assuptions'!$D$13:$D$72, COLUMN() - ($E11 + 5)), 0))
  )
)</f>
        <v>953.34496709208952</v>
      </c>
      <c r="AC11" s="32">
        <f t="array" ref="AC11">IF(COLUMN() - ($E11 + 5) &lt; 0, 0,
  IF(COLUMN() - ($E11 + 5) = 0, $F11,
    AB11 * (1 - IFERROR(INDEX('Inputs &amp; Assuptions'!$D$13:$D$72, COLUMN() - ($E11 + 5)), 0))
  )
)</f>
        <v>952.86829460854358</v>
      </c>
      <c r="AD11" s="32">
        <f t="array" ref="AD11">IF(COLUMN() - ($E11 + 5) &lt; 0, 0,
  IF(COLUMN() - ($E11 + 5) = 0, $F11,
    AC11 * (1 - IFERROR(INDEX('Inputs &amp; Assuptions'!$D$13:$D$72, COLUMN() - ($E11 + 5)), 0))
  )
)</f>
        <v>952.39186046123939</v>
      </c>
      <c r="AE11" s="32">
        <f t="array" ref="AE11">IF(COLUMN() - ($E11 + 5) &lt; 0, 0,
  IF(COLUMN() - ($E11 + 5) = 0, $F11,
    AD11 * (1 - IFERROR(INDEX('Inputs &amp; Assuptions'!$D$13:$D$72, COLUMN() - ($E11 + 5)), 0))
  )
)</f>
        <v>951.91566453100882</v>
      </c>
      <c r="AF11" s="32">
        <f t="array" ref="AF11">IF(COLUMN() - ($E11 + 5) &lt; 0, 0,
  IF(COLUMN() - ($E11 + 5) = 0, $F11,
    AE11 * (1 - IFERROR(INDEX('Inputs &amp; Assuptions'!$D$13:$D$72, COLUMN() - ($E11 + 5)), 0))
  )
)</f>
        <v>951.43970669874341</v>
      </c>
      <c r="AG11" s="32">
        <f t="array" ref="AG11">IF(COLUMN() - ($E11 + 5) &lt; 0, 0,
  IF(COLUMN() - ($E11 + 5) = 0, $F11,
    AF11 * (1 - IFERROR(INDEX('Inputs &amp; Assuptions'!$D$13:$D$72, COLUMN() - ($E11 + 5)), 0))
  )
)</f>
        <v>950.96398684539406</v>
      </c>
      <c r="AH11" s="32">
        <f t="array" ref="AH11">IF(COLUMN() - ($E11 + 5) &lt; 0, 0,
  IF(COLUMN() - ($E11 + 5) = 0, $F11,
    AG11 * (1 - IFERROR(INDEX('Inputs &amp; Assuptions'!$D$13:$D$72, COLUMN() - ($E11 + 5)), 0))
  )
)</f>
        <v>950.48850485197147</v>
      </c>
      <c r="AI11" s="32">
        <f t="array" ref="AI11">IF(COLUMN() - ($E11 + 5) &lt; 0, 0,
  IF(COLUMN() - ($E11 + 5) = 0, $F11,
    AH11 * (1 - IFERROR(INDEX('Inputs &amp; Assuptions'!$D$13:$D$72, COLUMN() - ($E11 + 5)), 0))
  )
)</f>
        <v>950.01326059954556</v>
      </c>
      <c r="AJ11" s="32">
        <f t="array" ref="AJ11">IF(COLUMN() - ($E11 + 5) &lt; 0, 0,
  IF(COLUMN() - ($E11 + 5) = 0, $F11,
    AI11 * (1 - IFERROR(INDEX('Inputs &amp; Assuptions'!$D$13:$D$72, COLUMN() - ($E11 + 5)), 0))
  )
)</f>
        <v>949.53825396924583</v>
      </c>
      <c r="AK11" s="32">
        <f t="array" ref="AK11">IF(COLUMN() - ($E11 + 5) &lt; 0, 0,
  IF(COLUMN() - ($E11 + 5) = 0, $F11,
    AJ11 * (1 - IFERROR(INDEX('Inputs &amp; Assuptions'!$D$13:$D$72, COLUMN() - ($E11 + 5)), 0))
  )
)</f>
        <v>949.06348484226123</v>
      </c>
      <c r="AL11" s="32">
        <f t="array" ref="AL11">IF(COLUMN() - ($E11 + 5) &lt; 0, 0,
  IF(COLUMN() - ($E11 + 5) = 0, $F11,
    AK11 * (1 - IFERROR(INDEX('Inputs &amp; Assuptions'!$D$13:$D$72, COLUMN() - ($E11 + 5)), 0))
  )
)</f>
        <v>948.58895309984018</v>
      </c>
      <c r="AM11" s="32">
        <f t="array" ref="AM11">IF(COLUMN() - ($E11 + 5) &lt; 0, 0,
  IF(COLUMN() - ($E11 + 5) = 0, $F11,
    AL11 * (1 - IFERROR(INDEX('Inputs &amp; Assuptions'!$D$13:$D$72, COLUMN() - ($E11 + 5)), 0))
  )
)</f>
        <v>948.11465862329032</v>
      </c>
      <c r="AN11" s="32">
        <f t="array" ref="AN11">IF(COLUMN() - ($E11 + 5) &lt; 0, 0,
  IF(COLUMN() - ($E11 + 5) = 0, $F11,
    AM11 * (1 - IFERROR(INDEX('Inputs &amp; Assuptions'!$D$13:$D$72, COLUMN() - ($E11 + 5)), 0))
  )
)</f>
        <v>947.64060129397876</v>
      </c>
      <c r="AO11" s="32">
        <f t="array" ref="AO11">IF(COLUMN() - ($E11 + 5) &lt; 0, 0,
  IF(COLUMN() - ($E11 + 5) = 0, $F11,
    AN11 * (1 - IFERROR(INDEX('Inputs &amp; Assuptions'!$D$13:$D$72, COLUMN() - ($E11 + 5)), 0))
  )
)</f>
        <v>947.16678099333183</v>
      </c>
      <c r="AP11" s="32">
        <f t="array" ref="AP11">IF(COLUMN() - ($E11 + 5) &lt; 0, 0,
  IF(COLUMN() - ($E11 + 5) = 0, $F11,
    AO11 * (1 - IFERROR(INDEX('Inputs &amp; Assuptions'!$D$13:$D$72, COLUMN() - ($E11 + 5)), 0))
  )
)</f>
        <v>946.6931976028352</v>
      </c>
      <c r="AQ11" s="32">
        <f t="array" ref="AQ11">IF(COLUMN() - ($E11 + 5) &lt; 0, 0,
  IF(COLUMN() - ($E11 + 5) = 0, $F11,
    AP11 * (1 - IFERROR(INDEX('Inputs &amp; Assuptions'!$D$13:$D$72, COLUMN() - ($E11 + 5)), 0))
  )
)</f>
        <v>946.21985100403379</v>
      </c>
      <c r="AR11" s="32">
        <f t="array" ref="AR11">IF(COLUMN() - ($E11 + 5) &lt; 0, 0,
  IF(COLUMN() - ($E11 + 5) = 0, $F11,
    AQ11 * (1 - IFERROR(INDEX('Inputs &amp; Assuptions'!$D$13:$D$72, COLUMN() - ($E11 + 5)), 0))
  )
)</f>
        <v>945.74674107853184</v>
      </c>
      <c r="AS11" s="32">
        <f t="array" ref="AS11">IF(COLUMN() - ($E11 + 5) &lt; 0, 0,
  IF(COLUMN() - ($E11 + 5) = 0, $F11,
    AR11 * (1 - IFERROR(INDEX('Inputs &amp; Assuptions'!$D$13:$D$72, COLUMN() - ($E11 + 5)), 0))
  )
)</f>
        <v>945.27386770799262</v>
      </c>
      <c r="AT11" s="32">
        <f t="array" ref="AT11">IF(COLUMN() - ($E11 + 5) &lt; 0, 0,
  IF(COLUMN() - ($E11 + 5) = 0, $F11,
    AS11 * (1 - IFERROR(INDEX('Inputs &amp; Assuptions'!$D$13:$D$72, COLUMN() - ($E11 + 5)), 0))
  )
)</f>
        <v>944.80123077413873</v>
      </c>
      <c r="AU11" s="32">
        <f t="array" ref="AU11">IF(COLUMN() - ($E11 + 5) &lt; 0, 0,
  IF(COLUMN() - ($E11 + 5) = 0, $F11,
    AT11 * (1 - IFERROR(INDEX('Inputs &amp; Assuptions'!$D$13:$D$72, COLUMN() - ($E11 + 5)), 0))
  )
)</f>
        <v>944.32883015875166</v>
      </c>
      <c r="AV11" s="32">
        <f t="array" ref="AV11">IF(COLUMN() - ($E11 + 5) &lt; 0, 0,
  IF(COLUMN() - ($E11 + 5) = 0, $F11,
    AU11 * (1 - IFERROR(INDEX('Inputs &amp; Assuptions'!$D$13:$D$72, COLUMN() - ($E11 + 5)), 0))
  )
)</f>
        <v>943.85666574367235</v>
      </c>
      <c r="AW11" s="32">
        <f t="array" ref="AW11">IF(COLUMN() - ($E11 + 5) &lt; 0, 0,
  IF(COLUMN() - ($E11 + 5) = 0, $F11,
    AV11 * (1 - IFERROR(INDEX('Inputs &amp; Assuptions'!$D$13:$D$72, COLUMN() - ($E11 + 5)), 0))
  )
)</f>
        <v>943.38473741080054</v>
      </c>
      <c r="AX11" s="32">
        <f t="array" ref="AX11">IF(COLUMN() - ($E11 + 5) &lt; 0, 0,
  IF(COLUMN() - ($E11 + 5) = 0, $F11,
    AW11 * (1 - IFERROR(INDEX('Inputs &amp; Assuptions'!$D$13:$D$72, COLUMN() - ($E11 + 5)), 0))
  )
)</f>
        <v>942.91304504209518</v>
      </c>
      <c r="AY11" s="32">
        <f t="array" ref="AY11">IF(COLUMN() - ($E11 + 5) &lt; 0, 0,
  IF(COLUMN() - ($E11 + 5) = 0, $F11,
    AX11 * (1 - IFERROR(INDEX('Inputs &amp; Assuptions'!$D$13:$D$72, COLUMN() - ($E11 + 5)), 0))
  )
)</f>
        <v>942.44158851957422</v>
      </c>
      <c r="AZ11" s="32">
        <f t="array" ref="AZ11">IF(COLUMN() - ($E11 + 5) &lt; 0, 0,
  IF(COLUMN() - ($E11 + 5) = 0, $F11,
    AY11 * (1 - IFERROR(INDEX('Inputs &amp; Assuptions'!$D$13:$D$72, COLUMN() - ($E11 + 5)), 0))
  )
)</f>
        <v>941.97036772531453</v>
      </c>
      <c r="BA11" s="32">
        <f t="array" ref="BA11">IF(COLUMN() - ($E11 + 5) &lt; 0, 0,
  IF(COLUMN() - ($E11 + 5) = 0, $F11,
    AZ11 * (1 - IFERROR(INDEX('Inputs &amp; Assuptions'!$D$13:$D$72, COLUMN() - ($E11 + 5)), 0))
  )
)</f>
        <v>941.49938254145195</v>
      </c>
      <c r="BB11" s="32">
        <f t="array" ref="BB11">IF(COLUMN() - ($E11 + 5) &lt; 0, 0,
  IF(COLUMN() - ($E11 + 5) = 0, $F11,
    BA11 * (1 - IFERROR(INDEX('Inputs &amp; Assuptions'!$D$13:$D$72, COLUMN() - ($E11 + 5)), 0))
  )
)</f>
        <v>941.02863285018122</v>
      </c>
      <c r="BC11" s="32">
        <f t="array" ref="BC11">IF(COLUMN() - ($E11 + 5) &lt; 0, 0,
  IF(COLUMN() - ($E11 + 5) = 0, $F11,
    BB11 * (1 - IFERROR(INDEX('Inputs &amp; Assuptions'!$D$13:$D$72, COLUMN() - ($E11 + 5)), 0))
  )
)</f>
        <v>940.55811853375621</v>
      </c>
      <c r="BD11" s="32">
        <f t="array" ref="BD11">IF(COLUMN() - ($E11 + 5) &lt; 0, 0,
  IF(COLUMN() - ($E11 + 5) = 0, $F11,
    BC11 * (1 - IFERROR(INDEX('Inputs &amp; Assuptions'!$D$13:$D$72, COLUMN() - ($E11 + 5)), 0))
  )
)</f>
        <v>940.08783947448944</v>
      </c>
      <c r="BE11" s="32">
        <f t="array" ref="BE11">IF(COLUMN() - ($E11 + 5) &lt; 0, 0,
  IF(COLUMN() - ($E11 + 5) = 0, $F11,
    BD11 * (1 - IFERROR(INDEX('Inputs &amp; Assuptions'!$D$13:$D$72, COLUMN() - ($E11 + 5)), 0))
  )
)</f>
        <v>939.61779555475221</v>
      </c>
      <c r="BF11" s="32">
        <f t="array" ref="BF11">IF(COLUMN() - ($E11 + 5) &lt; 0, 0,
  IF(COLUMN() - ($E11 + 5) = 0, $F11,
    BE11 * (1 - IFERROR(INDEX('Inputs &amp; Assuptions'!$D$13:$D$72, COLUMN() - ($E11 + 5)), 0))
  )
)</f>
        <v>939.14798665697492</v>
      </c>
      <c r="BG11" s="32">
        <f t="array" ref="BG11">IF(COLUMN() - ($E11 + 5) &lt; 0, 0,
  IF(COLUMN() - ($E11 + 5) = 0, $F11,
    BF11 * (1 - IFERROR(INDEX('Inputs &amp; Assuptions'!$D$13:$D$72, COLUMN() - ($E11 + 5)), 0))
  )
)</f>
        <v>938.67841266364644</v>
      </c>
      <c r="BH11" s="32">
        <f t="array" ref="BH11">IF(COLUMN() - ($E11 + 5) &lt; 0, 0,
  IF(COLUMN() - ($E11 + 5) = 0, $F11,
    BG11 * (1 - IFERROR(INDEX('Inputs &amp; Assuptions'!$D$13:$D$72, COLUMN() - ($E11 + 5)), 0))
  )
)</f>
        <v>938.20907345731462</v>
      </c>
      <c r="BI11" s="32">
        <f t="array" ref="BI11">IF(COLUMN() - ($E11 + 5) &lt; 0, 0,
  IF(COLUMN() - ($E11 + 5) = 0, $F11,
    BH11 * (1 - IFERROR(INDEX('Inputs &amp; Assuptions'!$D$13:$D$72, COLUMN() - ($E11 + 5)), 0))
  )
)</f>
        <v>937.73996892058597</v>
      </c>
      <c r="BJ11" s="32">
        <f t="array" ref="BJ11">IF(COLUMN() - ($E11 + 5) &lt; 0, 0,
  IF(COLUMN() - ($E11 + 5) = 0, $F11,
    BI11 * (1 - IFERROR(INDEX('Inputs &amp; Assuptions'!$D$13:$D$72, COLUMN() - ($E11 + 5)), 0))
  )
)</f>
        <v>937.27109893612567</v>
      </c>
      <c r="BK11" s="32">
        <f t="array" ref="BK11">IF(COLUMN() - ($E11 + 5) &lt; 0, 0,
  IF(COLUMN() - ($E11 + 5) = 0, $F11,
    BJ11 * (1 - IFERROR(INDEX('Inputs &amp; Assuptions'!$D$13:$D$72, COLUMN() - ($E11 + 5)), 0))
  )
)</f>
        <v>936.80246338665768</v>
      </c>
      <c r="BL11" s="32">
        <f t="array" ref="BL11">IF(COLUMN() - ($E11 + 5) &lt; 0, 0,
  IF(COLUMN() - ($E11 + 5) = 0, $F11,
    BK11 * (1 - IFERROR(INDEX('Inputs &amp; Assuptions'!$D$13:$D$72, COLUMN() - ($E11 + 5)), 0))
  )
)</f>
        <v>936.33406215496439</v>
      </c>
      <c r="BM11" s="66">
        <f t="array" ref="BM11">IF(COLUMN() - ($E11 + 5) &lt; 0, 0,
  IF(COLUMN() - ($E11 + 5) = 0, $F11,
    BL11 * (1 - IFERROR(INDEX('Inputs &amp; Assuptions'!$D$13:$D$72, COLUMN() - ($E11 + 5)), 0))
  )
)</f>
        <v>935.86589512388696</v>
      </c>
      <c r="BN11" s="33"/>
    </row>
    <row r="12" spans="1:67" x14ac:dyDescent="0.3">
      <c r="A12" s="71">
        <f t="shared" si="2"/>
        <v>7</v>
      </c>
      <c r="B12" s="75">
        <f t="shared" si="4"/>
        <v>1000</v>
      </c>
      <c r="C12" s="76">
        <f>$B12*(1-'Inputs &amp; Assuptions'!$D$12)</f>
        <v>978</v>
      </c>
      <c r="E12" s="71">
        <f t="shared" si="3"/>
        <v>7</v>
      </c>
      <c r="F12" s="65"/>
      <c r="G12" s="32"/>
      <c r="H12" s="32"/>
      <c r="I12" s="32"/>
      <c r="J12" s="32"/>
      <c r="K12" s="32"/>
      <c r="L12" s="32">
        <f>$C12</f>
        <v>978</v>
      </c>
      <c r="M12" s="32">
        <f t="array" ref="M12">IF(COLUMN() - ($E12 + 5) &lt; 0, 0,
  IF(COLUMN() - ($E12 + 5) = 0, $F12,
    L12 * (1 - IFERROR(INDEX('Inputs &amp; Assuptions'!$D$13:$D$72, COLUMN() - ($E12 + 5)), 0))
  )
)</f>
        <v>973.11</v>
      </c>
      <c r="N12" s="32">
        <f t="array" ref="N12">IF(COLUMN() - ($E12 + 5) &lt; 0, 0,
  IF(COLUMN() - ($E12 + 5) = 0, $F12,
    M12 * (1 - IFERROR(INDEX('Inputs &amp; Assuptions'!$D$13:$D$72, COLUMN() - ($E12 + 5)), 0))
  )
)</f>
        <v>969.41218200000003</v>
      </c>
      <c r="O12" s="32">
        <f t="array" ref="O12">IF(COLUMN() - ($E12 + 5) &lt; 0, 0,
  IF(COLUMN() - ($E12 + 5) = 0, $F12,
    N12 * (1 - IFERROR(INDEX('Inputs &amp; Assuptions'!$D$13:$D$72, COLUMN() - ($E12 + 5)), 0))
  )
)</f>
        <v>966.98865154500004</v>
      </c>
      <c r="P12" s="32">
        <f t="array" ref="P12">IF(COLUMN() - ($E12 + 5) &lt; 0, 0,
  IF(COLUMN() - ($E12 + 5) = 0, $F12,
    O12 * (1 - IFERROR(INDEX('Inputs &amp; Assuptions'!$D$13:$D$72, COLUMN() - ($E12 + 5)), 0))
  )
)</f>
        <v>964.76457764644658</v>
      </c>
      <c r="Q12" s="32">
        <f t="array" ref="Q12">IF(COLUMN() - ($E12 + 5) &lt; 0, 0,
  IF(COLUMN() - ($E12 + 5) = 0, $F12,
    P12 * (1 - IFERROR(INDEX('Inputs &amp; Assuptions'!$D$13:$D$72, COLUMN() - ($E12 + 5)), 0))
  )
)</f>
        <v>962.83504849115366</v>
      </c>
      <c r="R12" s="32">
        <f t="array" ref="R12">IF(COLUMN() - ($E12 + 5) &lt; 0, 0,
  IF(COLUMN() - ($E12 + 5) = 0, $F12,
    Q12 * (1 - IFERROR(INDEX('Inputs &amp; Assuptions'!$D$13:$D$72, COLUMN() - ($E12 + 5)), 0))
  )
)</f>
        <v>961.10194540386954</v>
      </c>
      <c r="S12" s="32">
        <f t="array" ref="S12">IF(COLUMN() - ($E12 + 5) &lt; 0, 0,
  IF(COLUMN() - ($E12 + 5) = 0, $F12,
    R12 * (1 - IFERROR(INDEX('Inputs &amp; Assuptions'!$D$13:$D$72, COLUMN() - ($E12 + 5)), 0))
  )
)</f>
        <v>959.66029248576376</v>
      </c>
      <c r="T12" s="32">
        <f t="array" ref="T12">IF(COLUMN() - ($E12 + 5) &lt; 0, 0,
  IF(COLUMN() - ($E12 + 5) = 0, $F12,
    S12 * (1 - IFERROR(INDEX('Inputs &amp; Assuptions'!$D$13:$D$72, COLUMN() - ($E12 + 5)), 0))
  )
)</f>
        <v>958.41273410553231</v>
      </c>
      <c r="U12" s="32">
        <f t="array" ref="U12">IF(COLUMN() - ($E12 + 5) &lt; 0, 0,
  IF(COLUMN() - ($E12 + 5) = 0, $F12,
    T12 * (1 - IFERROR(INDEX('Inputs &amp; Assuptions'!$D$13:$D$72, COLUMN() - ($E12 + 5)), 0))
  )
)</f>
        <v>957.45432137142677</v>
      </c>
      <c r="V12" s="32">
        <f t="array" ref="V12">IF(COLUMN() - ($E12 + 5) &lt; 0, 0,
  IF(COLUMN() - ($E12 + 5) = 0, $F12,
    U12 * (1 - IFERROR(INDEX('Inputs &amp; Assuptions'!$D$13:$D$72, COLUMN() - ($E12 + 5)), 0))
  )
)</f>
        <v>956.68835791432957</v>
      </c>
      <c r="W12" s="32">
        <f t="array" ref="W12">IF(COLUMN() - ($E12 + 5) &lt; 0, 0,
  IF(COLUMN() - ($E12 + 5) = 0, $F12,
    V12 * (1 - IFERROR(INDEX('Inputs &amp; Assuptions'!$D$13:$D$72, COLUMN() - ($E12 + 5)), 0))
  )
)</f>
        <v>956.21001373537251</v>
      </c>
      <c r="X12" s="32">
        <f t="array" ref="X12">IF(COLUMN() - ($E12 + 5) &lt; 0, 0,
  IF(COLUMN() - ($E12 + 5) = 0, $F12,
    W12 * (1 - IFERROR(INDEX('Inputs &amp; Assuptions'!$D$13:$D$72, COLUMN() - ($E12 + 5)), 0))
  )
)</f>
        <v>955.73190872850489</v>
      </c>
      <c r="Y12" s="32">
        <f t="array" ref="Y12">IF(COLUMN() - ($E12 + 5) &lt; 0, 0,
  IF(COLUMN() - ($E12 + 5) = 0, $F12,
    X12 * (1 - IFERROR(INDEX('Inputs &amp; Assuptions'!$D$13:$D$72, COLUMN() - ($E12 + 5)), 0))
  )
)</f>
        <v>955.25404277414066</v>
      </c>
      <c r="Z12" s="32">
        <f t="array" ref="Z12">IF(COLUMN() - ($E12 + 5) &lt; 0, 0,
  IF(COLUMN() - ($E12 + 5) = 0, $F12,
    Y12 * (1 - IFERROR(INDEX('Inputs &amp; Assuptions'!$D$13:$D$72, COLUMN() - ($E12 + 5)), 0))
  )
)</f>
        <v>954.77641575275368</v>
      </c>
      <c r="AA12" s="32">
        <f t="array" ref="AA12">IF(COLUMN() - ($E12 + 5) &lt; 0, 0,
  IF(COLUMN() - ($E12 + 5) = 0, $F12,
    Z12 * (1 - IFERROR(INDEX('Inputs &amp; Assuptions'!$D$13:$D$72, COLUMN() - ($E12 + 5)), 0))
  )
)</f>
        <v>954.29902754487739</v>
      </c>
      <c r="AB12" s="32">
        <f t="array" ref="AB12">IF(COLUMN() - ($E12 + 5) &lt; 0, 0,
  IF(COLUMN() - ($E12 + 5) = 0, $F12,
    AA12 * (1 - IFERROR(INDEX('Inputs &amp; Assuptions'!$D$13:$D$72, COLUMN() - ($E12 + 5)), 0))
  )
)</f>
        <v>953.82187803110503</v>
      </c>
      <c r="AC12" s="32">
        <f t="array" ref="AC12">IF(COLUMN() - ($E12 + 5) &lt; 0, 0,
  IF(COLUMN() - ($E12 + 5) = 0, $F12,
    AB12 * (1 - IFERROR(INDEX('Inputs &amp; Assuptions'!$D$13:$D$72, COLUMN() - ($E12 + 5)), 0))
  )
)</f>
        <v>953.34496709208952</v>
      </c>
      <c r="AD12" s="32">
        <f t="array" ref="AD12">IF(COLUMN() - ($E12 + 5) &lt; 0, 0,
  IF(COLUMN() - ($E12 + 5) = 0, $F12,
    AC12 * (1 - IFERROR(INDEX('Inputs &amp; Assuptions'!$D$13:$D$72, COLUMN() - ($E12 + 5)), 0))
  )
)</f>
        <v>952.86829460854358</v>
      </c>
      <c r="AE12" s="32">
        <f t="array" ref="AE12">IF(COLUMN() - ($E12 + 5) &lt; 0, 0,
  IF(COLUMN() - ($E12 + 5) = 0, $F12,
    AD12 * (1 - IFERROR(INDEX('Inputs &amp; Assuptions'!$D$13:$D$72, COLUMN() - ($E12 + 5)), 0))
  )
)</f>
        <v>952.39186046123939</v>
      </c>
      <c r="AF12" s="32">
        <f t="array" ref="AF12">IF(COLUMN() - ($E12 + 5) &lt; 0, 0,
  IF(COLUMN() - ($E12 + 5) = 0, $F12,
    AE12 * (1 - IFERROR(INDEX('Inputs &amp; Assuptions'!$D$13:$D$72, COLUMN() - ($E12 + 5)), 0))
  )
)</f>
        <v>951.91566453100882</v>
      </c>
      <c r="AG12" s="32">
        <f t="array" ref="AG12">IF(COLUMN() - ($E12 + 5) &lt; 0, 0,
  IF(COLUMN() - ($E12 + 5) = 0, $F12,
    AF12 * (1 - IFERROR(INDEX('Inputs &amp; Assuptions'!$D$13:$D$72, COLUMN() - ($E12 + 5)), 0))
  )
)</f>
        <v>951.43970669874341</v>
      </c>
      <c r="AH12" s="32">
        <f t="array" ref="AH12">IF(COLUMN() - ($E12 + 5) &lt; 0, 0,
  IF(COLUMN() - ($E12 + 5) = 0, $F12,
    AG12 * (1 - IFERROR(INDEX('Inputs &amp; Assuptions'!$D$13:$D$72, COLUMN() - ($E12 + 5)), 0))
  )
)</f>
        <v>950.96398684539406</v>
      </c>
      <c r="AI12" s="32">
        <f t="array" ref="AI12">IF(COLUMN() - ($E12 + 5) &lt; 0, 0,
  IF(COLUMN() - ($E12 + 5) = 0, $F12,
    AH12 * (1 - IFERROR(INDEX('Inputs &amp; Assuptions'!$D$13:$D$72, COLUMN() - ($E12 + 5)), 0))
  )
)</f>
        <v>950.48850485197147</v>
      </c>
      <c r="AJ12" s="32">
        <f t="array" ref="AJ12">IF(COLUMN() - ($E12 + 5) &lt; 0, 0,
  IF(COLUMN() - ($E12 + 5) = 0, $F12,
    AI12 * (1 - IFERROR(INDEX('Inputs &amp; Assuptions'!$D$13:$D$72, COLUMN() - ($E12 + 5)), 0))
  )
)</f>
        <v>950.01326059954556</v>
      </c>
      <c r="AK12" s="32">
        <f t="array" ref="AK12">IF(COLUMN() - ($E12 + 5) &lt; 0, 0,
  IF(COLUMN() - ($E12 + 5) = 0, $F12,
    AJ12 * (1 - IFERROR(INDEX('Inputs &amp; Assuptions'!$D$13:$D$72, COLUMN() - ($E12 + 5)), 0))
  )
)</f>
        <v>949.53825396924583</v>
      </c>
      <c r="AL12" s="32">
        <f t="array" ref="AL12">IF(COLUMN() - ($E12 + 5) &lt; 0, 0,
  IF(COLUMN() - ($E12 + 5) = 0, $F12,
    AK12 * (1 - IFERROR(INDEX('Inputs &amp; Assuptions'!$D$13:$D$72, COLUMN() - ($E12 + 5)), 0))
  )
)</f>
        <v>949.06348484226123</v>
      </c>
      <c r="AM12" s="32">
        <f t="array" ref="AM12">IF(COLUMN() - ($E12 + 5) &lt; 0, 0,
  IF(COLUMN() - ($E12 + 5) = 0, $F12,
    AL12 * (1 - IFERROR(INDEX('Inputs &amp; Assuptions'!$D$13:$D$72, COLUMN() - ($E12 + 5)), 0))
  )
)</f>
        <v>948.58895309984018</v>
      </c>
      <c r="AN12" s="32">
        <f t="array" ref="AN12">IF(COLUMN() - ($E12 + 5) &lt; 0, 0,
  IF(COLUMN() - ($E12 + 5) = 0, $F12,
    AM12 * (1 - IFERROR(INDEX('Inputs &amp; Assuptions'!$D$13:$D$72, COLUMN() - ($E12 + 5)), 0))
  )
)</f>
        <v>948.11465862329032</v>
      </c>
      <c r="AO12" s="32">
        <f t="array" ref="AO12">IF(COLUMN() - ($E12 + 5) &lt; 0, 0,
  IF(COLUMN() - ($E12 + 5) = 0, $F12,
    AN12 * (1 - IFERROR(INDEX('Inputs &amp; Assuptions'!$D$13:$D$72, COLUMN() - ($E12 + 5)), 0))
  )
)</f>
        <v>947.64060129397876</v>
      </c>
      <c r="AP12" s="32">
        <f t="array" ref="AP12">IF(COLUMN() - ($E12 + 5) &lt; 0, 0,
  IF(COLUMN() - ($E12 + 5) = 0, $F12,
    AO12 * (1 - IFERROR(INDEX('Inputs &amp; Assuptions'!$D$13:$D$72, COLUMN() - ($E12 + 5)), 0))
  )
)</f>
        <v>947.16678099333183</v>
      </c>
      <c r="AQ12" s="32">
        <f t="array" ref="AQ12">IF(COLUMN() - ($E12 + 5) &lt; 0, 0,
  IF(COLUMN() - ($E12 + 5) = 0, $F12,
    AP12 * (1 - IFERROR(INDEX('Inputs &amp; Assuptions'!$D$13:$D$72, COLUMN() - ($E12 + 5)), 0))
  )
)</f>
        <v>946.6931976028352</v>
      </c>
      <c r="AR12" s="32">
        <f t="array" ref="AR12">IF(COLUMN() - ($E12 + 5) &lt; 0, 0,
  IF(COLUMN() - ($E12 + 5) = 0, $F12,
    AQ12 * (1 - IFERROR(INDEX('Inputs &amp; Assuptions'!$D$13:$D$72, COLUMN() - ($E12 + 5)), 0))
  )
)</f>
        <v>946.21985100403379</v>
      </c>
      <c r="AS12" s="32">
        <f t="array" ref="AS12">IF(COLUMN() - ($E12 + 5) &lt; 0, 0,
  IF(COLUMN() - ($E12 + 5) = 0, $F12,
    AR12 * (1 - IFERROR(INDEX('Inputs &amp; Assuptions'!$D$13:$D$72, COLUMN() - ($E12 + 5)), 0))
  )
)</f>
        <v>945.74674107853184</v>
      </c>
      <c r="AT12" s="32">
        <f t="array" ref="AT12">IF(COLUMN() - ($E12 + 5) &lt; 0, 0,
  IF(COLUMN() - ($E12 + 5) = 0, $F12,
    AS12 * (1 - IFERROR(INDEX('Inputs &amp; Assuptions'!$D$13:$D$72, COLUMN() - ($E12 + 5)), 0))
  )
)</f>
        <v>945.27386770799262</v>
      </c>
      <c r="AU12" s="32">
        <f t="array" ref="AU12">IF(COLUMN() - ($E12 + 5) &lt; 0, 0,
  IF(COLUMN() - ($E12 + 5) = 0, $F12,
    AT12 * (1 - IFERROR(INDEX('Inputs &amp; Assuptions'!$D$13:$D$72, COLUMN() - ($E12 + 5)), 0))
  )
)</f>
        <v>944.80123077413873</v>
      </c>
      <c r="AV12" s="32">
        <f t="array" ref="AV12">IF(COLUMN() - ($E12 + 5) &lt; 0, 0,
  IF(COLUMN() - ($E12 + 5) = 0, $F12,
    AU12 * (1 - IFERROR(INDEX('Inputs &amp; Assuptions'!$D$13:$D$72, COLUMN() - ($E12 + 5)), 0))
  )
)</f>
        <v>944.32883015875166</v>
      </c>
      <c r="AW12" s="32">
        <f t="array" ref="AW12">IF(COLUMN() - ($E12 + 5) &lt; 0, 0,
  IF(COLUMN() - ($E12 + 5) = 0, $F12,
    AV12 * (1 - IFERROR(INDEX('Inputs &amp; Assuptions'!$D$13:$D$72, COLUMN() - ($E12 + 5)), 0))
  )
)</f>
        <v>943.85666574367235</v>
      </c>
      <c r="AX12" s="32">
        <f t="array" ref="AX12">IF(COLUMN() - ($E12 + 5) &lt; 0, 0,
  IF(COLUMN() - ($E12 + 5) = 0, $F12,
    AW12 * (1 - IFERROR(INDEX('Inputs &amp; Assuptions'!$D$13:$D$72, COLUMN() - ($E12 + 5)), 0))
  )
)</f>
        <v>943.38473741080054</v>
      </c>
      <c r="AY12" s="32">
        <f t="array" ref="AY12">IF(COLUMN() - ($E12 + 5) &lt; 0, 0,
  IF(COLUMN() - ($E12 + 5) = 0, $F12,
    AX12 * (1 - IFERROR(INDEX('Inputs &amp; Assuptions'!$D$13:$D$72, COLUMN() - ($E12 + 5)), 0))
  )
)</f>
        <v>942.91304504209518</v>
      </c>
      <c r="AZ12" s="32">
        <f t="array" ref="AZ12">IF(COLUMN() - ($E12 + 5) &lt; 0, 0,
  IF(COLUMN() - ($E12 + 5) = 0, $F12,
    AY12 * (1 - IFERROR(INDEX('Inputs &amp; Assuptions'!$D$13:$D$72, COLUMN() - ($E12 + 5)), 0))
  )
)</f>
        <v>942.44158851957422</v>
      </c>
      <c r="BA12" s="32">
        <f t="array" ref="BA12">IF(COLUMN() - ($E12 + 5) &lt; 0, 0,
  IF(COLUMN() - ($E12 + 5) = 0, $F12,
    AZ12 * (1 - IFERROR(INDEX('Inputs &amp; Assuptions'!$D$13:$D$72, COLUMN() - ($E12 + 5)), 0))
  )
)</f>
        <v>941.97036772531453</v>
      </c>
      <c r="BB12" s="32">
        <f t="array" ref="BB12">IF(COLUMN() - ($E12 + 5) &lt; 0, 0,
  IF(COLUMN() - ($E12 + 5) = 0, $F12,
    BA12 * (1 - IFERROR(INDEX('Inputs &amp; Assuptions'!$D$13:$D$72, COLUMN() - ($E12 + 5)), 0))
  )
)</f>
        <v>941.49938254145195</v>
      </c>
      <c r="BC12" s="32">
        <f t="array" ref="BC12">IF(COLUMN() - ($E12 + 5) &lt; 0, 0,
  IF(COLUMN() - ($E12 + 5) = 0, $F12,
    BB12 * (1 - IFERROR(INDEX('Inputs &amp; Assuptions'!$D$13:$D$72, COLUMN() - ($E12 + 5)), 0))
  )
)</f>
        <v>941.02863285018122</v>
      </c>
      <c r="BD12" s="32">
        <f t="array" ref="BD12">IF(COLUMN() - ($E12 + 5) &lt; 0, 0,
  IF(COLUMN() - ($E12 + 5) = 0, $F12,
    BC12 * (1 - IFERROR(INDEX('Inputs &amp; Assuptions'!$D$13:$D$72, COLUMN() - ($E12 + 5)), 0))
  )
)</f>
        <v>940.55811853375621</v>
      </c>
      <c r="BE12" s="32">
        <f t="array" ref="BE12">IF(COLUMN() - ($E12 + 5) &lt; 0, 0,
  IF(COLUMN() - ($E12 + 5) = 0, $F12,
    BD12 * (1 - IFERROR(INDEX('Inputs &amp; Assuptions'!$D$13:$D$72, COLUMN() - ($E12 + 5)), 0))
  )
)</f>
        <v>940.08783947448944</v>
      </c>
      <c r="BF12" s="32">
        <f t="array" ref="BF12">IF(COLUMN() - ($E12 + 5) &lt; 0, 0,
  IF(COLUMN() - ($E12 + 5) = 0, $F12,
    BE12 * (1 - IFERROR(INDEX('Inputs &amp; Assuptions'!$D$13:$D$72, COLUMN() - ($E12 + 5)), 0))
  )
)</f>
        <v>939.61779555475221</v>
      </c>
      <c r="BG12" s="32">
        <f t="array" ref="BG12">IF(COLUMN() - ($E12 + 5) &lt; 0, 0,
  IF(COLUMN() - ($E12 + 5) = 0, $F12,
    BF12 * (1 - IFERROR(INDEX('Inputs &amp; Assuptions'!$D$13:$D$72, COLUMN() - ($E12 + 5)), 0))
  )
)</f>
        <v>939.14798665697492</v>
      </c>
      <c r="BH12" s="32">
        <f t="array" ref="BH12">IF(COLUMN() - ($E12 + 5) &lt; 0, 0,
  IF(COLUMN() - ($E12 + 5) = 0, $F12,
    BG12 * (1 - IFERROR(INDEX('Inputs &amp; Assuptions'!$D$13:$D$72, COLUMN() - ($E12 + 5)), 0))
  )
)</f>
        <v>938.67841266364644</v>
      </c>
      <c r="BI12" s="32">
        <f t="array" ref="BI12">IF(COLUMN() - ($E12 + 5) &lt; 0, 0,
  IF(COLUMN() - ($E12 + 5) = 0, $F12,
    BH12 * (1 - IFERROR(INDEX('Inputs &amp; Assuptions'!$D$13:$D$72, COLUMN() - ($E12 + 5)), 0))
  )
)</f>
        <v>938.20907345731462</v>
      </c>
      <c r="BJ12" s="32">
        <f t="array" ref="BJ12">IF(COLUMN() - ($E12 + 5) &lt; 0, 0,
  IF(COLUMN() - ($E12 + 5) = 0, $F12,
    BI12 * (1 - IFERROR(INDEX('Inputs &amp; Assuptions'!$D$13:$D$72, COLUMN() - ($E12 + 5)), 0))
  )
)</f>
        <v>937.73996892058597</v>
      </c>
      <c r="BK12" s="32">
        <f t="array" ref="BK12">IF(COLUMN() - ($E12 + 5) &lt; 0, 0,
  IF(COLUMN() - ($E12 + 5) = 0, $F12,
    BJ12 * (1 - IFERROR(INDEX('Inputs &amp; Assuptions'!$D$13:$D$72, COLUMN() - ($E12 + 5)), 0))
  )
)</f>
        <v>937.27109893612567</v>
      </c>
      <c r="BL12" s="32">
        <f t="array" ref="BL12">IF(COLUMN() - ($E12 + 5) &lt; 0, 0,
  IF(COLUMN() - ($E12 + 5) = 0, $F12,
    BK12 * (1 - IFERROR(INDEX('Inputs &amp; Assuptions'!$D$13:$D$72, COLUMN() - ($E12 + 5)), 0))
  )
)</f>
        <v>936.80246338665768</v>
      </c>
      <c r="BM12" s="66">
        <f t="array" ref="BM12">IF(COLUMN() - ($E12 + 5) &lt; 0, 0,
  IF(COLUMN() - ($E12 + 5) = 0, $F12,
    BL12 * (1 - IFERROR(INDEX('Inputs &amp; Assuptions'!$D$13:$D$72, COLUMN() - ($E12 + 5)), 0))
  )
)</f>
        <v>936.33406215496439</v>
      </c>
      <c r="BN12" s="33"/>
    </row>
    <row r="13" spans="1:67" x14ac:dyDescent="0.3">
      <c r="A13" s="71">
        <f t="shared" si="2"/>
        <v>8</v>
      </c>
      <c r="B13" s="75">
        <f t="shared" si="4"/>
        <v>1000</v>
      </c>
      <c r="C13" s="76">
        <f>$B13*(1-'Inputs &amp; Assuptions'!$D$12)</f>
        <v>978</v>
      </c>
      <c r="E13" s="71">
        <f t="shared" si="3"/>
        <v>8</v>
      </c>
      <c r="F13" s="65"/>
      <c r="G13" s="32"/>
      <c r="H13" s="32"/>
      <c r="I13" s="32"/>
      <c r="J13" s="32"/>
      <c r="K13" s="32"/>
      <c r="L13" s="32"/>
      <c r="M13" s="32">
        <f>$C13</f>
        <v>978</v>
      </c>
      <c r="N13" s="32">
        <f t="array" ref="N13">IF(COLUMN() - ($E13 + 5) &lt; 0, 0,
  IF(COLUMN() - ($E13 + 5) = 0, $F13,
    M13 * (1 - IFERROR(INDEX('Inputs &amp; Assuptions'!$D$13:$D$72, COLUMN() - ($E13 + 5)), 0))
  )
)</f>
        <v>973.11</v>
      </c>
      <c r="O13" s="32">
        <f t="array" ref="O13">IF(COLUMN() - ($E13 + 5) &lt; 0, 0,
  IF(COLUMN() - ($E13 + 5) = 0, $F13,
    N13 * (1 - IFERROR(INDEX('Inputs &amp; Assuptions'!$D$13:$D$72, COLUMN() - ($E13 + 5)), 0))
  )
)</f>
        <v>969.41218200000003</v>
      </c>
      <c r="P13" s="32">
        <f t="array" ref="P13">IF(COLUMN() - ($E13 + 5) &lt; 0, 0,
  IF(COLUMN() - ($E13 + 5) = 0, $F13,
    O13 * (1 - IFERROR(INDEX('Inputs &amp; Assuptions'!$D$13:$D$72, COLUMN() - ($E13 + 5)), 0))
  )
)</f>
        <v>966.98865154500004</v>
      </c>
      <c r="Q13" s="32">
        <f t="array" ref="Q13">IF(COLUMN() - ($E13 + 5) &lt; 0, 0,
  IF(COLUMN() - ($E13 + 5) = 0, $F13,
    P13 * (1 - IFERROR(INDEX('Inputs &amp; Assuptions'!$D$13:$D$72, COLUMN() - ($E13 + 5)), 0))
  )
)</f>
        <v>964.76457764644658</v>
      </c>
      <c r="R13" s="32">
        <f t="array" ref="R13">IF(COLUMN() - ($E13 + 5) &lt; 0, 0,
  IF(COLUMN() - ($E13 + 5) = 0, $F13,
    Q13 * (1 - IFERROR(INDEX('Inputs &amp; Assuptions'!$D$13:$D$72, COLUMN() - ($E13 + 5)), 0))
  )
)</f>
        <v>962.83504849115366</v>
      </c>
      <c r="S13" s="32">
        <f t="array" ref="S13">IF(COLUMN() - ($E13 + 5) &lt; 0, 0,
  IF(COLUMN() - ($E13 + 5) = 0, $F13,
    R13 * (1 - IFERROR(INDEX('Inputs &amp; Assuptions'!$D$13:$D$72, COLUMN() - ($E13 + 5)), 0))
  )
)</f>
        <v>961.10194540386954</v>
      </c>
      <c r="T13" s="32">
        <f t="array" ref="T13">IF(COLUMN() - ($E13 + 5) &lt; 0, 0,
  IF(COLUMN() - ($E13 + 5) = 0, $F13,
    S13 * (1 - IFERROR(INDEX('Inputs &amp; Assuptions'!$D$13:$D$72, COLUMN() - ($E13 + 5)), 0))
  )
)</f>
        <v>959.66029248576376</v>
      </c>
      <c r="U13" s="32">
        <f t="array" ref="U13">IF(COLUMN() - ($E13 + 5) &lt; 0, 0,
  IF(COLUMN() - ($E13 + 5) = 0, $F13,
    T13 * (1 - IFERROR(INDEX('Inputs &amp; Assuptions'!$D$13:$D$72, COLUMN() - ($E13 + 5)), 0))
  )
)</f>
        <v>958.41273410553231</v>
      </c>
      <c r="V13" s="32">
        <f t="array" ref="V13">IF(COLUMN() - ($E13 + 5) &lt; 0, 0,
  IF(COLUMN() - ($E13 + 5) = 0, $F13,
    U13 * (1 - IFERROR(INDEX('Inputs &amp; Assuptions'!$D$13:$D$72, COLUMN() - ($E13 + 5)), 0))
  )
)</f>
        <v>957.45432137142677</v>
      </c>
      <c r="W13" s="32">
        <f t="array" ref="W13">IF(COLUMN() - ($E13 + 5) &lt; 0, 0,
  IF(COLUMN() - ($E13 + 5) = 0, $F13,
    V13 * (1 - IFERROR(INDEX('Inputs &amp; Assuptions'!$D$13:$D$72, COLUMN() - ($E13 + 5)), 0))
  )
)</f>
        <v>956.68835791432957</v>
      </c>
      <c r="X13" s="32">
        <f t="array" ref="X13">IF(COLUMN() - ($E13 + 5) &lt; 0, 0,
  IF(COLUMN() - ($E13 + 5) = 0, $F13,
    W13 * (1 - IFERROR(INDEX('Inputs &amp; Assuptions'!$D$13:$D$72, COLUMN() - ($E13 + 5)), 0))
  )
)</f>
        <v>956.21001373537251</v>
      </c>
      <c r="Y13" s="32">
        <f t="array" ref="Y13">IF(COLUMN() - ($E13 + 5) &lt; 0, 0,
  IF(COLUMN() - ($E13 + 5) = 0, $F13,
    X13 * (1 - IFERROR(INDEX('Inputs &amp; Assuptions'!$D$13:$D$72, COLUMN() - ($E13 + 5)), 0))
  )
)</f>
        <v>955.73190872850489</v>
      </c>
      <c r="Z13" s="32">
        <f t="array" ref="Z13">IF(COLUMN() - ($E13 + 5) &lt; 0, 0,
  IF(COLUMN() - ($E13 + 5) = 0, $F13,
    Y13 * (1 - IFERROR(INDEX('Inputs &amp; Assuptions'!$D$13:$D$72, COLUMN() - ($E13 + 5)), 0))
  )
)</f>
        <v>955.25404277414066</v>
      </c>
      <c r="AA13" s="32">
        <f t="array" ref="AA13">IF(COLUMN() - ($E13 + 5) &lt; 0, 0,
  IF(COLUMN() - ($E13 + 5) = 0, $F13,
    Z13 * (1 - IFERROR(INDEX('Inputs &amp; Assuptions'!$D$13:$D$72, COLUMN() - ($E13 + 5)), 0))
  )
)</f>
        <v>954.77641575275368</v>
      </c>
      <c r="AB13" s="32">
        <f t="array" ref="AB13">IF(COLUMN() - ($E13 + 5) &lt; 0, 0,
  IF(COLUMN() - ($E13 + 5) = 0, $F13,
    AA13 * (1 - IFERROR(INDEX('Inputs &amp; Assuptions'!$D$13:$D$72, COLUMN() - ($E13 + 5)), 0))
  )
)</f>
        <v>954.29902754487739</v>
      </c>
      <c r="AC13" s="32">
        <f t="array" ref="AC13">IF(COLUMN() - ($E13 + 5) &lt; 0, 0,
  IF(COLUMN() - ($E13 + 5) = 0, $F13,
    AB13 * (1 - IFERROR(INDEX('Inputs &amp; Assuptions'!$D$13:$D$72, COLUMN() - ($E13 + 5)), 0))
  )
)</f>
        <v>953.82187803110503</v>
      </c>
      <c r="AD13" s="32">
        <f t="array" ref="AD13">IF(COLUMN() - ($E13 + 5) &lt; 0, 0,
  IF(COLUMN() - ($E13 + 5) = 0, $F13,
    AC13 * (1 - IFERROR(INDEX('Inputs &amp; Assuptions'!$D$13:$D$72, COLUMN() - ($E13 + 5)), 0))
  )
)</f>
        <v>953.34496709208952</v>
      </c>
      <c r="AE13" s="32">
        <f t="array" ref="AE13">IF(COLUMN() - ($E13 + 5) &lt; 0, 0,
  IF(COLUMN() - ($E13 + 5) = 0, $F13,
    AD13 * (1 - IFERROR(INDEX('Inputs &amp; Assuptions'!$D$13:$D$72, COLUMN() - ($E13 + 5)), 0))
  )
)</f>
        <v>952.86829460854358</v>
      </c>
      <c r="AF13" s="32">
        <f t="array" ref="AF13">IF(COLUMN() - ($E13 + 5) &lt; 0, 0,
  IF(COLUMN() - ($E13 + 5) = 0, $F13,
    AE13 * (1 - IFERROR(INDEX('Inputs &amp; Assuptions'!$D$13:$D$72, COLUMN() - ($E13 + 5)), 0))
  )
)</f>
        <v>952.39186046123939</v>
      </c>
      <c r="AG13" s="32">
        <f t="array" ref="AG13">IF(COLUMN() - ($E13 + 5) &lt; 0, 0,
  IF(COLUMN() - ($E13 + 5) = 0, $F13,
    AF13 * (1 - IFERROR(INDEX('Inputs &amp; Assuptions'!$D$13:$D$72, COLUMN() - ($E13 + 5)), 0))
  )
)</f>
        <v>951.91566453100882</v>
      </c>
      <c r="AH13" s="32">
        <f t="array" ref="AH13">IF(COLUMN() - ($E13 + 5) &lt; 0, 0,
  IF(COLUMN() - ($E13 + 5) = 0, $F13,
    AG13 * (1 - IFERROR(INDEX('Inputs &amp; Assuptions'!$D$13:$D$72, COLUMN() - ($E13 + 5)), 0))
  )
)</f>
        <v>951.43970669874341</v>
      </c>
      <c r="AI13" s="32">
        <f t="array" ref="AI13">IF(COLUMN() - ($E13 + 5) &lt; 0, 0,
  IF(COLUMN() - ($E13 + 5) = 0, $F13,
    AH13 * (1 - IFERROR(INDEX('Inputs &amp; Assuptions'!$D$13:$D$72, COLUMN() - ($E13 + 5)), 0))
  )
)</f>
        <v>950.96398684539406</v>
      </c>
      <c r="AJ13" s="32">
        <f t="array" ref="AJ13">IF(COLUMN() - ($E13 + 5) &lt; 0, 0,
  IF(COLUMN() - ($E13 + 5) = 0, $F13,
    AI13 * (1 - IFERROR(INDEX('Inputs &amp; Assuptions'!$D$13:$D$72, COLUMN() - ($E13 + 5)), 0))
  )
)</f>
        <v>950.48850485197147</v>
      </c>
      <c r="AK13" s="32">
        <f t="array" ref="AK13">IF(COLUMN() - ($E13 + 5) &lt; 0, 0,
  IF(COLUMN() - ($E13 + 5) = 0, $F13,
    AJ13 * (1 - IFERROR(INDEX('Inputs &amp; Assuptions'!$D$13:$D$72, COLUMN() - ($E13 + 5)), 0))
  )
)</f>
        <v>950.01326059954556</v>
      </c>
      <c r="AL13" s="32">
        <f t="array" ref="AL13">IF(COLUMN() - ($E13 + 5) &lt; 0, 0,
  IF(COLUMN() - ($E13 + 5) = 0, $F13,
    AK13 * (1 - IFERROR(INDEX('Inputs &amp; Assuptions'!$D$13:$D$72, COLUMN() - ($E13 + 5)), 0))
  )
)</f>
        <v>949.53825396924583</v>
      </c>
      <c r="AM13" s="32">
        <f t="array" ref="AM13">IF(COLUMN() - ($E13 + 5) &lt; 0, 0,
  IF(COLUMN() - ($E13 + 5) = 0, $F13,
    AL13 * (1 - IFERROR(INDEX('Inputs &amp; Assuptions'!$D$13:$D$72, COLUMN() - ($E13 + 5)), 0))
  )
)</f>
        <v>949.06348484226123</v>
      </c>
      <c r="AN13" s="32">
        <f t="array" ref="AN13">IF(COLUMN() - ($E13 + 5) &lt; 0, 0,
  IF(COLUMN() - ($E13 + 5) = 0, $F13,
    AM13 * (1 - IFERROR(INDEX('Inputs &amp; Assuptions'!$D$13:$D$72, COLUMN() - ($E13 + 5)), 0))
  )
)</f>
        <v>948.58895309984018</v>
      </c>
      <c r="AO13" s="32">
        <f t="array" ref="AO13">IF(COLUMN() - ($E13 + 5) &lt; 0, 0,
  IF(COLUMN() - ($E13 + 5) = 0, $F13,
    AN13 * (1 - IFERROR(INDEX('Inputs &amp; Assuptions'!$D$13:$D$72, COLUMN() - ($E13 + 5)), 0))
  )
)</f>
        <v>948.11465862329032</v>
      </c>
      <c r="AP13" s="32">
        <f t="array" ref="AP13">IF(COLUMN() - ($E13 + 5) &lt; 0, 0,
  IF(COLUMN() - ($E13 + 5) = 0, $F13,
    AO13 * (1 - IFERROR(INDEX('Inputs &amp; Assuptions'!$D$13:$D$72, COLUMN() - ($E13 + 5)), 0))
  )
)</f>
        <v>947.64060129397876</v>
      </c>
      <c r="AQ13" s="32">
        <f t="array" ref="AQ13">IF(COLUMN() - ($E13 + 5) &lt; 0, 0,
  IF(COLUMN() - ($E13 + 5) = 0, $F13,
    AP13 * (1 - IFERROR(INDEX('Inputs &amp; Assuptions'!$D$13:$D$72, COLUMN() - ($E13 + 5)), 0))
  )
)</f>
        <v>947.16678099333183</v>
      </c>
      <c r="AR13" s="32">
        <f t="array" ref="AR13">IF(COLUMN() - ($E13 + 5) &lt; 0, 0,
  IF(COLUMN() - ($E13 + 5) = 0, $F13,
    AQ13 * (1 - IFERROR(INDEX('Inputs &amp; Assuptions'!$D$13:$D$72, COLUMN() - ($E13 + 5)), 0))
  )
)</f>
        <v>946.6931976028352</v>
      </c>
      <c r="AS13" s="32">
        <f t="array" ref="AS13">IF(COLUMN() - ($E13 + 5) &lt; 0, 0,
  IF(COLUMN() - ($E13 + 5) = 0, $F13,
    AR13 * (1 - IFERROR(INDEX('Inputs &amp; Assuptions'!$D$13:$D$72, COLUMN() - ($E13 + 5)), 0))
  )
)</f>
        <v>946.21985100403379</v>
      </c>
      <c r="AT13" s="32">
        <f t="array" ref="AT13">IF(COLUMN() - ($E13 + 5) &lt; 0, 0,
  IF(COLUMN() - ($E13 + 5) = 0, $F13,
    AS13 * (1 - IFERROR(INDEX('Inputs &amp; Assuptions'!$D$13:$D$72, COLUMN() - ($E13 + 5)), 0))
  )
)</f>
        <v>945.74674107853184</v>
      </c>
      <c r="AU13" s="32">
        <f t="array" ref="AU13">IF(COLUMN() - ($E13 + 5) &lt; 0, 0,
  IF(COLUMN() - ($E13 + 5) = 0, $F13,
    AT13 * (1 - IFERROR(INDEX('Inputs &amp; Assuptions'!$D$13:$D$72, COLUMN() - ($E13 + 5)), 0))
  )
)</f>
        <v>945.27386770799262</v>
      </c>
      <c r="AV13" s="32">
        <f t="array" ref="AV13">IF(COLUMN() - ($E13 + 5) &lt; 0, 0,
  IF(COLUMN() - ($E13 + 5) = 0, $F13,
    AU13 * (1 - IFERROR(INDEX('Inputs &amp; Assuptions'!$D$13:$D$72, COLUMN() - ($E13 + 5)), 0))
  )
)</f>
        <v>944.80123077413873</v>
      </c>
      <c r="AW13" s="32">
        <f t="array" ref="AW13">IF(COLUMN() - ($E13 + 5) &lt; 0, 0,
  IF(COLUMN() - ($E13 + 5) = 0, $F13,
    AV13 * (1 - IFERROR(INDEX('Inputs &amp; Assuptions'!$D$13:$D$72, COLUMN() - ($E13 + 5)), 0))
  )
)</f>
        <v>944.32883015875166</v>
      </c>
      <c r="AX13" s="32">
        <f t="array" ref="AX13">IF(COLUMN() - ($E13 + 5) &lt; 0, 0,
  IF(COLUMN() - ($E13 + 5) = 0, $F13,
    AW13 * (1 - IFERROR(INDEX('Inputs &amp; Assuptions'!$D$13:$D$72, COLUMN() - ($E13 + 5)), 0))
  )
)</f>
        <v>943.85666574367235</v>
      </c>
      <c r="AY13" s="32">
        <f t="array" ref="AY13">IF(COLUMN() - ($E13 + 5) &lt; 0, 0,
  IF(COLUMN() - ($E13 + 5) = 0, $F13,
    AX13 * (1 - IFERROR(INDEX('Inputs &amp; Assuptions'!$D$13:$D$72, COLUMN() - ($E13 + 5)), 0))
  )
)</f>
        <v>943.38473741080054</v>
      </c>
      <c r="AZ13" s="32">
        <f t="array" ref="AZ13">IF(COLUMN() - ($E13 + 5) &lt; 0, 0,
  IF(COLUMN() - ($E13 + 5) = 0, $F13,
    AY13 * (1 - IFERROR(INDEX('Inputs &amp; Assuptions'!$D$13:$D$72, COLUMN() - ($E13 + 5)), 0))
  )
)</f>
        <v>942.91304504209518</v>
      </c>
      <c r="BA13" s="32">
        <f t="array" ref="BA13">IF(COLUMN() - ($E13 + 5) &lt; 0, 0,
  IF(COLUMN() - ($E13 + 5) = 0, $F13,
    AZ13 * (1 - IFERROR(INDEX('Inputs &amp; Assuptions'!$D$13:$D$72, COLUMN() - ($E13 + 5)), 0))
  )
)</f>
        <v>942.44158851957422</v>
      </c>
      <c r="BB13" s="32">
        <f t="array" ref="BB13">IF(COLUMN() - ($E13 + 5) &lt; 0, 0,
  IF(COLUMN() - ($E13 + 5) = 0, $F13,
    BA13 * (1 - IFERROR(INDEX('Inputs &amp; Assuptions'!$D$13:$D$72, COLUMN() - ($E13 + 5)), 0))
  )
)</f>
        <v>941.97036772531453</v>
      </c>
      <c r="BC13" s="32">
        <f t="array" ref="BC13">IF(COLUMN() - ($E13 + 5) &lt; 0, 0,
  IF(COLUMN() - ($E13 + 5) = 0, $F13,
    BB13 * (1 - IFERROR(INDEX('Inputs &amp; Assuptions'!$D$13:$D$72, COLUMN() - ($E13 + 5)), 0))
  )
)</f>
        <v>941.49938254145195</v>
      </c>
      <c r="BD13" s="32">
        <f t="array" ref="BD13">IF(COLUMN() - ($E13 + 5) &lt; 0, 0,
  IF(COLUMN() - ($E13 + 5) = 0, $F13,
    BC13 * (1 - IFERROR(INDEX('Inputs &amp; Assuptions'!$D$13:$D$72, COLUMN() - ($E13 + 5)), 0))
  )
)</f>
        <v>941.02863285018122</v>
      </c>
      <c r="BE13" s="32">
        <f t="array" ref="BE13">IF(COLUMN() - ($E13 + 5) &lt; 0, 0,
  IF(COLUMN() - ($E13 + 5) = 0, $F13,
    BD13 * (1 - IFERROR(INDEX('Inputs &amp; Assuptions'!$D$13:$D$72, COLUMN() - ($E13 + 5)), 0))
  )
)</f>
        <v>940.55811853375621</v>
      </c>
      <c r="BF13" s="32">
        <f t="array" ref="BF13">IF(COLUMN() - ($E13 + 5) &lt; 0, 0,
  IF(COLUMN() - ($E13 + 5) = 0, $F13,
    BE13 * (1 - IFERROR(INDEX('Inputs &amp; Assuptions'!$D$13:$D$72, COLUMN() - ($E13 + 5)), 0))
  )
)</f>
        <v>940.08783947448944</v>
      </c>
      <c r="BG13" s="32">
        <f t="array" ref="BG13">IF(COLUMN() - ($E13 + 5) &lt; 0, 0,
  IF(COLUMN() - ($E13 + 5) = 0, $F13,
    BF13 * (1 - IFERROR(INDEX('Inputs &amp; Assuptions'!$D$13:$D$72, COLUMN() - ($E13 + 5)), 0))
  )
)</f>
        <v>939.61779555475221</v>
      </c>
      <c r="BH13" s="32">
        <f t="array" ref="BH13">IF(COLUMN() - ($E13 + 5) &lt; 0, 0,
  IF(COLUMN() - ($E13 + 5) = 0, $F13,
    BG13 * (1 - IFERROR(INDEX('Inputs &amp; Assuptions'!$D$13:$D$72, COLUMN() - ($E13 + 5)), 0))
  )
)</f>
        <v>939.14798665697492</v>
      </c>
      <c r="BI13" s="32">
        <f t="array" ref="BI13">IF(COLUMN() - ($E13 + 5) &lt; 0, 0,
  IF(COLUMN() - ($E13 + 5) = 0, $F13,
    BH13 * (1 - IFERROR(INDEX('Inputs &amp; Assuptions'!$D$13:$D$72, COLUMN() - ($E13 + 5)), 0))
  )
)</f>
        <v>938.67841266364644</v>
      </c>
      <c r="BJ13" s="32">
        <f t="array" ref="BJ13">IF(COLUMN() - ($E13 + 5) &lt; 0, 0,
  IF(COLUMN() - ($E13 + 5) = 0, $F13,
    BI13 * (1 - IFERROR(INDEX('Inputs &amp; Assuptions'!$D$13:$D$72, COLUMN() - ($E13 + 5)), 0))
  )
)</f>
        <v>938.20907345731462</v>
      </c>
      <c r="BK13" s="32">
        <f t="array" ref="BK13">IF(COLUMN() - ($E13 + 5) &lt; 0, 0,
  IF(COLUMN() - ($E13 + 5) = 0, $F13,
    BJ13 * (1 - IFERROR(INDEX('Inputs &amp; Assuptions'!$D$13:$D$72, COLUMN() - ($E13 + 5)), 0))
  )
)</f>
        <v>937.73996892058597</v>
      </c>
      <c r="BL13" s="32">
        <f t="array" ref="BL13">IF(COLUMN() - ($E13 + 5) &lt; 0, 0,
  IF(COLUMN() - ($E13 + 5) = 0, $F13,
    BK13 * (1 - IFERROR(INDEX('Inputs &amp; Assuptions'!$D$13:$D$72, COLUMN() - ($E13 + 5)), 0))
  )
)</f>
        <v>937.27109893612567</v>
      </c>
      <c r="BM13" s="66">
        <f t="array" ref="BM13">IF(COLUMN() - ($E13 + 5) &lt; 0, 0,
  IF(COLUMN() - ($E13 + 5) = 0, $F13,
    BL13 * (1 - IFERROR(INDEX('Inputs &amp; Assuptions'!$D$13:$D$72, COLUMN() - ($E13 + 5)), 0))
  )
)</f>
        <v>936.80246338665768</v>
      </c>
      <c r="BN13" s="33"/>
    </row>
    <row r="14" spans="1:67" x14ac:dyDescent="0.3">
      <c r="A14" s="71">
        <f t="shared" si="2"/>
        <v>9</v>
      </c>
      <c r="B14" s="75">
        <f t="shared" si="4"/>
        <v>1000</v>
      </c>
      <c r="C14" s="76">
        <f>$B14*(1-'Inputs &amp; Assuptions'!$D$12)</f>
        <v>978</v>
      </c>
      <c r="E14" s="71">
        <f t="shared" si="3"/>
        <v>9</v>
      </c>
      <c r="F14" s="65"/>
      <c r="G14" s="32"/>
      <c r="H14" s="32"/>
      <c r="I14" s="32"/>
      <c r="J14" s="32"/>
      <c r="K14" s="32"/>
      <c r="L14" s="32"/>
      <c r="M14" s="32"/>
      <c r="N14" s="32">
        <f>$C14</f>
        <v>978</v>
      </c>
      <c r="O14" s="32">
        <f t="array" ref="O14">IF(COLUMN() - ($E14 + 5) &lt; 0, 0,
  IF(COLUMN() - ($E14 + 5) = 0, $F14,
    N14 * (1 - IFERROR(INDEX('Inputs &amp; Assuptions'!$D$13:$D$72, COLUMN() - ($E14 + 5)), 0))
  )
)</f>
        <v>973.11</v>
      </c>
      <c r="P14" s="32">
        <f t="array" ref="P14">IF(COLUMN() - ($E14 + 5) &lt; 0, 0,
  IF(COLUMN() - ($E14 + 5) = 0, $F14,
    O14 * (1 - IFERROR(INDEX('Inputs &amp; Assuptions'!$D$13:$D$72, COLUMN() - ($E14 + 5)), 0))
  )
)</f>
        <v>969.41218200000003</v>
      </c>
      <c r="Q14" s="32">
        <f t="array" ref="Q14">IF(COLUMN() - ($E14 + 5) &lt; 0, 0,
  IF(COLUMN() - ($E14 + 5) = 0, $F14,
    P14 * (1 - IFERROR(INDEX('Inputs &amp; Assuptions'!$D$13:$D$72, COLUMN() - ($E14 + 5)), 0))
  )
)</f>
        <v>966.98865154500004</v>
      </c>
      <c r="R14" s="32">
        <f t="array" ref="R14">IF(COLUMN() - ($E14 + 5) &lt; 0, 0,
  IF(COLUMN() - ($E14 + 5) = 0, $F14,
    Q14 * (1 - IFERROR(INDEX('Inputs &amp; Assuptions'!$D$13:$D$72, COLUMN() - ($E14 + 5)), 0))
  )
)</f>
        <v>964.76457764644658</v>
      </c>
      <c r="S14" s="32">
        <f t="array" ref="S14">IF(COLUMN() - ($E14 + 5) &lt; 0, 0,
  IF(COLUMN() - ($E14 + 5) = 0, $F14,
    R14 * (1 - IFERROR(INDEX('Inputs &amp; Assuptions'!$D$13:$D$72, COLUMN() - ($E14 + 5)), 0))
  )
)</f>
        <v>962.83504849115366</v>
      </c>
      <c r="T14" s="32">
        <f t="array" ref="T14">IF(COLUMN() - ($E14 + 5) &lt; 0, 0,
  IF(COLUMN() - ($E14 + 5) = 0, $F14,
    S14 * (1 - IFERROR(INDEX('Inputs &amp; Assuptions'!$D$13:$D$72, COLUMN() - ($E14 + 5)), 0))
  )
)</f>
        <v>961.10194540386954</v>
      </c>
      <c r="U14" s="32">
        <f t="array" ref="U14">IF(COLUMN() - ($E14 + 5) &lt; 0, 0,
  IF(COLUMN() - ($E14 + 5) = 0, $F14,
    T14 * (1 - IFERROR(INDEX('Inputs &amp; Assuptions'!$D$13:$D$72, COLUMN() - ($E14 + 5)), 0))
  )
)</f>
        <v>959.66029248576376</v>
      </c>
      <c r="V14" s="32">
        <f t="array" ref="V14">IF(COLUMN() - ($E14 + 5) &lt; 0, 0,
  IF(COLUMN() - ($E14 + 5) = 0, $F14,
    U14 * (1 - IFERROR(INDEX('Inputs &amp; Assuptions'!$D$13:$D$72, COLUMN() - ($E14 + 5)), 0))
  )
)</f>
        <v>958.41273410553231</v>
      </c>
      <c r="W14" s="32">
        <f t="array" ref="W14">IF(COLUMN() - ($E14 + 5) &lt; 0, 0,
  IF(COLUMN() - ($E14 + 5) = 0, $F14,
    V14 * (1 - IFERROR(INDEX('Inputs &amp; Assuptions'!$D$13:$D$72, COLUMN() - ($E14 + 5)), 0))
  )
)</f>
        <v>957.45432137142677</v>
      </c>
      <c r="X14" s="32">
        <f t="array" ref="X14">IF(COLUMN() - ($E14 + 5) &lt; 0, 0,
  IF(COLUMN() - ($E14 + 5) = 0, $F14,
    W14 * (1 - IFERROR(INDEX('Inputs &amp; Assuptions'!$D$13:$D$72, COLUMN() - ($E14 + 5)), 0))
  )
)</f>
        <v>956.68835791432957</v>
      </c>
      <c r="Y14" s="32">
        <f t="array" ref="Y14">IF(COLUMN() - ($E14 + 5) &lt; 0, 0,
  IF(COLUMN() - ($E14 + 5) = 0, $F14,
    X14 * (1 - IFERROR(INDEX('Inputs &amp; Assuptions'!$D$13:$D$72, COLUMN() - ($E14 + 5)), 0))
  )
)</f>
        <v>956.21001373537251</v>
      </c>
      <c r="Z14" s="32">
        <f t="array" ref="Z14">IF(COLUMN() - ($E14 + 5) &lt; 0, 0,
  IF(COLUMN() - ($E14 + 5) = 0, $F14,
    Y14 * (1 - IFERROR(INDEX('Inputs &amp; Assuptions'!$D$13:$D$72, COLUMN() - ($E14 + 5)), 0))
  )
)</f>
        <v>955.73190872850489</v>
      </c>
      <c r="AA14" s="32">
        <f t="array" ref="AA14">IF(COLUMN() - ($E14 + 5) &lt; 0, 0,
  IF(COLUMN() - ($E14 + 5) = 0, $F14,
    Z14 * (1 - IFERROR(INDEX('Inputs &amp; Assuptions'!$D$13:$D$72, COLUMN() - ($E14 + 5)), 0))
  )
)</f>
        <v>955.25404277414066</v>
      </c>
      <c r="AB14" s="32">
        <f t="array" ref="AB14">IF(COLUMN() - ($E14 + 5) &lt; 0, 0,
  IF(COLUMN() - ($E14 + 5) = 0, $F14,
    AA14 * (1 - IFERROR(INDEX('Inputs &amp; Assuptions'!$D$13:$D$72, COLUMN() - ($E14 + 5)), 0))
  )
)</f>
        <v>954.77641575275368</v>
      </c>
      <c r="AC14" s="32">
        <f t="array" ref="AC14">IF(COLUMN() - ($E14 + 5) &lt; 0, 0,
  IF(COLUMN() - ($E14 + 5) = 0, $F14,
    AB14 * (1 - IFERROR(INDEX('Inputs &amp; Assuptions'!$D$13:$D$72, COLUMN() - ($E14 + 5)), 0))
  )
)</f>
        <v>954.29902754487739</v>
      </c>
      <c r="AD14" s="32">
        <f t="array" ref="AD14">IF(COLUMN() - ($E14 + 5) &lt; 0, 0,
  IF(COLUMN() - ($E14 + 5) = 0, $F14,
    AC14 * (1 - IFERROR(INDEX('Inputs &amp; Assuptions'!$D$13:$D$72, COLUMN() - ($E14 + 5)), 0))
  )
)</f>
        <v>953.82187803110503</v>
      </c>
      <c r="AE14" s="32">
        <f t="array" ref="AE14">IF(COLUMN() - ($E14 + 5) &lt; 0, 0,
  IF(COLUMN() - ($E14 + 5) = 0, $F14,
    AD14 * (1 - IFERROR(INDEX('Inputs &amp; Assuptions'!$D$13:$D$72, COLUMN() - ($E14 + 5)), 0))
  )
)</f>
        <v>953.34496709208952</v>
      </c>
      <c r="AF14" s="32">
        <f t="array" ref="AF14">IF(COLUMN() - ($E14 + 5) &lt; 0, 0,
  IF(COLUMN() - ($E14 + 5) = 0, $F14,
    AE14 * (1 - IFERROR(INDEX('Inputs &amp; Assuptions'!$D$13:$D$72, COLUMN() - ($E14 + 5)), 0))
  )
)</f>
        <v>952.86829460854358</v>
      </c>
      <c r="AG14" s="32">
        <f t="array" ref="AG14">IF(COLUMN() - ($E14 + 5) &lt; 0, 0,
  IF(COLUMN() - ($E14 + 5) = 0, $F14,
    AF14 * (1 - IFERROR(INDEX('Inputs &amp; Assuptions'!$D$13:$D$72, COLUMN() - ($E14 + 5)), 0))
  )
)</f>
        <v>952.39186046123939</v>
      </c>
      <c r="AH14" s="32">
        <f t="array" ref="AH14">IF(COLUMN() - ($E14 + 5) &lt; 0, 0,
  IF(COLUMN() - ($E14 + 5) = 0, $F14,
    AG14 * (1 - IFERROR(INDEX('Inputs &amp; Assuptions'!$D$13:$D$72, COLUMN() - ($E14 + 5)), 0))
  )
)</f>
        <v>951.91566453100882</v>
      </c>
      <c r="AI14" s="32">
        <f t="array" ref="AI14">IF(COLUMN() - ($E14 + 5) &lt; 0, 0,
  IF(COLUMN() - ($E14 + 5) = 0, $F14,
    AH14 * (1 - IFERROR(INDEX('Inputs &amp; Assuptions'!$D$13:$D$72, COLUMN() - ($E14 + 5)), 0))
  )
)</f>
        <v>951.43970669874341</v>
      </c>
      <c r="AJ14" s="32">
        <f t="array" ref="AJ14">IF(COLUMN() - ($E14 + 5) &lt; 0, 0,
  IF(COLUMN() - ($E14 + 5) = 0, $F14,
    AI14 * (1 - IFERROR(INDEX('Inputs &amp; Assuptions'!$D$13:$D$72, COLUMN() - ($E14 + 5)), 0))
  )
)</f>
        <v>950.96398684539406</v>
      </c>
      <c r="AK14" s="32">
        <f t="array" ref="AK14">IF(COLUMN() - ($E14 + 5) &lt; 0, 0,
  IF(COLUMN() - ($E14 + 5) = 0, $F14,
    AJ14 * (1 - IFERROR(INDEX('Inputs &amp; Assuptions'!$D$13:$D$72, COLUMN() - ($E14 + 5)), 0))
  )
)</f>
        <v>950.48850485197147</v>
      </c>
      <c r="AL14" s="32">
        <f t="array" ref="AL14">IF(COLUMN() - ($E14 + 5) &lt; 0, 0,
  IF(COLUMN() - ($E14 + 5) = 0, $F14,
    AK14 * (1 - IFERROR(INDEX('Inputs &amp; Assuptions'!$D$13:$D$72, COLUMN() - ($E14 + 5)), 0))
  )
)</f>
        <v>950.01326059954556</v>
      </c>
      <c r="AM14" s="32">
        <f t="array" ref="AM14">IF(COLUMN() - ($E14 + 5) &lt; 0, 0,
  IF(COLUMN() - ($E14 + 5) = 0, $F14,
    AL14 * (1 - IFERROR(INDEX('Inputs &amp; Assuptions'!$D$13:$D$72, COLUMN() - ($E14 + 5)), 0))
  )
)</f>
        <v>949.53825396924583</v>
      </c>
      <c r="AN14" s="32">
        <f t="array" ref="AN14">IF(COLUMN() - ($E14 + 5) &lt; 0, 0,
  IF(COLUMN() - ($E14 + 5) = 0, $F14,
    AM14 * (1 - IFERROR(INDEX('Inputs &amp; Assuptions'!$D$13:$D$72, COLUMN() - ($E14 + 5)), 0))
  )
)</f>
        <v>949.06348484226123</v>
      </c>
      <c r="AO14" s="32">
        <f t="array" ref="AO14">IF(COLUMN() - ($E14 + 5) &lt; 0, 0,
  IF(COLUMN() - ($E14 + 5) = 0, $F14,
    AN14 * (1 - IFERROR(INDEX('Inputs &amp; Assuptions'!$D$13:$D$72, COLUMN() - ($E14 + 5)), 0))
  )
)</f>
        <v>948.58895309984018</v>
      </c>
      <c r="AP14" s="32">
        <f t="array" ref="AP14">IF(COLUMN() - ($E14 + 5) &lt; 0, 0,
  IF(COLUMN() - ($E14 + 5) = 0, $F14,
    AO14 * (1 - IFERROR(INDEX('Inputs &amp; Assuptions'!$D$13:$D$72, COLUMN() - ($E14 + 5)), 0))
  )
)</f>
        <v>948.11465862329032</v>
      </c>
      <c r="AQ14" s="32">
        <f t="array" ref="AQ14">IF(COLUMN() - ($E14 + 5) &lt; 0, 0,
  IF(COLUMN() - ($E14 + 5) = 0, $F14,
    AP14 * (1 - IFERROR(INDEX('Inputs &amp; Assuptions'!$D$13:$D$72, COLUMN() - ($E14 + 5)), 0))
  )
)</f>
        <v>947.64060129397876</v>
      </c>
      <c r="AR14" s="32">
        <f t="array" ref="AR14">IF(COLUMN() - ($E14 + 5) &lt; 0, 0,
  IF(COLUMN() - ($E14 + 5) = 0, $F14,
    AQ14 * (1 - IFERROR(INDEX('Inputs &amp; Assuptions'!$D$13:$D$72, COLUMN() - ($E14 + 5)), 0))
  )
)</f>
        <v>947.16678099333183</v>
      </c>
      <c r="AS14" s="32">
        <f t="array" ref="AS14">IF(COLUMN() - ($E14 + 5) &lt; 0, 0,
  IF(COLUMN() - ($E14 + 5) = 0, $F14,
    AR14 * (1 - IFERROR(INDEX('Inputs &amp; Assuptions'!$D$13:$D$72, COLUMN() - ($E14 + 5)), 0))
  )
)</f>
        <v>946.6931976028352</v>
      </c>
      <c r="AT14" s="32">
        <f t="array" ref="AT14">IF(COLUMN() - ($E14 + 5) &lt; 0, 0,
  IF(COLUMN() - ($E14 + 5) = 0, $F14,
    AS14 * (1 - IFERROR(INDEX('Inputs &amp; Assuptions'!$D$13:$D$72, COLUMN() - ($E14 + 5)), 0))
  )
)</f>
        <v>946.21985100403379</v>
      </c>
      <c r="AU14" s="32">
        <f t="array" ref="AU14">IF(COLUMN() - ($E14 + 5) &lt; 0, 0,
  IF(COLUMN() - ($E14 + 5) = 0, $F14,
    AT14 * (1 - IFERROR(INDEX('Inputs &amp; Assuptions'!$D$13:$D$72, COLUMN() - ($E14 + 5)), 0))
  )
)</f>
        <v>945.74674107853184</v>
      </c>
      <c r="AV14" s="32">
        <f t="array" ref="AV14">IF(COLUMN() - ($E14 + 5) &lt; 0, 0,
  IF(COLUMN() - ($E14 + 5) = 0, $F14,
    AU14 * (1 - IFERROR(INDEX('Inputs &amp; Assuptions'!$D$13:$D$72, COLUMN() - ($E14 + 5)), 0))
  )
)</f>
        <v>945.27386770799262</v>
      </c>
      <c r="AW14" s="32">
        <f t="array" ref="AW14">IF(COLUMN() - ($E14 + 5) &lt; 0, 0,
  IF(COLUMN() - ($E14 + 5) = 0, $F14,
    AV14 * (1 - IFERROR(INDEX('Inputs &amp; Assuptions'!$D$13:$D$72, COLUMN() - ($E14 + 5)), 0))
  )
)</f>
        <v>944.80123077413873</v>
      </c>
      <c r="AX14" s="32">
        <f t="array" ref="AX14">IF(COLUMN() - ($E14 + 5) &lt; 0, 0,
  IF(COLUMN() - ($E14 + 5) = 0, $F14,
    AW14 * (1 - IFERROR(INDEX('Inputs &amp; Assuptions'!$D$13:$D$72, COLUMN() - ($E14 + 5)), 0))
  )
)</f>
        <v>944.32883015875166</v>
      </c>
      <c r="AY14" s="32">
        <f t="array" ref="AY14">IF(COLUMN() - ($E14 + 5) &lt; 0, 0,
  IF(COLUMN() - ($E14 + 5) = 0, $F14,
    AX14 * (1 - IFERROR(INDEX('Inputs &amp; Assuptions'!$D$13:$D$72, COLUMN() - ($E14 + 5)), 0))
  )
)</f>
        <v>943.85666574367235</v>
      </c>
      <c r="AZ14" s="32">
        <f t="array" ref="AZ14">IF(COLUMN() - ($E14 + 5) &lt; 0, 0,
  IF(COLUMN() - ($E14 + 5) = 0, $F14,
    AY14 * (1 - IFERROR(INDEX('Inputs &amp; Assuptions'!$D$13:$D$72, COLUMN() - ($E14 + 5)), 0))
  )
)</f>
        <v>943.38473741080054</v>
      </c>
      <c r="BA14" s="32">
        <f t="array" ref="BA14">IF(COLUMN() - ($E14 + 5) &lt; 0, 0,
  IF(COLUMN() - ($E14 + 5) = 0, $F14,
    AZ14 * (1 - IFERROR(INDEX('Inputs &amp; Assuptions'!$D$13:$D$72, COLUMN() - ($E14 + 5)), 0))
  )
)</f>
        <v>942.91304504209518</v>
      </c>
      <c r="BB14" s="32">
        <f t="array" ref="BB14">IF(COLUMN() - ($E14 + 5) &lt; 0, 0,
  IF(COLUMN() - ($E14 + 5) = 0, $F14,
    BA14 * (1 - IFERROR(INDEX('Inputs &amp; Assuptions'!$D$13:$D$72, COLUMN() - ($E14 + 5)), 0))
  )
)</f>
        <v>942.44158851957422</v>
      </c>
      <c r="BC14" s="32">
        <f t="array" ref="BC14">IF(COLUMN() - ($E14 + 5) &lt; 0, 0,
  IF(COLUMN() - ($E14 + 5) = 0, $F14,
    BB14 * (1 - IFERROR(INDEX('Inputs &amp; Assuptions'!$D$13:$D$72, COLUMN() - ($E14 + 5)), 0))
  )
)</f>
        <v>941.97036772531453</v>
      </c>
      <c r="BD14" s="32">
        <f t="array" ref="BD14">IF(COLUMN() - ($E14 + 5) &lt; 0, 0,
  IF(COLUMN() - ($E14 + 5) = 0, $F14,
    BC14 * (1 - IFERROR(INDEX('Inputs &amp; Assuptions'!$D$13:$D$72, COLUMN() - ($E14 + 5)), 0))
  )
)</f>
        <v>941.49938254145195</v>
      </c>
      <c r="BE14" s="32">
        <f t="array" ref="BE14">IF(COLUMN() - ($E14 + 5) &lt; 0, 0,
  IF(COLUMN() - ($E14 + 5) = 0, $F14,
    BD14 * (1 - IFERROR(INDEX('Inputs &amp; Assuptions'!$D$13:$D$72, COLUMN() - ($E14 + 5)), 0))
  )
)</f>
        <v>941.02863285018122</v>
      </c>
      <c r="BF14" s="32">
        <f t="array" ref="BF14">IF(COLUMN() - ($E14 + 5) &lt; 0, 0,
  IF(COLUMN() - ($E14 + 5) = 0, $F14,
    BE14 * (1 - IFERROR(INDEX('Inputs &amp; Assuptions'!$D$13:$D$72, COLUMN() - ($E14 + 5)), 0))
  )
)</f>
        <v>940.55811853375621</v>
      </c>
      <c r="BG14" s="32">
        <f t="array" ref="BG14">IF(COLUMN() - ($E14 + 5) &lt; 0, 0,
  IF(COLUMN() - ($E14 + 5) = 0, $F14,
    BF14 * (1 - IFERROR(INDEX('Inputs &amp; Assuptions'!$D$13:$D$72, COLUMN() - ($E14 + 5)), 0))
  )
)</f>
        <v>940.08783947448944</v>
      </c>
      <c r="BH14" s="32">
        <f t="array" ref="BH14">IF(COLUMN() - ($E14 + 5) &lt; 0, 0,
  IF(COLUMN() - ($E14 + 5) = 0, $F14,
    BG14 * (1 - IFERROR(INDEX('Inputs &amp; Assuptions'!$D$13:$D$72, COLUMN() - ($E14 + 5)), 0))
  )
)</f>
        <v>939.61779555475221</v>
      </c>
      <c r="BI14" s="32">
        <f t="array" ref="BI14">IF(COLUMN() - ($E14 + 5) &lt; 0, 0,
  IF(COLUMN() - ($E14 + 5) = 0, $F14,
    BH14 * (1 - IFERROR(INDEX('Inputs &amp; Assuptions'!$D$13:$D$72, COLUMN() - ($E14 + 5)), 0))
  )
)</f>
        <v>939.14798665697492</v>
      </c>
      <c r="BJ14" s="32">
        <f t="array" ref="BJ14">IF(COLUMN() - ($E14 + 5) &lt; 0, 0,
  IF(COLUMN() - ($E14 + 5) = 0, $F14,
    BI14 * (1 - IFERROR(INDEX('Inputs &amp; Assuptions'!$D$13:$D$72, COLUMN() - ($E14 + 5)), 0))
  )
)</f>
        <v>938.67841266364644</v>
      </c>
      <c r="BK14" s="32">
        <f t="array" ref="BK14">IF(COLUMN() - ($E14 + 5) &lt; 0, 0,
  IF(COLUMN() - ($E14 + 5) = 0, $F14,
    BJ14 * (1 - IFERROR(INDEX('Inputs &amp; Assuptions'!$D$13:$D$72, COLUMN() - ($E14 + 5)), 0))
  )
)</f>
        <v>938.20907345731462</v>
      </c>
      <c r="BL14" s="32">
        <f t="array" ref="BL14">IF(COLUMN() - ($E14 + 5) &lt; 0, 0,
  IF(COLUMN() - ($E14 + 5) = 0, $F14,
    BK14 * (1 - IFERROR(INDEX('Inputs &amp; Assuptions'!$D$13:$D$72, COLUMN() - ($E14 + 5)), 0))
  )
)</f>
        <v>937.73996892058597</v>
      </c>
      <c r="BM14" s="66">
        <f t="array" ref="BM14">IF(COLUMN() - ($E14 + 5) &lt; 0, 0,
  IF(COLUMN() - ($E14 + 5) = 0, $F14,
    BL14 * (1 - IFERROR(INDEX('Inputs &amp; Assuptions'!$D$13:$D$72, COLUMN() - ($E14 + 5)), 0))
  )
)</f>
        <v>937.27109893612567</v>
      </c>
      <c r="BN14" s="33"/>
    </row>
    <row r="15" spans="1:67" x14ac:dyDescent="0.3">
      <c r="A15" s="71">
        <f t="shared" si="2"/>
        <v>10</v>
      </c>
      <c r="B15" s="75">
        <f t="shared" si="4"/>
        <v>1000</v>
      </c>
      <c r="C15" s="76">
        <f>$B15*(1-'Inputs &amp; Assuptions'!$D$12)</f>
        <v>978</v>
      </c>
      <c r="E15" s="71">
        <f t="shared" si="3"/>
        <v>10</v>
      </c>
      <c r="F15" s="65"/>
      <c r="G15" s="32"/>
      <c r="H15" s="32"/>
      <c r="I15" s="32"/>
      <c r="J15" s="32"/>
      <c r="K15" s="32"/>
      <c r="L15" s="32"/>
      <c r="M15" s="32"/>
      <c r="N15" s="32"/>
      <c r="O15" s="32">
        <f>$C15</f>
        <v>978</v>
      </c>
      <c r="P15" s="32">
        <f t="array" ref="P15">IF(COLUMN() - ($E15 + 5) &lt; 0, 0,
  IF(COLUMN() - ($E15 + 5) = 0, $F15,
    O15 * (1 - IFERROR(INDEX('Inputs &amp; Assuptions'!$D$13:$D$72, COLUMN() - ($E15 + 5)), 0))
  )
)</f>
        <v>973.11</v>
      </c>
      <c r="Q15" s="32">
        <f t="array" ref="Q15">IF(COLUMN() - ($E15 + 5) &lt; 0, 0,
  IF(COLUMN() - ($E15 + 5) = 0, $F15,
    P15 * (1 - IFERROR(INDEX('Inputs &amp; Assuptions'!$D$13:$D$72, COLUMN() - ($E15 + 5)), 0))
  )
)</f>
        <v>969.41218200000003</v>
      </c>
      <c r="R15" s="32">
        <f t="array" ref="R15">IF(COLUMN() - ($E15 + 5) &lt; 0, 0,
  IF(COLUMN() - ($E15 + 5) = 0, $F15,
    Q15 * (1 - IFERROR(INDEX('Inputs &amp; Assuptions'!$D$13:$D$72, COLUMN() - ($E15 + 5)), 0))
  )
)</f>
        <v>966.98865154500004</v>
      </c>
      <c r="S15" s="32">
        <f t="array" ref="S15">IF(COLUMN() - ($E15 + 5) &lt; 0, 0,
  IF(COLUMN() - ($E15 + 5) = 0, $F15,
    R15 * (1 - IFERROR(INDEX('Inputs &amp; Assuptions'!$D$13:$D$72, COLUMN() - ($E15 + 5)), 0))
  )
)</f>
        <v>964.76457764644658</v>
      </c>
      <c r="T15" s="32">
        <f t="array" ref="T15">IF(COLUMN() - ($E15 + 5) &lt; 0, 0,
  IF(COLUMN() - ($E15 + 5) = 0, $F15,
    S15 * (1 - IFERROR(INDEX('Inputs &amp; Assuptions'!$D$13:$D$72, COLUMN() - ($E15 + 5)), 0))
  )
)</f>
        <v>962.83504849115366</v>
      </c>
      <c r="U15" s="32">
        <f t="array" ref="U15">IF(COLUMN() - ($E15 + 5) &lt; 0, 0,
  IF(COLUMN() - ($E15 + 5) = 0, $F15,
    T15 * (1 - IFERROR(INDEX('Inputs &amp; Assuptions'!$D$13:$D$72, COLUMN() - ($E15 + 5)), 0))
  )
)</f>
        <v>961.10194540386954</v>
      </c>
      <c r="V15" s="32">
        <f t="array" ref="V15">IF(COLUMN() - ($E15 + 5) &lt; 0, 0,
  IF(COLUMN() - ($E15 + 5) = 0, $F15,
    U15 * (1 - IFERROR(INDEX('Inputs &amp; Assuptions'!$D$13:$D$72, COLUMN() - ($E15 + 5)), 0))
  )
)</f>
        <v>959.66029248576376</v>
      </c>
      <c r="W15" s="32">
        <f t="array" ref="W15">IF(COLUMN() - ($E15 + 5) &lt; 0, 0,
  IF(COLUMN() - ($E15 + 5) = 0, $F15,
    V15 * (1 - IFERROR(INDEX('Inputs &amp; Assuptions'!$D$13:$D$72, COLUMN() - ($E15 + 5)), 0))
  )
)</f>
        <v>958.41273410553231</v>
      </c>
      <c r="X15" s="32">
        <f t="array" ref="X15">IF(COLUMN() - ($E15 + 5) &lt; 0, 0,
  IF(COLUMN() - ($E15 + 5) = 0, $F15,
    W15 * (1 - IFERROR(INDEX('Inputs &amp; Assuptions'!$D$13:$D$72, COLUMN() - ($E15 + 5)), 0))
  )
)</f>
        <v>957.45432137142677</v>
      </c>
      <c r="Y15" s="32">
        <f t="array" ref="Y15">IF(COLUMN() - ($E15 + 5) &lt; 0, 0,
  IF(COLUMN() - ($E15 + 5) = 0, $F15,
    X15 * (1 - IFERROR(INDEX('Inputs &amp; Assuptions'!$D$13:$D$72, COLUMN() - ($E15 + 5)), 0))
  )
)</f>
        <v>956.68835791432957</v>
      </c>
      <c r="Z15" s="32">
        <f t="array" ref="Z15">IF(COLUMN() - ($E15 + 5) &lt; 0, 0,
  IF(COLUMN() - ($E15 + 5) = 0, $F15,
    Y15 * (1 - IFERROR(INDEX('Inputs &amp; Assuptions'!$D$13:$D$72, COLUMN() - ($E15 + 5)), 0))
  )
)</f>
        <v>956.21001373537251</v>
      </c>
      <c r="AA15" s="32">
        <f t="array" ref="AA15">IF(COLUMN() - ($E15 + 5) &lt; 0, 0,
  IF(COLUMN() - ($E15 + 5) = 0, $F15,
    Z15 * (1 - IFERROR(INDEX('Inputs &amp; Assuptions'!$D$13:$D$72, COLUMN() - ($E15 + 5)), 0))
  )
)</f>
        <v>955.73190872850489</v>
      </c>
      <c r="AB15" s="32">
        <f t="array" ref="AB15">IF(COLUMN() - ($E15 + 5) &lt; 0, 0,
  IF(COLUMN() - ($E15 + 5) = 0, $F15,
    AA15 * (1 - IFERROR(INDEX('Inputs &amp; Assuptions'!$D$13:$D$72, COLUMN() - ($E15 + 5)), 0))
  )
)</f>
        <v>955.25404277414066</v>
      </c>
      <c r="AC15" s="32">
        <f t="array" ref="AC15">IF(COLUMN() - ($E15 + 5) &lt; 0, 0,
  IF(COLUMN() - ($E15 + 5) = 0, $F15,
    AB15 * (1 - IFERROR(INDEX('Inputs &amp; Assuptions'!$D$13:$D$72, COLUMN() - ($E15 + 5)), 0))
  )
)</f>
        <v>954.77641575275368</v>
      </c>
      <c r="AD15" s="32">
        <f t="array" ref="AD15">IF(COLUMN() - ($E15 + 5) &lt; 0, 0,
  IF(COLUMN() - ($E15 + 5) = 0, $F15,
    AC15 * (1 - IFERROR(INDEX('Inputs &amp; Assuptions'!$D$13:$D$72, COLUMN() - ($E15 + 5)), 0))
  )
)</f>
        <v>954.29902754487739</v>
      </c>
      <c r="AE15" s="32">
        <f t="array" ref="AE15">IF(COLUMN() - ($E15 + 5) &lt; 0, 0,
  IF(COLUMN() - ($E15 + 5) = 0, $F15,
    AD15 * (1 - IFERROR(INDEX('Inputs &amp; Assuptions'!$D$13:$D$72, COLUMN() - ($E15 + 5)), 0))
  )
)</f>
        <v>953.82187803110503</v>
      </c>
      <c r="AF15" s="32">
        <f t="array" ref="AF15">IF(COLUMN() - ($E15 + 5) &lt; 0, 0,
  IF(COLUMN() - ($E15 + 5) = 0, $F15,
    AE15 * (1 - IFERROR(INDEX('Inputs &amp; Assuptions'!$D$13:$D$72, COLUMN() - ($E15 + 5)), 0))
  )
)</f>
        <v>953.34496709208952</v>
      </c>
      <c r="AG15" s="32">
        <f t="array" ref="AG15">IF(COLUMN() - ($E15 + 5) &lt; 0, 0,
  IF(COLUMN() - ($E15 + 5) = 0, $F15,
    AF15 * (1 - IFERROR(INDEX('Inputs &amp; Assuptions'!$D$13:$D$72, COLUMN() - ($E15 + 5)), 0))
  )
)</f>
        <v>952.86829460854358</v>
      </c>
      <c r="AH15" s="32">
        <f t="array" ref="AH15">IF(COLUMN() - ($E15 + 5) &lt; 0, 0,
  IF(COLUMN() - ($E15 + 5) = 0, $F15,
    AG15 * (1 - IFERROR(INDEX('Inputs &amp; Assuptions'!$D$13:$D$72, COLUMN() - ($E15 + 5)), 0))
  )
)</f>
        <v>952.39186046123939</v>
      </c>
      <c r="AI15" s="32">
        <f t="array" ref="AI15">IF(COLUMN() - ($E15 + 5) &lt; 0, 0,
  IF(COLUMN() - ($E15 + 5) = 0, $F15,
    AH15 * (1 - IFERROR(INDEX('Inputs &amp; Assuptions'!$D$13:$D$72, COLUMN() - ($E15 + 5)), 0))
  )
)</f>
        <v>951.91566453100882</v>
      </c>
      <c r="AJ15" s="32">
        <f t="array" ref="AJ15">IF(COLUMN() - ($E15 + 5) &lt; 0, 0,
  IF(COLUMN() - ($E15 + 5) = 0, $F15,
    AI15 * (1 - IFERROR(INDEX('Inputs &amp; Assuptions'!$D$13:$D$72, COLUMN() - ($E15 + 5)), 0))
  )
)</f>
        <v>951.43970669874341</v>
      </c>
      <c r="AK15" s="32">
        <f t="array" ref="AK15">IF(COLUMN() - ($E15 + 5) &lt; 0, 0,
  IF(COLUMN() - ($E15 + 5) = 0, $F15,
    AJ15 * (1 - IFERROR(INDEX('Inputs &amp; Assuptions'!$D$13:$D$72, COLUMN() - ($E15 + 5)), 0))
  )
)</f>
        <v>950.96398684539406</v>
      </c>
      <c r="AL15" s="32">
        <f t="array" ref="AL15">IF(COLUMN() - ($E15 + 5) &lt; 0, 0,
  IF(COLUMN() - ($E15 + 5) = 0, $F15,
    AK15 * (1 - IFERROR(INDEX('Inputs &amp; Assuptions'!$D$13:$D$72, COLUMN() - ($E15 + 5)), 0))
  )
)</f>
        <v>950.48850485197147</v>
      </c>
      <c r="AM15" s="32">
        <f t="array" ref="AM15">IF(COLUMN() - ($E15 + 5) &lt; 0, 0,
  IF(COLUMN() - ($E15 + 5) = 0, $F15,
    AL15 * (1 - IFERROR(INDEX('Inputs &amp; Assuptions'!$D$13:$D$72, COLUMN() - ($E15 + 5)), 0))
  )
)</f>
        <v>950.01326059954556</v>
      </c>
      <c r="AN15" s="32">
        <f t="array" ref="AN15">IF(COLUMN() - ($E15 + 5) &lt; 0, 0,
  IF(COLUMN() - ($E15 + 5) = 0, $F15,
    AM15 * (1 - IFERROR(INDEX('Inputs &amp; Assuptions'!$D$13:$D$72, COLUMN() - ($E15 + 5)), 0))
  )
)</f>
        <v>949.53825396924583</v>
      </c>
      <c r="AO15" s="32">
        <f t="array" ref="AO15">IF(COLUMN() - ($E15 + 5) &lt; 0, 0,
  IF(COLUMN() - ($E15 + 5) = 0, $F15,
    AN15 * (1 - IFERROR(INDEX('Inputs &amp; Assuptions'!$D$13:$D$72, COLUMN() - ($E15 + 5)), 0))
  )
)</f>
        <v>949.06348484226123</v>
      </c>
      <c r="AP15" s="32">
        <f t="array" ref="AP15">IF(COLUMN() - ($E15 + 5) &lt; 0, 0,
  IF(COLUMN() - ($E15 + 5) = 0, $F15,
    AO15 * (1 - IFERROR(INDEX('Inputs &amp; Assuptions'!$D$13:$D$72, COLUMN() - ($E15 + 5)), 0))
  )
)</f>
        <v>948.58895309984018</v>
      </c>
      <c r="AQ15" s="32">
        <f t="array" ref="AQ15">IF(COLUMN() - ($E15 + 5) &lt; 0, 0,
  IF(COLUMN() - ($E15 + 5) = 0, $F15,
    AP15 * (1 - IFERROR(INDEX('Inputs &amp; Assuptions'!$D$13:$D$72, COLUMN() - ($E15 + 5)), 0))
  )
)</f>
        <v>948.11465862329032</v>
      </c>
      <c r="AR15" s="32">
        <f t="array" ref="AR15">IF(COLUMN() - ($E15 + 5) &lt; 0, 0,
  IF(COLUMN() - ($E15 + 5) = 0, $F15,
    AQ15 * (1 - IFERROR(INDEX('Inputs &amp; Assuptions'!$D$13:$D$72, COLUMN() - ($E15 + 5)), 0))
  )
)</f>
        <v>947.64060129397876</v>
      </c>
      <c r="AS15" s="32">
        <f t="array" ref="AS15">IF(COLUMN() - ($E15 + 5) &lt; 0, 0,
  IF(COLUMN() - ($E15 + 5) = 0, $F15,
    AR15 * (1 - IFERROR(INDEX('Inputs &amp; Assuptions'!$D$13:$D$72, COLUMN() - ($E15 + 5)), 0))
  )
)</f>
        <v>947.16678099333183</v>
      </c>
      <c r="AT15" s="32">
        <f t="array" ref="AT15">IF(COLUMN() - ($E15 + 5) &lt; 0, 0,
  IF(COLUMN() - ($E15 + 5) = 0, $F15,
    AS15 * (1 - IFERROR(INDEX('Inputs &amp; Assuptions'!$D$13:$D$72, COLUMN() - ($E15 + 5)), 0))
  )
)</f>
        <v>946.6931976028352</v>
      </c>
      <c r="AU15" s="32">
        <f t="array" ref="AU15">IF(COLUMN() - ($E15 + 5) &lt; 0, 0,
  IF(COLUMN() - ($E15 + 5) = 0, $F15,
    AT15 * (1 - IFERROR(INDEX('Inputs &amp; Assuptions'!$D$13:$D$72, COLUMN() - ($E15 + 5)), 0))
  )
)</f>
        <v>946.21985100403379</v>
      </c>
      <c r="AV15" s="32">
        <f t="array" ref="AV15">IF(COLUMN() - ($E15 + 5) &lt; 0, 0,
  IF(COLUMN() - ($E15 + 5) = 0, $F15,
    AU15 * (1 - IFERROR(INDEX('Inputs &amp; Assuptions'!$D$13:$D$72, COLUMN() - ($E15 + 5)), 0))
  )
)</f>
        <v>945.74674107853184</v>
      </c>
      <c r="AW15" s="32">
        <f t="array" ref="AW15">IF(COLUMN() - ($E15 + 5) &lt; 0, 0,
  IF(COLUMN() - ($E15 + 5) = 0, $F15,
    AV15 * (1 - IFERROR(INDEX('Inputs &amp; Assuptions'!$D$13:$D$72, COLUMN() - ($E15 + 5)), 0))
  )
)</f>
        <v>945.27386770799262</v>
      </c>
      <c r="AX15" s="32">
        <f t="array" ref="AX15">IF(COLUMN() - ($E15 + 5) &lt; 0, 0,
  IF(COLUMN() - ($E15 + 5) = 0, $F15,
    AW15 * (1 - IFERROR(INDEX('Inputs &amp; Assuptions'!$D$13:$D$72, COLUMN() - ($E15 + 5)), 0))
  )
)</f>
        <v>944.80123077413873</v>
      </c>
      <c r="AY15" s="32">
        <f t="array" ref="AY15">IF(COLUMN() - ($E15 + 5) &lt; 0, 0,
  IF(COLUMN() - ($E15 + 5) = 0, $F15,
    AX15 * (1 - IFERROR(INDEX('Inputs &amp; Assuptions'!$D$13:$D$72, COLUMN() - ($E15 + 5)), 0))
  )
)</f>
        <v>944.32883015875166</v>
      </c>
      <c r="AZ15" s="32">
        <f t="array" ref="AZ15">IF(COLUMN() - ($E15 + 5) &lt; 0, 0,
  IF(COLUMN() - ($E15 + 5) = 0, $F15,
    AY15 * (1 - IFERROR(INDEX('Inputs &amp; Assuptions'!$D$13:$D$72, COLUMN() - ($E15 + 5)), 0))
  )
)</f>
        <v>943.85666574367235</v>
      </c>
      <c r="BA15" s="32">
        <f t="array" ref="BA15">IF(COLUMN() - ($E15 + 5) &lt; 0, 0,
  IF(COLUMN() - ($E15 + 5) = 0, $F15,
    AZ15 * (1 - IFERROR(INDEX('Inputs &amp; Assuptions'!$D$13:$D$72, COLUMN() - ($E15 + 5)), 0))
  )
)</f>
        <v>943.38473741080054</v>
      </c>
      <c r="BB15" s="32">
        <f t="array" ref="BB15">IF(COLUMN() - ($E15 + 5) &lt; 0, 0,
  IF(COLUMN() - ($E15 + 5) = 0, $F15,
    BA15 * (1 - IFERROR(INDEX('Inputs &amp; Assuptions'!$D$13:$D$72, COLUMN() - ($E15 + 5)), 0))
  )
)</f>
        <v>942.91304504209518</v>
      </c>
      <c r="BC15" s="32">
        <f t="array" ref="BC15">IF(COLUMN() - ($E15 + 5) &lt; 0, 0,
  IF(COLUMN() - ($E15 + 5) = 0, $F15,
    BB15 * (1 - IFERROR(INDEX('Inputs &amp; Assuptions'!$D$13:$D$72, COLUMN() - ($E15 + 5)), 0))
  )
)</f>
        <v>942.44158851957422</v>
      </c>
      <c r="BD15" s="32">
        <f t="array" ref="BD15">IF(COLUMN() - ($E15 + 5) &lt; 0, 0,
  IF(COLUMN() - ($E15 + 5) = 0, $F15,
    BC15 * (1 - IFERROR(INDEX('Inputs &amp; Assuptions'!$D$13:$D$72, COLUMN() - ($E15 + 5)), 0))
  )
)</f>
        <v>941.97036772531453</v>
      </c>
      <c r="BE15" s="32">
        <f t="array" ref="BE15">IF(COLUMN() - ($E15 + 5) &lt; 0, 0,
  IF(COLUMN() - ($E15 + 5) = 0, $F15,
    BD15 * (1 - IFERROR(INDEX('Inputs &amp; Assuptions'!$D$13:$D$72, COLUMN() - ($E15 + 5)), 0))
  )
)</f>
        <v>941.49938254145195</v>
      </c>
      <c r="BF15" s="32">
        <f t="array" ref="BF15">IF(COLUMN() - ($E15 + 5) &lt; 0, 0,
  IF(COLUMN() - ($E15 + 5) = 0, $F15,
    BE15 * (1 - IFERROR(INDEX('Inputs &amp; Assuptions'!$D$13:$D$72, COLUMN() - ($E15 + 5)), 0))
  )
)</f>
        <v>941.02863285018122</v>
      </c>
      <c r="BG15" s="32">
        <f t="array" ref="BG15">IF(COLUMN() - ($E15 + 5) &lt; 0, 0,
  IF(COLUMN() - ($E15 + 5) = 0, $F15,
    BF15 * (1 - IFERROR(INDEX('Inputs &amp; Assuptions'!$D$13:$D$72, COLUMN() - ($E15 + 5)), 0))
  )
)</f>
        <v>940.55811853375621</v>
      </c>
      <c r="BH15" s="32">
        <f t="array" ref="BH15">IF(COLUMN() - ($E15 + 5) &lt; 0, 0,
  IF(COLUMN() - ($E15 + 5) = 0, $F15,
    BG15 * (1 - IFERROR(INDEX('Inputs &amp; Assuptions'!$D$13:$D$72, COLUMN() - ($E15 + 5)), 0))
  )
)</f>
        <v>940.08783947448944</v>
      </c>
      <c r="BI15" s="32">
        <f t="array" ref="BI15">IF(COLUMN() - ($E15 + 5) &lt; 0, 0,
  IF(COLUMN() - ($E15 + 5) = 0, $F15,
    BH15 * (1 - IFERROR(INDEX('Inputs &amp; Assuptions'!$D$13:$D$72, COLUMN() - ($E15 + 5)), 0))
  )
)</f>
        <v>939.61779555475221</v>
      </c>
      <c r="BJ15" s="32">
        <f t="array" ref="BJ15">IF(COLUMN() - ($E15 + 5) &lt; 0, 0,
  IF(COLUMN() - ($E15 + 5) = 0, $F15,
    BI15 * (1 - IFERROR(INDEX('Inputs &amp; Assuptions'!$D$13:$D$72, COLUMN() - ($E15 + 5)), 0))
  )
)</f>
        <v>939.14798665697492</v>
      </c>
      <c r="BK15" s="32">
        <f t="array" ref="BK15">IF(COLUMN() - ($E15 + 5) &lt; 0, 0,
  IF(COLUMN() - ($E15 + 5) = 0, $F15,
    BJ15 * (1 - IFERROR(INDEX('Inputs &amp; Assuptions'!$D$13:$D$72, COLUMN() - ($E15 + 5)), 0))
  )
)</f>
        <v>938.67841266364644</v>
      </c>
      <c r="BL15" s="32">
        <f t="array" ref="BL15">IF(COLUMN() - ($E15 + 5) &lt; 0, 0,
  IF(COLUMN() - ($E15 + 5) = 0, $F15,
    BK15 * (1 - IFERROR(INDEX('Inputs &amp; Assuptions'!$D$13:$D$72, COLUMN() - ($E15 + 5)), 0))
  )
)</f>
        <v>938.20907345731462</v>
      </c>
      <c r="BM15" s="66">
        <f t="array" ref="BM15">IF(COLUMN() - ($E15 + 5) &lt; 0, 0,
  IF(COLUMN() - ($E15 + 5) = 0, $F15,
    BL15 * (1 - IFERROR(INDEX('Inputs &amp; Assuptions'!$D$13:$D$72, COLUMN() - ($E15 + 5)), 0))
  )
)</f>
        <v>937.73996892058597</v>
      </c>
      <c r="BN15" s="33"/>
    </row>
    <row r="16" spans="1:67" x14ac:dyDescent="0.3">
      <c r="A16" s="71">
        <f t="shared" si="2"/>
        <v>11</v>
      </c>
      <c r="B16" s="75">
        <f t="shared" si="4"/>
        <v>1000</v>
      </c>
      <c r="C16" s="76">
        <f>$B16*(1-'Inputs &amp; Assuptions'!$D$12)</f>
        <v>978</v>
      </c>
      <c r="E16" s="71">
        <f t="shared" si="3"/>
        <v>11</v>
      </c>
      <c r="F16" s="65"/>
      <c r="G16" s="32"/>
      <c r="H16" s="32"/>
      <c r="I16" s="32"/>
      <c r="J16" s="32"/>
      <c r="K16" s="32"/>
      <c r="L16" s="32"/>
      <c r="M16" s="32"/>
      <c r="N16" s="32"/>
      <c r="O16" s="32"/>
      <c r="P16" s="32">
        <f>$C16</f>
        <v>978</v>
      </c>
      <c r="Q16" s="32">
        <f t="array" ref="Q16">IF(COLUMN() - ($E16 + 5) &lt; 0, 0,
  IF(COLUMN() - ($E16 + 5) = 0, $F16,
    P16 * (1 - IFERROR(INDEX('Inputs &amp; Assuptions'!$D$13:$D$72, COLUMN() - ($E16 + 5)), 0))
  )
)</f>
        <v>973.11</v>
      </c>
      <c r="R16" s="32">
        <f t="array" ref="R16">IF(COLUMN() - ($E16 + 5) &lt; 0, 0,
  IF(COLUMN() - ($E16 + 5) = 0, $F16,
    Q16 * (1 - IFERROR(INDEX('Inputs &amp; Assuptions'!$D$13:$D$72, COLUMN() - ($E16 + 5)), 0))
  )
)</f>
        <v>969.41218200000003</v>
      </c>
      <c r="S16" s="32">
        <f t="array" ref="S16">IF(COLUMN() - ($E16 + 5) &lt; 0, 0,
  IF(COLUMN() - ($E16 + 5) = 0, $F16,
    R16 * (1 - IFERROR(INDEX('Inputs &amp; Assuptions'!$D$13:$D$72, COLUMN() - ($E16 + 5)), 0))
  )
)</f>
        <v>966.98865154500004</v>
      </c>
      <c r="T16" s="32">
        <f t="array" ref="T16">IF(COLUMN() - ($E16 + 5) &lt; 0, 0,
  IF(COLUMN() - ($E16 + 5) = 0, $F16,
    S16 * (1 - IFERROR(INDEX('Inputs &amp; Assuptions'!$D$13:$D$72, COLUMN() - ($E16 + 5)), 0))
  )
)</f>
        <v>964.76457764644658</v>
      </c>
      <c r="U16" s="32">
        <f t="array" ref="U16">IF(COLUMN() - ($E16 + 5) &lt; 0, 0,
  IF(COLUMN() - ($E16 + 5) = 0, $F16,
    T16 * (1 - IFERROR(INDEX('Inputs &amp; Assuptions'!$D$13:$D$72, COLUMN() - ($E16 + 5)), 0))
  )
)</f>
        <v>962.83504849115366</v>
      </c>
      <c r="V16" s="32">
        <f t="array" ref="V16">IF(COLUMN() - ($E16 + 5) &lt; 0, 0,
  IF(COLUMN() - ($E16 + 5) = 0, $F16,
    U16 * (1 - IFERROR(INDEX('Inputs &amp; Assuptions'!$D$13:$D$72, COLUMN() - ($E16 + 5)), 0))
  )
)</f>
        <v>961.10194540386954</v>
      </c>
      <c r="W16" s="32">
        <f t="array" ref="W16">IF(COLUMN() - ($E16 + 5) &lt; 0, 0,
  IF(COLUMN() - ($E16 + 5) = 0, $F16,
    V16 * (1 - IFERROR(INDEX('Inputs &amp; Assuptions'!$D$13:$D$72, COLUMN() - ($E16 + 5)), 0))
  )
)</f>
        <v>959.66029248576376</v>
      </c>
      <c r="X16" s="32">
        <f t="array" ref="X16">IF(COLUMN() - ($E16 + 5) &lt; 0, 0,
  IF(COLUMN() - ($E16 + 5) = 0, $F16,
    W16 * (1 - IFERROR(INDEX('Inputs &amp; Assuptions'!$D$13:$D$72, COLUMN() - ($E16 + 5)), 0))
  )
)</f>
        <v>958.41273410553231</v>
      </c>
      <c r="Y16" s="32">
        <f t="array" ref="Y16">IF(COLUMN() - ($E16 + 5) &lt; 0, 0,
  IF(COLUMN() - ($E16 + 5) = 0, $F16,
    X16 * (1 - IFERROR(INDEX('Inputs &amp; Assuptions'!$D$13:$D$72, COLUMN() - ($E16 + 5)), 0))
  )
)</f>
        <v>957.45432137142677</v>
      </c>
      <c r="Z16" s="32">
        <f t="array" ref="Z16">IF(COLUMN() - ($E16 + 5) &lt; 0, 0,
  IF(COLUMN() - ($E16 + 5) = 0, $F16,
    Y16 * (1 - IFERROR(INDEX('Inputs &amp; Assuptions'!$D$13:$D$72, COLUMN() - ($E16 + 5)), 0))
  )
)</f>
        <v>956.68835791432957</v>
      </c>
      <c r="AA16" s="32">
        <f t="array" ref="AA16">IF(COLUMN() - ($E16 + 5) &lt; 0, 0,
  IF(COLUMN() - ($E16 + 5) = 0, $F16,
    Z16 * (1 - IFERROR(INDEX('Inputs &amp; Assuptions'!$D$13:$D$72, COLUMN() - ($E16 + 5)), 0))
  )
)</f>
        <v>956.21001373537251</v>
      </c>
      <c r="AB16" s="32">
        <f t="array" ref="AB16">IF(COLUMN() - ($E16 + 5) &lt; 0, 0,
  IF(COLUMN() - ($E16 + 5) = 0, $F16,
    AA16 * (1 - IFERROR(INDEX('Inputs &amp; Assuptions'!$D$13:$D$72, COLUMN() - ($E16 + 5)), 0))
  )
)</f>
        <v>955.73190872850489</v>
      </c>
      <c r="AC16" s="32">
        <f t="array" ref="AC16">IF(COLUMN() - ($E16 + 5) &lt; 0, 0,
  IF(COLUMN() - ($E16 + 5) = 0, $F16,
    AB16 * (1 - IFERROR(INDEX('Inputs &amp; Assuptions'!$D$13:$D$72, COLUMN() - ($E16 + 5)), 0))
  )
)</f>
        <v>955.25404277414066</v>
      </c>
      <c r="AD16" s="32">
        <f t="array" ref="AD16">IF(COLUMN() - ($E16 + 5) &lt; 0, 0,
  IF(COLUMN() - ($E16 + 5) = 0, $F16,
    AC16 * (1 - IFERROR(INDEX('Inputs &amp; Assuptions'!$D$13:$D$72, COLUMN() - ($E16 + 5)), 0))
  )
)</f>
        <v>954.77641575275368</v>
      </c>
      <c r="AE16" s="32">
        <f t="array" ref="AE16">IF(COLUMN() - ($E16 + 5) &lt; 0, 0,
  IF(COLUMN() - ($E16 + 5) = 0, $F16,
    AD16 * (1 - IFERROR(INDEX('Inputs &amp; Assuptions'!$D$13:$D$72, COLUMN() - ($E16 + 5)), 0))
  )
)</f>
        <v>954.29902754487739</v>
      </c>
      <c r="AF16" s="32">
        <f t="array" ref="AF16">IF(COLUMN() - ($E16 + 5) &lt; 0, 0,
  IF(COLUMN() - ($E16 + 5) = 0, $F16,
    AE16 * (1 - IFERROR(INDEX('Inputs &amp; Assuptions'!$D$13:$D$72, COLUMN() - ($E16 + 5)), 0))
  )
)</f>
        <v>953.82187803110503</v>
      </c>
      <c r="AG16" s="32">
        <f t="array" ref="AG16">IF(COLUMN() - ($E16 + 5) &lt; 0, 0,
  IF(COLUMN() - ($E16 + 5) = 0, $F16,
    AF16 * (1 - IFERROR(INDEX('Inputs &amp; Assuptions'!$D$13:$D$72, COLUMN() - ($E16 + 5)), 0))
  )
)</f>
        <v>953.34496709208952</v>
      </c>
      <c r="AH16" s="32">
        <f t="array" ref="AH16">IF(COLUMN() - ($E16 + 5) &lt; 0, 0,
  IF(COLUMN() - ($E16 + 5) = 0, $F16,
    AG16 * (1 - IFERROR(INDEX('Inputs &amp; Assuptions'!$D$13:$D$72, COLUMN() - ($E16 + 5)), 0))
  )
)</f>
        <v>952.86829460854358</v>
      </c>
      <c r="AI16" s="32">
        <f t="array" ref="AI16">IF(COLUMN() - ($E16 + 5) &lt; 0, 0,
  IF(COLUMN() - ($E16 + 5) = 0, $F16,
    AH16 * (1 - IFERROR(INDEX('Inputs &amp; Assuptions'!$D$13:$D$72, COLUMN() - ($E16 + 5)), 0))
  )
)</f>
        <v>952.39186046123939</v>
      </c>
      <c r="AJ16" s="32">
        <f t="array" ref="AJ16">IF(COLUMN() - ($E16 + 5) &lt; 0, 0,
  IF(COLUMN() - ($E16 + 5) = 0, $F16,
    AI16 * (1 - IFERROR(INDEX('Inputs &amp; Assuptions'!$D$13:$D$72, COLUMN() - ($E16 + 5)), 0))
  )
)</f>
        <v>951.91566453100882</v>
      </c>
      <c r="AK16" s="32">
        <f t="array" ref="AK16">IF(COLUMN() - ($E16 + 5) &lt; 0, 0,
  IF(COLUMN() - ($E16 + 5) = 0, $F16,
    AJ16 * (1 - IFERROR(INDEX('Inputs &amp; Assuptions'!$D$13:$D$72, COLUMN() - ($E16 + 5)), 0))
  )
)</f>
        <v>951.43970669874341</v>
      </c>
      <c r="AL16" s="32">
        <f t="array" ref="AL16">IF(COLUMN() - ($E16 + 5) &lt; 0, 0,
  IF(COLUMN() - ($E16 + 5) = 0, $F16,
    AK16 * (1 - IFERROR(INDEX('Inputs &amp; Assuptions'!$D$13:$D$72, COLUMN() - ($E16 + 5)), 0))
  )
)</f>
        <v>950.96398684539406</v>
      </c>
      <c r="AM16" s="32">
        <f t="array" ref="AM16">IF(COLUMN() - ($E16 + 5) &lt; 0, 0,
  IF(COLUMN() - ($E16 + 5) = 0, $F16,
    AL16 * (1 - IFERROR(INDEX('Inputs &amp; Assuptions'!$D$13:$D$72, COLUMN() - ($E16 + 5)), 0))
  )
)</f>
        <v>950.48850485197147</v>
      </c>
      <c r="AN16" s="32">
        <f t="array" ref="AN16">IF(COLUMN() - ($E16 + 5) &lt; 0, 0,
  IF(COLUMN() - ($E16 + 5) = 0, $F16,
    AM16 * (1 - IFERROR(INDEX('Inputs &amp; Assuptions'!$D$13:$D$72, COLUMN() - ($E16 + 5)), 0))
  )
)</f>
        <v>950.01326059954556</v>
      </c>
      <c r="AO16" s="32">
        <f t="array" ref="AO16">IF(COLUMN() - ($E16 + 5) &lt; 0, 0,
  IF(COLUMN() - ($E16 + 5) = 0, $F16,
    AN16 * (1 - IFERROR(INDEX('Inputs &amp; Assuptions'!$D$13:$D$72, COLUMN() - ($E16 + 5)), 0))
  )
)</f>
        <v>949.53825396924583</v>
      </c>
      <c r="AP16" s="32">
        <f t="array" ref="AP16">IF(COLUMN() - ($E16 + 5) &lt; 0, 0,
  IF(COLUMN() - ($E16 + 5) = 0, $F16,
    AO16 * (1 - IFERROR(INDEX('Inputs &amp; Assuptions'!$D$13:$D$72, COLUMN() - ($E16 + 5)), 0))
  )
)</f>
        <v>949.06348484226123</v>
      </c>
      <c r="AQ16" s="32">
        <f t="array" ref="AQ16">IF(COLUMN() - ($E16 + 5) &lt; 0, 0,
  IF(COLUMN() - ($E16 + 5) = 0, $F16,
    AP16 * (1 - IFERROR(INDEX('Inputs &amp; Assuptions'!$D$13:$D$72, COLUMN() - ($E16 + 5)), 0))
  )
)</f>
        <v>948.58895309984018</v>
      </c>
      <c r="AR16" s="32">
        <f t="array" ref="AR16">IF(COLUMN() - ($E16 + 5) &lt; 0, 0,
  IF(COLUMN() - ($E16 + 5) = 0, $F16,
    AQ16 * (1 - IFERROR(INDEX('Inputs &amp; Assuptions'!$D$13:$D$72, COLUMN() - ($E16 + 5)), 0))
  )
)</f>
        <v>948.11465862329032</v>
      </c>
      <c r="AS16" s="32">
        <f t="array" ref="AS16">IF(COLUMN() - ($E16 + 5) &lt; 0, 0,
  IF(COLUMN() - ($E16 + 5) = 0, $F16,
    AR16 * (1 - IFERROR(INDEX('Inputs &amp; Assuptions'!$D$13:$D$72, COLUMN() - ($E16 + 5)), 0))
  )
)</f>
        <v>947.64060129397876</v>
      </c>
      <c r="AT16" s="32">
        <f t="array" ref="AT16">IF(COLUMN() - ($E16 + 5) &lt; 0, 0,
  IF(COLUMN() - ($E16 + 5) = 0, $F16,
    AS16 * (1 - IFERROR(INDEX('Inputs &amp; Assuptions'!$D$13:$D$72, COLUMN() - ($E16 + 5)), 0))
  )
)</f>
        <v>947.16678099333183</v>
      </c>
      <c r="AU16" s="32">
        <f t="array" ref="AU16">IF(COLUMN() - ($E16 + 5) &lt; 0, 0,
  IF(COLUMN() - ($E16 + 5) = 0, $F16,
    AT16 * (1 - IFERROR(INDEX('Inputs &amp; Assuptions'!$D$13:$D$72, COLUMN() - ($E16 + 5)), 0))
  )
)</f>
        <v>946.6931976028352</v>
      </c>
      <c r="AV16" s="32">
        <f t="array" ref="AV16">IF(COLUMN() - ($E16 + 5) &lt; 0, 0,
  IF(COLUMN() - ($E16 + 5) = 0, $F16,
    AU16 * (1 - IFERROR(INDEX('Inputs &amp; Assuptions'!$D$13:$D$72, COLUMN() - ($E16 + 5)), 0))
  )
)</f>
        <v>946.21985100403379</v>
      </c>
      <c r="AW16" s="32">
        <f t="array" ref="AW16">IF(COLUMN() - ($E16 + 5) &lt; 0, 0,
  IF(COLUMN() - ($E16 + 5) = 0, $F16,
    AV16 * (1 - IFERROR(INDEX('Inputs &amp; Assuptions'!$D$13:$D$72, COLUMN() - ($E16 + 5)), 0))
  )
)</f>
        <v>945.74674107853184</v>
      </c>
      <c r="AX16" s="32">
        <f t="array" ref="AX16">IF(COLUMN() - ($E16 + 5) &lt; 0, 0,
  IF(COLUMN() - ($E16 + 5) = 0, $F16,
    AW16 * (1 - IFERROR(INDEX('Inputs &amp; Assuptions'!$D$13:$D$72, COLUMN() - ($E16 + 5)), 0))
  )
)</f>
        <v>945.27386770799262</v>
      </c>
      <c r="AY16" s="32">
        <f t="array" ref="AY16">IF(COLUMN() - ($E16 + 5) &lt; 0, 0,
  IF(COLUMN() - ($E16 + 5) = 0, $F16,
    AX16 * (1 - IFERROR(INDEX('Inputs &amp; Assuptions'!$D$13:$D$72, COLUMN() - ($E16 + 5)), 0))
  )
)</f>
        <v>944.80123077413873</v>
      </c>
      <c r="AZ16" s="32">
        <f t="array" ref="AZ16">IF(COLUMN() - ($E16 + 5) &lt; 0, 0,
  IF(COLUMN() - ($E16 + 5) = 0, $F16,
    AY16 * (1 - IFERROR(INDEX('Inputs &amp; Assuptions'!$D$13:$D$72, COLUMN() - ($E16 + 5)), 0))
  )
)</f>
        <v>944.32883015875166</v>
      </c>
      <c r="BA16" s="32">
        <f t="array" ref="BA16">IF(COLUMN() - ($E16 + 5) &lt; 0, 0,
  IF(COLUMN() - ($E16 + 5) = 0, $F16,
    AZ16 * (1 - IFERROR(INDEX('Inputs &amp; Assuptions'!$D$13:$D$72, COLUMN() - ($E16 + 5)), 0))
  )
)</f>
        <v>943.85666574367235</v>
      </c>
      <c r="BB16" s="32">
        <f t="array" ref="BB16">IF(COLUMN() - ($E16 + 5) &lt; 0, 0,
  IF(COLUMN() - ($E16 + 5) = 0, $F16,
    BA16 * (1 - IFERROR(INDEX('Inputs &amp; Assuptions'!$D$13:$D$72, COLUMN() - ($E16 + 5)), 0))
  )
)</f>
        <v>943.38473741080054</v>
      </c>
      <c r="BC16" s="32">
        <f t="array" ref="BC16">IF(COLUMN() - ($E16 + 5) &lt; 0, 0,
  IF(COLUMN() - ($E16 + 5) = 0, $F16,
    BB16 * (1 - IFERROR(INDEX('Inputs &amp; Assuptions'!$D$13:$D$72, COLUMN() - ($E16 + 5)), 0))
  )
)</f>
        <v>942.91304504209518</v>
      </c>
      <c r="BD16" s="32">
        <f t="array" ref="BD16">IF(COLUMN() - ($E16 + 5) &lt; 0, 0,
  IF(COLUMN() - ($E16 + 5) = 0, $F16,
    BC16 * (1 - IFERROR(INDEX('Inputs &amp; Assuptions'!$D$13:$D$72, COLUMN() - ($E16 + 5)), 0))
  )
)</f>
        <v>942.44158851957422</v>
      </c>
      <c r="BE16" s="32">
        <f t="array" ref="BE16">IF(COLUMN() - ($E16 + 5) &lt; 0, 0,
  IF(COLUMN() - ($E16 + 5) = 0, $F16,
    BD16 * (1 - IFERROR(INDEX('Inputs &amp; Assuptions'!$D$13:$D$72, COLUMN() - ($E16 + 5)), 0))
  )
)</f>
        <v>941.97036772531453</v>
      </c>
      <c r="BF16" s="32">
        <f t="array" ref="BF16">IF(COLUMN() - ($E16 + 5) &lt; 0, 0,
  IF(COLUMN() - ($E16 + 5) = 0, $F16,
    BE16 * (1 - IFERROR(INDEX('Inputs &amp; Assuptions'!$D$13:$D$72, COLUMN() - ($E16 + 5)), 0))
  )
)</f>
        <v>941.49938254145195</v>
      </c>
      <c r="BG16" s="32">
        <f t="array" ref="BG16">IF(COLUMN() - ($E16 + 5) &lt; 0, 0,
  IF(COLUMN() - ($E16 + 5) = 0, $F16,
    BF16 * (1 - IFERROR(INDEX('Inputs &amp; Assuptions'!$D$13:$D$72, COLUMN() - ($E16 + 5)), 0))
  )
)</f>
        <v>941.02863285018122</v>
      </c>
      <c r="BH16" s="32">
        <f t="array" ref="BH16">IF(COLUMN() - ($E16 + 5) &lt; 0, 0,
  IF(COLUMN() - ($E16 + 5) = 0, $F16,
    BG16 * (1 - IFERROR(INDEX('Inputs &amp; Assuptions'!$D$13:$D$72, COLUMN() - ($E16 + 5)), 0))
  )
)</f>
        <v>940.55811853375621</v>
      </c>
      <c r="BI16" s="32">
        <f t="array" ref="BI16">IF(COLUMN() - ($E16 + 5) &lt; 0, 0,
  IF(COLUMN() - ($E16 + 5) = 0, $F16,
    BH16 * (1 - IFERROR(INDEX('Inputs &amp; Assuptions'!$D$13:$D$72, COLUMN() - ($E16 + 5)), 0))
  )
)</f>
        <v>940.08783947448944</v>
      </c>
      <c r="BJ16" s="32">
        <f t="array" ref="BJ16">IF(COLUMN() - ($E16 + 5) &lt; 0, 0,
  IF(COLUMN() - ($E16 + 5) = 0, $F16,
    BI16 * (1 - IFERROR(INDEX('Inputs &amp; Assuptions'!$D$13:$D$72, COLUMN() - ($E16 + 5)), 0))
  )
)</f>
        <v>939.61779555475221</v>
      </c>
      <c r="BK16" s="32">
        <f t="array" ref="BK16">IF(COLUMN() - ($E16 + 5) &lt; 0, 0,
  IF(COLUMN() - ($E16 + 5) = 0, $F16,
    BJ16 * (1 - IFERROR(INDEX('Inputs &amp; Assuptions'!$D$13:$D$72, COLUMN() - ($E16 + 5)), 0))
  )
)</f>
        <v>939.14798665697492</v>
      </c>
      <c r="BL16" s="32">
        <f t="array" ref="BL16">IF(COLUMN() - ($E16 + 5) &lt; 0, 0,
  IF(COLUMN() - ($E16 + 5) = 0, $F16,
    BK16 * (1 - IFERROR(INDEX('Inputs &amp; Assuptions'!$D$13:$D$72, COLUMN() - ($E16 + 5)), 0))
  )
)</f>
        <v>938.67841266364644</v>
      </c>
      <c r="BM16" s="66">
        <f t="array" ref="BM16">IF(COLUMN() - ($E16 + 5) &lt; 0, 0,
  IF(COLUMN() - ($E16 + 5) = 0, $F16,
    BL16 * (1 - IFERROR(INDEX('Inputs &amp; Assuptions'!$D$13:$D$72, COLUMN() - ($E16 + 5)), 0))
  )
)</f>
        <v>938.20907345731462</v>
      </c>
      <c r="BN16" s="33"/>
    </row>
    <row r="17" spans="1:66" x14ac:dyDescent="0.3">
      <c r="A17" s="71">
        <f t="shared" si="2"/>
        <v>12</v>
      </c>
      <c r="B17" s="75">
        <f t="shared" si="4"/>
        <v>1000</v>
      </c>
      <c r="C17" s="76">
        <f>$B17*(1-'Inputs &amp; Assuptions'!$D$12)</f>
        <v>978</v>
      </c>
      <c r="E17" s="71">
        <f t="shared" si="3"/>
        <v>12</v>
      </c>
      <c r="F17" s="65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>
        <f>$C17</f>
        <v>978</v>
      </c>
      <c r="R17" s="32">
        <f t="array" ref="R17">IF(COLUMN() - ($E17 + 5) &lt; 0, 0,
  IF(COLUMN() - ($E17 + 5) = 0, $F17,
    Q17 * (1 - IFERROR(INDEX('Inputs &amp; Assuptions'!$D$13:$D$72, COLUMN() - ($E17 + 5)), 0))
  )
)</f>
        <v>973.11</v>
      </c>
      <c r="S17" s="32">
        <f t="array" ref="S17">IF(COLUMN() - ($E17 + 5) &lt; 0, 0,
  IF(COLUMN() - ($E17 + 5) = 0, $F17,
    R17 * (1 - IFERROR(INDEX('Inputs &amp; Assuptions'!$D$13:$D$72, COLUMN() - ($E17 + 5)), 0))
  )
)</f>
        <v>969.41218200000003</v>
      </c>
      <c r="T17" s="32">
        <f t="array" ref="T17">IF(COLUMN() - ($E17 + 5) &lt; 0, 0,
  IF(COLUMN() - ($E17 + 5) = 0, $F17,
    S17 * (1 - IFERROR(INDEX('Inputs &amp; Assuptions'!$D$13:$D$72, COLUMN() - ($E17 + 5)), 0))
  )
)</f>
        <v>966.98865154500004</v>
      </c>
      <c r="U17" s="32">
        <f t="array" ref="U17">IF(COLUMN() - ($E17 + 5) &lt; 0, 0,
  IF(COLUMN() - ($E17 + 5) = 0, $F17,
    T17 * (1 - IFERROR(INDEX('Inputs &amp; Assuptions'!$D$13:$D$72, COLUMN() - ($E17 + 5)), 0))
  )
)</f>
        <v>964.76457764644658</v>
      </c>
      <c r="V17" s="32">
        <f t="array" ref="V17">IF(COLUMN() - ($E17 + 5) &lt; 0, 0,
  IF(COLUMN() - ($E17 + 5) = 0, $F17,
    U17 * (1 - IFERROR(INDEX('Inputs &amp; Assuptions'!$D$13:$D$72, COLUMN() - ($E17 + 5)), 0))
  )
)</f>
        <v>962.83504849115366</v>
      </c>
      <c r="W17" s="32">
        <f t="array" ref="W17">IF(COLUMN() - ($E17 + 5) &lt; 0, 0,
  IF(COLUMN() - ($E17 + 5) = 0, $F17,
    V17 * (1 - IFERROR(INDEX('Inputs &amp; Assuptions'!$D$13:$D$72, COLUMN() - ($E17 + 5)), 0))
  )
)</f>
        <v>961.10194540386954</v>
      </c>
      <c r="X17" s="32">
        <f t="array" ref="X17">IF(COLUMN() - ($E17 + 5) &lt; 0, 0,
  IF(COLUMN() - ($E17 + 5) = 0, $F17,
    W17 * (1 - IFERROR(INDEX('Inputs &amp; Assuptions'!$D$13:$D$72, COLUMN() - ($E17 + 5)), 0))
  )
)</f>
        <v>959.66029248576376</v>
      </c>
      <c r="Y17" s="32">
        <f t="array" ref="Y17">IF(COLUMN() - ($E17 + 5) &lt; 0, 0,
  IF(COLUMN() - ($E17 + 5) = 0, $F17,
    X17 * (1 - IFERROR(INDEX('Inputs &amp; Assuptions'!$D$13:$D$72, COLUMN() - ($E17 + 5)), 0))
  )
)</f>
        <v>958.41273410553231</v>
      </c>
      <c r="Z17" s="32">
        <f t="array" ref="Z17">IF(COLUMN() - ($E17 + 5) &lt; 0, 0,
  IF(COLUMN() - ($E17 + 5) = 0, $F17,
    Y17 * (1 - IFERROR(INDEX('Inputs &amp; Assuptions'!$D$13:$D$72, COLUMN() - ($E17 + 5)), 0))
  )
)</f>
        <v>957.45432137142677</v>
      </c>
      <c r="AA17" s="32">
        <f t="array" ref="AA17">IF(COLUMN() - ($E17 + 5) &lt; 0, 0,
  IF(COLUMN() - ($E17 + 5) = 0, $F17,
    Z17 * (1 - IFERROR(INDEX('Inputs &amp; Assuptions'!$D$13:$D$72, COLUMN() - ($E17 + 5)), 0))
  )
)</f>
        <v>956.68835791432957</v>
      </c>
      <c r="AB17" s="32">
        <f t="array" ref="AB17">IF(COLUMN() - ($E17 + 5) &lt; 0, 0,
  IF(COLUMN() - ($E17 + 5) = 0, $F17,
    AA17 * (1 - IFERROR(INDEX('Inputs &amp; Assuptions'!$D$13:$D$72, COLUMN() - ($E17 + 5)), 0))
  )
)</f>
        <v>956.21001373537251</v>
      </c>
      <c r="AC17" s="32">
        <f t="array" ref="AC17">IF(COLUMN() - ($E17 + 5) &lt; 0, 0,
  IF(COLUMN() - ($E17 + 5) = 0, $F17,
    AB17 * (1 - IFERROR(INDEX('Inputs &amp; Assuptions'!$D$13:$D$72, COLUMN() - ($E17 + 5)), 0))
  )
)</f>
        <v>955.73190872850489</v>
      </c>
      <c r="AD17" s="32">
        <f t="array" ref="AD17">IF(COLUMN() - ($E17 + 5) &lt; 0, 0,
  IF(COLUMN() - ($E17 + 5) = 0, $F17,
    AC17 * (1 - IFERROR(INDEX('Inputs &amp; Assuptions'!$D$13:$D$72, COLUMN() - ($E17 + 5)), 0))
  )
)</f>
        <v>955.25404277414066</v>
      </c>
      <c r="AE17" s="32">
        <f t="array" ref="AE17">IF(COLUMN() - ($E17 + 5) &lt; 0, 0,
  IF(COLUMN() - ($E17 + 5) = 0, $F17,
    AD17 * (1 - IFERROR(INDEX('Inputs &amp; Assuptions'!$D$13:$D$72, COLUMN() - ($E17 + 5)), 0))
  )
)</f>
        <v>954.77641575275368</v>
      </c>
      <c r="AF17" s="32">
        <f t="array" ref="AF17">IF(COLUMN() - ($E17 + 5) &lt; 0, 0,
  IF(COLUMN() - ($E17 + 5) = 0, $F17,
    AE17 * (1 - IFERROR(INDEX('Inputs &amp; Assuptions'!$D$13:$D$72, COLUMN() - ($E17 + 5)), 0))
  )
)</f>
        <v>954.29902754487739</v>
      </c>
      <c r="AG17" s="32">
        <f t="array" ref="AG17">IF(COLUMN() - ($E17 + 5) &lt; 0, 0,
  IF(COLUMN() - ($E17 + 5) = 0, $F17,
    AF17 * (1 - IFERROR(INDEX('Inputs &amp; Assuptions'!$D$13:$D$72, COLUMN() - ($E17 + 5)), 0))
  )
)</f>
        <v>953.82187803110503</v>
      </c>
      <c r="AH17" s="32">
        <f t="array" ref="AH17">IF(COLUMN() - ($E17 + 5) &lt; 0, 0,
  IF(COLUMN() - ($E17 + 5) = 0, $F17,
    AG17 * (1 - IFERROR(INDEX('Inputs &amp; Assuptions'!$D$13:$D$72, COLUMN() - ($E17 + 5)), 0))
  )
)</f>
        <v>953.34496709208952</v>
      </c>
      <c r="AI17" s="32">
        <f t="array" ref="AI17">IF(COLUMN() - ($E17 + 5) &lt; 0, 0,
  IF(COLUMN() - ($E17 + 5) = 0, $F17,
    AH17 * (1 - IFERROR(INDEX('Inputs &amp; Assuptions'!$D$13:$D$72, COLUMN() - ($E17 + 5)), 0))
  )
)</f>
        <v>952.86829460854358</v>
      </c>
      <c r="AJ17" s="32">
        <f t="array" ref="AJ17">IF(COLUMN() - ($E17 + 5) &lt; 0, 0,
  IF(COLUMN() - ($E17 + 5) = 0, $F17,
    AI17 * (1 - IFERROR(INDEX('Inputs &amp; Assuptions'!$D$13:$D$72, COLUMN() - ($E17 + 5)), 0))
  )
)</f>
        <v>952.39186046123939</v>
      </c>
      <c r="AK17" s="32">
        <f t="array" ref="AK17">IF(COLUMN() - ($E17 + 5) &lt; 0, 0,
  IF(COLUMN() - ($E17 + 5) = 0, $F17,
    AJ17 * (1 - IFERROR(INDEX('Inputs &amp; Assuptions'!$D$13:$D$72, COLUMN() - ($E17 + 5)), 0))
  )
)</f>
        <v>951.91566453100882</v>
      </c>
      <c r="AL17" s="32">
        <f t="array" ref="AL17">IF(COLUMN() - ($E17 + 5) &lt; 0, 0,
  IF(COLUMN() - ($E17 + 5) = 0, $F17,
    AK17 * (1 - IFERROR(INDEX('Inputs &amp; Assuptions'!$D$13:$D$72, COLUMN() - ($E17 + 5)), 0))
  )
)</f>
        <v>951.43970669874341</v>
      </c>
      <c r="AM17" s="32">
        <f t="array" ref="AM17">IF(COLUMN() - ($E17 + 5) &lt; 0, 0,
  IF(COLUMN() - ($E17 + 5) = 0, $F17,
    AL17 * (1 - IFERROR(INDEX('Inputs &amp; Assuptions'!$D$13:$D$72, COLUMN() - ($E17 + 5)), 0))
  )
)</f>
        <v>950.96398684539406</v>
      </c>
      <c r="AN17" s="32">
        <f t="array" ref="AN17">IF(COLUMN() - ($E17 + 5) &lt; 0, 0,
  IF(COLUMN() - ($E17 + 5) = 0, $F17,
    AM17 * (1 - IFERROR(INDEX('Inputs &amp; Assuptions'!$D$13:$D$72, COLUMN() - ($E17 + 5)), 0))
  )
)</f>
        <v>950.48850485197147</v>
      </c>
      <c r="AO17" s="32">
        <f t="array" ref="AO17">IF(COLUMN() - ($E17 + 5) &lt; 0, 0,
  IF(COLUMN() - ($E17 + 5) = 0, $F17,
    AN17 * (1 - IFERROR(INDEX('Inputs &amp; Assuptions'!$D$13:$D$72, COLUMN() - ($E17 + 5)), 0))
  )
)</f>
        <v>950.01326059954556</v>
      </c>
      <c r="AP17" s="32">
        <f t="array" ref="AP17">IF(COLUMN() - ($E17 + 5) &lt; 0, 0,
  IF(COLUMN() - ($E17 + 5) = 0, $F17,
    AO17 * (1 - IFERROR(INDEX('Inputs &amp; Assuptions'!$D$13:$D$72, COLUMN() - ($E17 + 5)), 0))
  )
)</f>
        <v>949.53825396924583</v>
      </c>
      <c r="AQ17" s="32">
        <f t="array" ref="AQ17">IF(COLUMN() - ($E17 + 5) &lt; 0, 0,
  IF(COLUMN() - ($E17 + 5) = 0, $F17,
    AP17 * (1 - IFERROR(INDEX('Inputs &amp; Assuptions'!$D$13:$D$72, COLUMN() - ($E17 + 5)), 0))
  )
)</f>
        <v>949.06348484226123</v>
      </c>
      <c r="AR17" s="32">
        <f t="array" ref="AR17">IF(COLUMN() - ($E17 + 5) &lt; 0, 0,
  IF(COLUMN() - ($E17 + 5) = 0, $F17,
    AQ17 * (1 - IFERROR(INDEX('Inputs &amp; Assuptions'!$D$13:$D$72, COLUMN() - ($E17 + 5)), 0))
  )
)</f>
        <v>948.58895309984018</v>
      </c>
      <c r="AS17" s="32">
        <f t="array" ref="AS17">IF(COLUMN() - ($E17 + 5) &lt; 0, 0,
  IF(COLUMN() - ($E17 + 5) = 0, $F17,
    AR17 * (1 - IFERROR(INDEX('Inputs &amp; Assuptions'!$D$13:$D$72, COLUMN() - ($E17 + 5)), 0))
  )
)</f>
        <v>948.11465862329032</v>
      </c>
      <c r="AT17" s="32">
        <f t="array" ref="AT17">IF(COLUMN() - ($E17 + 5) &lt; 0, 0,
  IF(COLUMN() - ($E17 + 5) = 0, $F17,
    AS17 * (1 - IFERROR(INDEX('Inputs &amp; Assuptions'!$D$13:$D$72, COLUMN() - ($E17 + 5)), 0))
  )
)</f>
        <v>947.64060129397876</v>
      </c>
      <c r="AU17" s="32">
        <f t="array" ref="AU17">IF(COLUMN() - ($E17 + 5) &lt; 0, 0,
  IF(COLUMN() - ($E17 + 5) = 0, $F17,
    AT17 * (1 - IFERROR(INDEX('Inputs &amp; Assuptions'!$D$13:$D$72, COLUMN() - ($E17 + 5)), 0))
  )
)</f>
        <v>947.16678099333183</v>
      </c>
      <c r="AV17" s="32">
        <f t="array" ref="AV17">IF(COLUMN() - ($E17 + 5) &lt; 0, 0,
  IF(COLUMN() - ($E17 + 5) = 0, $F17,
    AU17 * (1 - IFERROR(INDEX('Inputs &amp; Assuptions'!$D$13:$D$72, COLUMN() - ($E17 + 5)), 0))
  )
)</f>
        <v>946.6931976028352</v>
      </c>
      <c r="AW17" s="32">
        <f t="array" ref="AW17">IF(COLUMN() - ($E17 + 5) &lt; 0, 0,
  IF(COLUMN() - ($E17 + 5) = 0, $F17,
    AV17 * (1 - IFERROR(INDEX('Inputs &amp; Assuptions'!$D$13:$D$72, COLUMN() - ($E17 + 5)), 0))
  )
)</f>
        <v>946.21985100403379</v>
      </c>
      <c r="AX17" s="32">
        <f t="array" ref="AX17">IF(COLUMN() - ($E17 + 5) &lt; 0, 0,
  IF(COLUMN() - ($E17 + 5) = 0, $F17,
    AW17 * (1 - IFERROR(INDEX('Inputs &amp; Assuptions'!$D$13:$D$72, COLUMN() - ($E17 + 5)), 0))
  )
)</f>
        <v>945.74674107853184</v>
      </c>
      <c r="AY17" s="32">
        <f t="array" ref="AY17">IF(COLUMN() - ($E17 + 5) &lt; 0, 0,
  IF(COLUMN() - ($E17 + 5) = 0, $F17,
    AX17 * (1 - IFERROR(INDEX('Inputs &amp; Assuptions'!$D$13:$D$72, COLUMN() - ($E17 + 5)), 0))
  )
)</f>
        <v>945.27386770799262</v>
      </c>
      <c r="AZ17" s="32">
        <f t="array" ref="AZ17">IF(COLUMN() - ($E17 + 5) &lt; 0, 0,
  IF(COLUMN() - ($E17 + 5) = 0, $F17,
    AY17 * (1 - IFERROR(INDEX('Inputs &amp; Assuptions'!$D$13:$D$72, COLUMN() - ($E17 + 5)), 0))
  )
)</f>
        <v>944.80123077413873</v>
      </c>
      <c r="BA17" s="32">
        <f t="array" ref="BA17">IF(COLUMN() - ($E17 + 5) &lt; 0, 0,
  IF(COLUMN() - ($E17 + 5) = 0, $F17,
    AZ17 * (1 - IFERROR(INDEX('Inputs &amp; Assuptions'!$D$13:$D$72, COLUMN() - ($E17 + 5)), 0))
  )
)</f>
        <v>944.32883015875166</v>
      </c>
      <c r="BB17" s="32">
        <f t="array" ref="BB17">IF(COLUMN() - ($E17 + 5) &lt; 0, 0,
  IF(COLUMN() - ($E17 + 5) = 0, $F17,
    BA17 * (1 - IFERROR(INDEX('Inputs &amp; Assuptions'!$D$13:$D$72, COLUMN() - ($E17 + 5)), 0))
  )
)</f>
        <v>943.85666574367235</v>
      </c>
      <c r="BC17" s="32">
        <f t="array" ref="BC17">IF(COLUMN() - ($E17 + 5) &lt; 0, 0,
  IF(COLUMN() - ($E17 + 5) = 0, $F17,
    BB17 * (1 - IFERROR(INDEX('Inputs &amp; Assuptions'!$D$13:$D$72, COLUMN() - ($E17 + 5)), 0))
  )
)</f>
        <v>943.38473741080054</v>
      </c>
      <c r="BD17" s="32">
        <f t="array" ref="BD17">IF(COLUMN() - ($E17 + 5) &lt; 0, 0,
  IF(COLUMN() - ($E17 + 5) = 0, $F17,
    BC17 * (1 - IFERROR(INDEX('Inputs &amp; Assuptions'!$D$13:$D$72, COLUMN() - ($E17 + 5)), 0))
  )
)</f>
        <v>942.91304504209518</v>
      </c>
      <c r="BE17" s="32">
        <f t="array" ref="BE17">IF(COLUMN() - ($E17 + 5) &lt; 0, 0,
  IF(COLUMN() - ($E17 + 5) = 0, $F17,
    BD17 * (1 - IFERROR(INDEX('Inputs &amp; Assuptions'!$D$13:$D$72, COLUMN() - ($E17 + 5)), 0))
  )
)</f>
        <v>942.44158851957422</v>
      </c>
      <c r="BF17" s="32">
        <f t="array" ref="BF17">IF(COLUMN() - ($E17 + 5) &lt; 0, 0,
  IF(COLUMN() - ($E17 + 5) = 0, $F17,
    BE17 * (1 - IFERROR(INDEX('Inputs &amp; Assuptions'!$D$13:$D$72, COLUMN() - ($E17 + 5)), 0))
  )
)</f>
        <v>941.97036772531453</v>
      </c>
      <c r="BG17" s="32">
        <f t="array" ref="BG17">IF(COLUMN() - ($E17 + 5) &lt; 0, 0,
  IF(COLUMN() - ($E17 + 5) = 0, $F17,
    BF17 * (1 - IFERROR(INDEX('Inputs &amp; Assuptions'!$D$13:$D$72, COLUMN() - ($E17 + 5)), 0))
  )
)</f>
        <v>941.49938254145195</v>
      </c>
      <c r="BH17" s="32">
        <f t="array" ref="BH17">IF(COLUMN() - ($E17 + 5) &lt; 0, 0,
  IF(COLUMN() - ($E17 + 5) = 0, $F17,
    BG17 * (1 - IFERROR(INDEX('Inputs &amp; Assuptions'!$D$13:$D$72, COLUMN() - ($E17 + 5)), 0))
  )
)</f>
        <v>941.02863285018122</v>
      </c>
      <c r="BI17" s="32">
        <f t="array" ref="BI17">IF(COLUMN() - ($E17 + 5) &lt; 0, 0,
  IF(COLUMN() - ($E17 + 5) = 0, $F17,
    BH17 * (1 - IFERROR(INDEX('Inputs &amp; Assuptions'!$D$13:$D$72, COLUMN() - ($E17 + 5)), 0))
  )
)</f>
        <v>940.55811853375621</v>
      </c>
      <c r="BJ17" s="32">
        <f t="array" ref="BJ17">IF(COLUMN() - ($E17 + 5) &lt; 0, 0,
  IF(COLUMN() - ($E17 + 5) = 0, $F17,
    BI17 * (1 - IFERROR(INDEX('Inputs &amp; Assuptions'!$D$13:$D$72, COLUMN() - ($E17 + 5)), 0))
  )
)</f>
        <v>940.08783947448944</v>
      </c>
      <c r="BK17" s="32">
        <f t="array" ref="BK17">IF(COLUMN() - ($E17 + 5) &lt; 0, 0,
  IF(COLUMN() - ($E17 + 5) = 0, $F17,
    BJ17 * (1 - IFERROR(INDEX('Inputs &amp; Assuptions'!$D$13:$D$72, COLUMN() - ($E17 + 5)), 0))
  )
)</f>
        <v>939.61779555475221</v>
      </c>
      <c r="BL17" s="32">
        <f t="array" ref="BL17">IF(COLUMN() - ($E17 + 5) &lt; 0, 0,
  IF(COLUMN() - ($E17 + 5) = 0, $F17,
    BK17 * (1 - IFERROR(INDEX('Inputs &amp; Assuptions'!$D$13:$D$72, COLUMN() - ($E17 + 5)), 0))
  )
)</f>
        <v>939.14798665697492</v>
      </c>
      <c r="BM17" s="66">
        <f t="array" ref="BM17">IF(COLUMN() - ($E17 + 5) &lt; 0, 0,
  IF(COLUMN() - ($E17 + 5) = 0, $F17,
    BL17 * (1 - IFERROR(INDEX('Inputs &amp; Assuptions'!$D$13:$D$72, COLUMN() - ($E17 + 5)), 0))
  )
)</f>
        <v>938.67841266364644</v>
      </c>
      <c r="BN17" s="33"/>
    </row>
    <row r="18" spans="1:66" x14ac:dyDescent="0.3">
      <c r="A18" s="71">
        <f t="shared" si="2"/>
        <v>13</v>
      </c>
      <c r="B18" s="75">
        <f t="shared" si="4"/>
        <v>1050</v>
      </c>
      <c r="C18" s="76">
        <f>$B18*(1-'Inputs &amp; Assuptions'!$D$12)</f>
        <v>1026.9000000000001</v>
      </c>
      <c r="E18" s="71">
        <f t="shared" si="3"/>
        <v>13</v>
      </c>
      <c r="F18" s="65"/>
      <c r="G18" s="32"/>
      <c r="H18" s="32"/>
      <c r="I18" s="67"/>
      <c r="J18" s="32"/>
      <c r="K18" s="32"/>
      <c r="L18" s="32"/>
      <c r="M18" s="32"/>
      <c r="N18" s="32"/>
      <c r="O18" s="32"/>
      <c r="P18" s="32"/>
      <c r="Q18" s="32"/>
      <c r="R18" s="32">
        <f>$C18</f>
        <v>1026.9000000000001</v>
      </c>
      <c r="S18" s="32">
        <f t="array" ref="S18">IF(COLUMN() - ($E18 + 5) &lt; 0, 0,
  IF(COLUMN() - ($E18 + 5) = 0, $F18,
    R18 * (1 - IFERROR(INDEX('Inputs &amp; Assuptions'!$D$13:$D$72, COLUMN() - ($E18 + 5)), 0))
  )
)</f>
        <v>1021.7655000000001</v>
      </c>
      <c r="T18" s="32">
        <f t="array" ref="T18">IF(COLUMN() - ($E18 + 5) &lt; 0, 0,
  IF(COLUMN() - ($E18 + 5) = 0, $F18,
    S18 * (1 - IFERROR(INDEX('Inputs &amp; Assuptions'!$D$13:$D$72, COLUMN() - ($E18 + 5)), 0))
  )
)</f>
        <v>1017.8827911000001</v>
      </c>
      <c r="U18" s="32">
        <f t="array" ref="U18">IF(COLUMN() - ($E18 + 5) &lt; 0, 0,
  IF(COLUMN() - ($E18 + 5) = 0, $F18,
    T18 * (1 - IFERROR(INDEX('Inputs &amp; Assuptions'!$D$13:$D$72, COLUMN() - ($E18 + 5)), 0))
  )
)</f>
        <v>1015.3380841222502</v>
      </c>
      <c r="V18" s="32">
        <f t="array" ref="V18">IF(COLUMN() - ($E18 + 5) &lt; 0, 0,
  IF(COLUMN() - ($E18 + 5) = 0, $F18,
    U18 * (1 - IFERROR(INDEX('Inputs &amp; Assuptions'!$D$13:$D$72, COLUMN() - ($E18 + 5)), 0))
  )
)</f>
        <v>1013.002806528769</v>
      </c>
      <c r="W18" s="32">
        <f t="array" ref="W18">IF(COLUMN() - ($E18 + 5) &lt; 0, 0,
  IF(COLUMN() - ($E18 + 5) = 0, $F18,
    V18 * (1 - IFERROR(INDEX('Inputs &amp; Assuptions'!$D$13:$D$72, COLUMN() - ($E18 + 5)), 0))
  )
)</f>
        <v>1010.9768009157115</v>
      </c>
      <c r="X18" s="32">
        <f t="array" ref="X18">IF(COLUMN() - ($E18 + 5) &lt; 0, 0,
  IF(COLUMN() - ($E18 + 5) = 0, $F18,
    W18 * (1 - IFERROR(INDEX('Inputs &amp; Assuptions'!$D$13:$D$72, COLUMN() - ($E18 + 5)), 0))
  )
)</f>
        <v>1009.1570426740632</v>
      </c>
      <c r="Y18" s="32">
        <f t="array" ref="Y18">IF(COLUMN() - ($E18 + 5) &lt; 0, 0,
  IF(COLUMN() - ($E18 + 5) = 0, $F18,
    X18 * (1 - IFERROR(INDEX('Inputs &amp; Assuptions'!$D$13:$D$72, COLUMN() - ($E18 + 5)), 0))
  )
)</f>
        <v>1007.6433071100521</v>
      </c>
      <c r="Z18" s="32">
        <f t="array" ref="Z18">IF(COLUMN() - ($E18 + 5) &lt; 0, 0,
  IF(COLUMN() - ($E18 + 5) = 0, $F18,
    Y18 * (1 - IFERROR(INDEX('Inputs &amp; Assuptions'!$D$13:$D$72, COLUMN() - ($E18 + 5)), 0))
  )
)</f>
        <v>1006.333370810809</v>
      </c>
      <c r="AA18" s="32">
        <f t="array" ref="AA18">IF(COLUMN() - ($E18 + 5) &lt; 0, 0,
  IF(COLUMN() - ($E18 + 5) = 0, $F18,
    Z18 * (1 - IFERROR(INDEX('Inputs &amp; Assuptions'!$D$13:$D$72, COLUMN() - ($E18 + 5)), 0))
  )
)</f>
        <v>1005.3270374399982</v>
      </c>
      <c r="AB18" s="32">
        <f t="array" ref="AB18">IF(COLUMN() - ($E18 + 5) &lt; 0, 0,
  IF(COLUMN() - ($E18 + 5) = 0, $F18,
    AA18 * (1 - IFERROR(INDEX('Inputs &amp; Assuptions'!$D$13:$D$72, COLUMN() - ($E18 + 5)), 0))
  )
)</f>
        <v>1004.5227758100461</v>
      </c>
      <c r="AC18" s="32">
        <f t="array" ref="AC18">IF(COLUMN() - ($E18 + 5) &lt; 0, 0,
  IF(COLUMN() - ($E18 + 5) = 0, $F18,
    AB18 * (1 - IFERROR(INDEX('Inputs &amp; Assuptions'!$D$13:$D$72, COLUMN() - ($E18 + 5)), 0))
  )
)</f>
        <v>1004.0205144221412</v>
      </c>
      <c r="AD18" s="32">
        <f t="array" ref="AD18">IF(COLUMN() - ($E18 + 5) &lt; 0, 0,
  IF(COLUMN() - ($E18 + 5) = 0, $F18,
    AC18 * (1 - IFERROR(INDEX('Inputs &amp; Assuptions'!$D$13:$D$72, COLUMN() - ($E18 + 5)), 0))
  )
)</f>
        <v>1003.5185041649302</v>
      </c>
      <c r="AE18" s="32">
        <f t="array" ref="AE18">IF(COLUMN() - ($E18 + 5) &lt; 0, 0,
  IF(COLUMN() - ($E18 + 5) = 0, $F18,
    AD18 * (1 - IFERROR(INDEX('Inputs &amp; Assuptions'!$D$13:$D$72, COLUMN() - ($E18 + 5)), 0))
  )
)</f>
        <v>1003.0167449128478</v>
      </c>
      <c r="AF18" s="32">
        <f t="array" ref="AF18">IF(COLUMN() - ($E18 + 5) &lt; 0, 0,
  IF(COLUMN() - ($E18 + 5) = 0, $F18,
    AE18 * (1 - IFERROR(INDEX('Inputs &amp; Assuptions'!$D$13:$D$72, COLUMN() - ($E18 + 5)), 0))
  )
)</f>
        <v>1002.5152365403915</v>
      </c>
      <c r="AG18" s="32">
        <f t="array" ref="AG18">IF(COLUMN() - ($E18 + 5) &lt; 0, 0,
  IF(COLUMN() - ($E18 + 5) = 0, $F18,
    AF18 * (1 - IFERROR(INDEX('Inputs &amp; Assuptions'!$D$13:$D$72, COLUMN() - ($E18 + 5)), 0))
  )
)</f>
        <v>1002.0139789221213</v>
      </c>
      <c r="AH18" s="32">
        <f t="array" ref="AH18">IF(COLUMN() - ($E18 + 5) &lt; 0, 0,
  IF(COLUMN() - ($E18 + 5) = 0, $F18,
    AG18 * (1 - IFERROR(INDEX('Inputs &amp; Assuptions'!$D$13:$D$72, COLUMN() - ($E18 + 5)), 0))
  )
)</f>
        <v>1001.5129719326603</v>
      </c>
      <c r="AI18" s="32">
        <f t="array" ref="AI18">IF(COLUMN() - ($E18 + 5) &lt; 0, 0,
  IF(COLUMN() - ($E18 + 5) = 0, $F18,
    AH18 * (1 - IFERROR(INDEX('Inputs &amp; Assuptions'!$D$13:$D$72, COLUMN() - ($E18 + 5)), 0))
  )
)</f>
        <v>1001.0122154466941</v>
      </c>
      <c r="AJ18" s="32">
        <f t="array" ref="AJ18">IF(COLUMN() - ($E18 + 5) &lt; 0, 0,
  IF(COLUMN() - ($E18 + 5) = 0, $F18,
    AI18 * (1 - IFERROR(INDEX('Inputs &amp; Assuptions'!$D$13:$D$72, COLUMN() - ($E18 + 5)), 0))
  )
)</f>
        <v>1000.5117093389708</v>
      </c>
      <c r="AK18" s="32">
        <f t="array" ref="AK18">IF(COLUMN() - ($E18 + 5) &lt; 0, 0,
  IF(COLUMN() - ($E18 + 5) = 0, $F18,
    AJ18 * (1 - IFERROR(INDEX('Inputs &amp; Assuptions'!$D$13:$D$72, COLUMN() - ($E18 + 5)), 0))
  )
)</f>
        <v>1000.0114534843015</v>
      </c>
      <c r="AL18" s="32">
        <f t="array" ref="AL18">IF(COLUMN() - ($E18 + 5) &lt; 0, 0,
  IF(COLUMN() - ($E18 + 5) = 0, $F18,
    AK18 * (1 - IFERROR(INDEX('Inputs &amp; Assuptions'!$D$13:$D$72, COLUMN() - ($E18 + 5)), 0))
  )
)</f>
        <v>999.51144775755938</v>
      </c>
      <c r="AM18" s="32">
        <f t="array" ref="AM18">IF(COLUMN() - ($E18 + 5) &lt; 0, 0,
  IF(COLUMN() - ($E18 + 5) = 0, $F18,
    AL18 * (1 - IFERROR(INDEX('Inputs &amp; Assuptions'!$D$13:$D$72, COLUMN() - ($E18 + 5)), 0))
  )
)</f>
        <v>999.01169203368067</v>
      </c>
      <c r="AN18" s="32">
        <f t="array" ref="AN18">IF(COLUMN() - ($E18 + 5) &lt; 0, 0,
  IF(COLUMN() - ($E18 + 5) = 0, $F18,
    AM18 * (1 - IFERROR(INDEX('Inputs &amp; Assuptions'!$D$13:$D$72, COLUMN() - ($E18 + 5)), 0))
  )
)</f>
        <v>998.51218618766393</v>
      </c>
      <c r="AO18" s="32">
        <f t="array" ref="AO18">IF(COLUMN() - ($E18 + 5) &lt; 0, 0,
  IF(COLUMN() - ($E18 + 5) = 0, $F18,
    AN18 * (1 - IFERROR(INDEX('Inputs &amp; Assuptions'!$D$13:$D$72, COLUMN() - ($E18 + 5)), 0))
  )
)</f>
        <v>998.01293009457015</v>
      </c>
      <c r="AP18" s="32">
        <f t="array" ref="AP18">IF(COLUMN() - ($E18 + 5) &lt; 0, 0,
  IF(COLUMN() - ($E18 + 5) = 0, $F18,
    AO18 * (1 - IFERROR(INDEX('Inputs &amp; Assuptions'!$D$13:$D$72, COLUMN() - ($E18 + 5)), 0))
  )
)</f>
        <v>997.51392362952288</v>
      </c>
      <c r="AQ18" s="32">
        <f t="array" ref="AQ18">IF(COLUMN() - ($E18 + 5) &lt; 0, 0,
  IF(COLUMN() - ($E18 + 5) = 0, $F18,
    AP18 * (1 - IFERROR(INDEX('Inputs &amp; Assuptions'!$D$13:$D$72, COLUMN() - ($E18 + 5)), 0))
  )
)</f>
        <v>997.01516666770817</v>
      </c>
      <c r="AR18" s="32">
        <f t="array" ref="AR18">IF(COLUMN() - ($E18 + 5) &lt; 0, 0,
  IF(COLUMN() - ($E18 + 5) = 0, $F18,
    AQ18 * (1 - IFERROR(INDEX('Inputs &amp; Assuptions'!$D$13:$D$72, COLUMN() - ($E18 + 5)), 0))
  )
)</f>
        <v>996.5166590843744</v>
      </c>
      <c r="AS18" s="32">
        <f t="array" ref="AS18">IF(COLUMN() - ($E18 + 5) &lt; 0, 0,
  IF(COLUMN() - ($E18 + 5) = 0, $F18,
    AR18 * (1 - IFERROR(INDEX('Inputs &amp; Assuptions'!$D$13:$D$72, COLUMN() - ($E18 + 5)), 0))
  )
)</f>
        <v>996.01840075483221</v>
      </c>
      <c r="AT18" s="32">
        <f t="array" ref="AT18">IF(COLUMN() - ($E18 + 5) &lt; 0, 0,
  IF(COLUMN() - ($E18 + 5) = 0, $F18,
    AS18 * (1 - IFERROR(INDEX('Inputs &amp; Assuptions'!$D$13:$D$72, COLUMN() - ($E18 + 5)), 0))
  )
)</f>
        <v>995.52039155445482</v>
      </c>
      <c r="AU18" s="32">
        <f t="array" ref="AU18">IF(COLUMN() - ($E18 + 5) &lt; 0, 0,
  IF(COLUMN() - ($E18 + 5) = 0, $F18,
    AT18 * (1 - IFERROR(INDEX('Inputs &amp; Assuptions'!$D$13:$D$72, COLUMN() - ($E18 + 5)), 0))
  )
)</f>
        <v>995.0226313586777</v>
      </c>
      <c r="AV18" s="32">
        <f t="array" ref="AV18">IF(COLUMN() - ($E18 + 5) &lt; 0, 0,
  IF(COLUMN() - ($E18 + 5) = 0, $F18,
    AU18 * (1 - IFERROR(INDEX('Inputs &amp; Assuptions'!$D$13:$D$72, COLUMN() - ($E18 + 5)), 0))
  )
)</f>
        <v>994.52512004299842</v>
      </c>
      <c r="AW18" s="32">
        <f t="array" ref="AW18">IF(COLUMN() - ($E18 + 5) &lt; 0, 0,
  IF(COLUMN() - ($E18 + 5) = 0, $F18,
    AV18 * (1 - IFERROR(INDEX('Inputs &amp; Assuptions'!$D$13:$D$72, COLUMN() - ($E18 + 5)), 0))
  )
)</f>
        <v>994.02785748297697</v>
      </c>
      <c r="AX18" s="32">
        <f t="array" ref="AX18">IF(COLUMN() - ($E18 + 5) &lt; 0, 0,
  IF(COLUMN() - ($E18 + 5) = 0, $F18,
    AW18 * (1 - IFERROR(INDEX('Inputs &amp; Assuptions'!$D$13:$D$72, COLUMN() - ($E18 + 5)), 0))
  )
)</f>
        <v>993.5308435542355</v>
      </c>
      <c r="AY18" s="32">
        <f t="array" ref="AY18">IF(COLUMN() - ($E18 + 5) &lt; 0, 0,
  IF(COLUMN() - ($E18 + 5) = 0, $F18,
    AX18 * (1 - IFERROR(INDEX('Inputs &amp; Assuptions'!$D$13:$D$72, COLUMN() - ($E18 + 5)), 0))
  )
)</f>
        <v>993.03407813245849</v>
      </c>
      <c r="AZ18" s="32">
        <f t="array" ref="AZ18">IF(COLUMN() - ($E18 + 5) &lt; 0, 0,
  IF(COLUMN() - ($E18 + 5) = 0, $F18,
    AY18 * (1 - IFERROR(INDEX('Inputs &amp; Assuptions'!$D$13:$D$72, COLUMN() - ($E18 + 5)), 0))
  )
)</f>
        <v>992.53756109339236</v>
      </c>
      <c r="BA18" s="32">
        <f t="array" ref="BA18">IF(COLUMN() - ($E18 + 5) &lt; 0, 0,
  IF(COLUMN() - ($E18 + 5) = 0, $F18,
    AZ18 * (1 - IFERROR(INDEX('Inputs &amp; Assuptions'!$D$13:$D$72, COLUMN() - ($E18 + 5)), 0))
  )
)</f>
        <v>992.04129231284571</v>
      </c>
      <c r="BB18" s="32">
        <f t="array" ref="BB18">IF(COLUMN() - ($E18 + 5) &lt; 0, 0,
  IF(COLUMN() - ($E18 + 5) = 0, $F18,
    BA18 * (1 - IFERROR(INDEX('Inputs &amp; Assuptions'!$D$13:$D$72, COLUMN() - ($E18 + 5)), 0))
  )
)</f>
        <v>991.54527166668936</v>
      </c>
      <c r="BC18" s="32">
        <f t="array" ref="BC18">IF(COLUMN() - ($E18 + 5) &lt; 0, 0,
  IF(COLUMN() - ($E18 + 5) = 0, $F18,
    BB18 * (1 - IFERROR(INDEX('Inputs &amp; Assuptions'!$D$13:$D$72, COLUMN() - ($E18 + 5)), 0))
  )
)</f>
        <v>991.04949903085605</v>
      </c>
      <c r="BD18" s="32">
        <f t="array" ref="BD18">IF(COLUMN() - ($E18 + 5) &lt; 0, 0,
  IF(COLUMN() - ($E18 + 5) = 0, $F18,
    BC18 * (1 - IFERROR(INDEX('Inputs &amp; Assuptions'!$D$13:$D$72, COLUMN() - ($E18 + 5)), 0))
  )
)</f>
        <v>990.55397428134063</v>
      </c>
      <c r="BE18" s="32">
        <f t="array" ref="BE18">IF(COLUMN() - ($E18 + 5) &lt; 0, 0,
  IF(COLUMN() - ($E18 + 5) = 0, $F18,
    BD18 * (1 - IFERROR(INDEX('Inputs &amp; Assuptions'!$D$13:$D$72, COLUMN() - ($E18 + 5)), 0))
  )
)</f>
        <v>990.05869729419999</v>
      </c>
      <c r="BF18" s="32">
        <f t="array" ref="BF18">IF(COLUMN() - ($E18 + 5) &lt; 0, 0,
  IF(COLUMN() - ($E18 + 5) = 0, $F18,
    BE18 * (1 - IFERROR(INDEX('Inputs &amp; Assuptions'!$D$13:$D$72, COLUMN() - ($E18 + 5)), 0))
  )
)</f>
        <v>989.56366794555299</v>
      </c>
      <c r="BG18" s="32">
        <f t="array" ref="BG18">IF(COLUMN() - ($E18 + 5) &lt; 0, 0,
  IF(COLUMN() - ($E18 + 5) = 0, $F18,
    BF18 * (1 - IFERROR(INDEX('Inputs &amp; Assuptions'!$D$13:$D$72, COLUMN() - ($E18 + 5)), 0))
  )
)</f>
        <v>989.06888611158024</v>
      </c>
      <c r="BH18" s="32">
        <f t="array" ref="BH18">IF(COLUMN() - ($E18 + 5) &lt; 0, 0,
  IF(COLUMN() - ($E18 + 5) = 0, $F18,
    BG18 * (1 - IFERROR(INDEX('Inputs &amp; Assuptions'!$D$13:$D$72, COLUMN() - ($E18 + 5)), 0))
  )
)</f>
        <v>988.57435166852451</v>
      </c>
      <c r="BI18" s="32">
        <f t="array" ref="BI18">IF(COLUMN() - ($E18 + 5) &lt; 0, 0,
  IF(COLUMN() - ($E18 + 5) = 0, $F18,
    BH18 * (1 - IFERROR(INDEX('Inputs &amp; Assuptions'!$D$13:$D$72, COLUMN() - ($E18 + 5)), 0))
  )
)</f>
        <v>988.08006449269033</v>
      </c>
      <c r="BJ18" s="32">
        <f t="array" ref="BJ18">IF(COLUMN() - ($E18 + 5) &lt; 0, 0,
  IF(COLUMN() - ($E18 + 5) = 0, $F18,
    BI18 * (1 - IFERROR(INDEX('Inputs &amp; Assuptions'!$D$13:$D$72, COLUMN() - ($E18 + 5)), 0))
  )
)</f>
        <v>987.58602446044404</v>
      </c>
      <c r="BK18" s="32">
        <f t="array" ref="BK18">IF(COLUMN() - ($E18 + 5) &lt; 0, 0,
  IF(COLUMN() - ($E18 + 5) = 0, $F18,
    BJ18 * (1 - IFERROR(INDEX('Inputs &amp; Assuptions'!$D$13:$D$72, COLUMN() - ($E18 + 5)), 0))
  )
)</f>
        <v>987.09223144821385</v>
      </c>
      <c r="BL18" s="32">
        <f t="array" ref="BL18">IF(COLUMN() - ($E18 + 5) &lt; 0, 0,
  IF(COLUMN() - ($E18 + 5) = 0, $F18,
    BK18 * (1 - IFERROR(INDEX('Inputs &amp; Assuptions'!$D$13:$D$72, COLUMN() - ($E18 + 5)), 0))
  )
)</f>
        <v>986.59868533248982</v>
      </c>
      <c r="BM18" s="66">
        <f t="array" ref="BM18">IF(COLUMN() - ($E18 + 5) &lt; 0, 0,
  IF(COLUMN() - ($E18 + 5) = 0, $F18,
    BL18 * (1 - IFERROR(INDEX('Inputs &amp; Assuptions'!$D$13:$D$72, COLUMN() - ($E18 + 5)), 0))
  )
)</f>
        <v>986.10538598982362</v>
      </c>
      <c r="BN18" s="33"/>
    </row>
    <row r="19" spans="1:66" x14ac:dyDescent="0.3">
      <c r="A19" s="71">
        <f t="shared" si="2"/>
        <v>14</v>
      </c>
      <c r="B19" s="75">
        <f t="shared" si="4"/>
        <v>1050</v>
      </c>
      <c r="C19" s="76">
        <f>$B19*(1-'Inputs &amp; Assuptions'!$D$12)</f>
        <v>1026.9000000000001</v>
      </c>
      <c r="E19" s="71">
        <f t="shared" si="3"/>
        <v>14</v>
      </c>
      <c r="F19" s="65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>
        <f>$C19</f>
        <v>1026.9000000000001</v>
      </c>
      <c r="T19" s="32">
        <f t="array" ref="T19">IF(COLUMN() - ($E19 + 5) &lt; 0, 0,
  IF(COLUMN() - ($E19 + 5) = 0, $F19,
    S19 * (1 - IFERROR(INDEX('Inputs &amp; Assuptions'!$D$13:$D$72, COLUMN() - ($E19 + 5)), 0))
  )
)</f>
        <v>1021.7655000000001</v>
      </c>
      <c r="U19" s="32">
        <f t="array" ref="U19">IF(COLUMN() - ($E19 + 5) &lt; 0, 0,
  IF(COLUMN() - ($E19 + 5) = 0, $F19,
    T19 * (1 - IFERROR(INDEX('Inputs &amp; Assuptions'!$D$13:$D$72, COLUMN() - ($E19 + 5)), 0))
  )
)</f>
        <v>1017.8827911000001</v>
      </c>
      <c r="V19" s="32">
        <f t="array" ref="V19">IF(COLUMN() - ($E19 + 5) &lt; 0, 0,
  IF(COLUMN() - ($E19 + 5) = 0, $F19,
    U19 * (1 - IFERROR(INDEX('Inputs &amp; Assuptions'!$D$13:$D$72, COLUMN() - ($E19 + 5)), 0))
  )
)</f>
        <v>1015.3380841222502</v>
      </c>
      <c r="W19" s="32">
        <f t="array" ref="W19">IF(COLUMN() - ($E19 + 5) &lt; 0, 0,
  IF(COLUMN() - ($E19 + 5) = 0, $F19,
    V19 * (1 - IFERROR(INDEX('Inputs &amp; Assuptions'!$D$13:$D$72, COLUMN() - ($E19 + 5)), 0))
  )
)</f>
        <v>1013.002806528769</v>
      </c>
      <c r="X19" s="32">
        <f t="array" ref="X19">IF(COLUMN() - ($E19 + 5) &lt; 0, 0,
  IF(COLUMN() - ($E19 + 5) = 0, $F19,
    W19 * (1 - IFERROR(INDEX('Inputs &amp; Assuptions'!$D$13:$D$72, COLUMN() - ($E19 + 5)), 0))
  )
)</f>
        <v>1010.9768009157115</v>
      </c>
      <c r="Y19" s="32">
        <f t="array" ref="Y19">IF(COLUMN() - ($E19 + 5) &lt; 0, 0,
  IF(COLUMN() - ($E19 + 5) = 0, $F19,
    X19 * (1 - IFERROR(INDEX('Inputs &amp; Assuptions'!$D$13:$D$72, COLUMN() - ($E19 + 5)), 0))
  )
)</f>
        <v>1009.1570426740632</v>
      </c>
      <c r="Z19" s="32">
        <f t="array" ref="Z19">IF(COLUMN() - ($E19 + 5) &lt; 0, 0,
  IF(COLUMN() - ($E19 + 5) = 0, $F19,
    Y19 * (1 - IFERROR(INDEX('Inputs &amp; Assuptions'!$D$13:$D$72, COLUMN() - ($E19 + 5)), 0))
  )
)</f>
        <v>1007.6433071100521</v>
      </c>
      <c r="AA19" s="32">
        <f t="array" ref="AA19">IF(COLUMN() - ($E19 + 5) &lt; 0, 0,
  IF(COLUMN() - ($E19 + 5) = 0, $F19,
    Z19 * (1 - IFERROR(INDEX('Inputs &amp; Assuptions'!$D$13:$D$72, COLUMN() - ($E19 + 5)), 0))
  )
)</f>
        <v>1006.333370810809</v>
      </c>
      <c r="AB19" s="32">
        <f t="array" ref="AB19">IF(COLUMN() - ($E19 + 5) &lt; 0, 0,
  IF(COLUMN() - ($E19 + 5) = 0, $F19,
    AA19 * (1 - IFERROR(INDEX('Inputs &amp; Assuptions'!$D$13:$D$72, COLUMN() - ($E19 + 5)), 0))
  )
)</f>
        <v>1005.3270374399982</v>
      </c>
      <c r="AC19" s="32">
        <f t="array" ref="AC19">IF(COLUMN() - ($E19 + 5) &lt; 0, 0,
  IF(COLUMN() - ($E19 + 5) = 0, $F19,
    AB19 * (1 - IFERROR(INDEX('Inputs &amp; Assuptions'!$D$13:$D$72, COLUMN() - ($E19 + 5)), 0))
  )
)</f>
        <v>1004.5227758100461</v>
      </c>
      <c r="AD19" s="32">
        <f t="array" ref="AD19">IF(COLUMN() - ($E19 + 5) &lt; 0, 0,
  IF(COLUMN() - ($E19 + 5) = 0, $F19,
    AC19 * (1 - IFERROR(INDEX('Inputs &amp; Assuptions'!$D$13:$D$72, COLUMN() - ($E19 + 5)), 0))
  )
)</f>
        <v>1004.0205144221412</v>
      </c>
      <c r="AE19" s="32">
        <f t="array" ref="AE19">IF(COLUMN() - ($E19 + 5) &lt; 0, 0,
  IF(COLUMN() - ($E19 + 5) = 0, $F19,
    AD19 * (1 - IFERROR(INDEX('Inputs &amp; Assuptions'!$D$13:$D$72, COLUMN() - ($E19 + 5)), 0))
  )
)</f>
        <v>1003.5185041649302</v>
      </c>
      <c r="AF19" s="32">
        <f t="array" ref="AF19">IF(COLUMN() - ($E19 + 5) &lt; 0, 0,
  IF(COLUMN() - ($E19 + 5) = 0, $F19,
    AE19 * (1 - IFERROR(INDEX('Inputs &amp; Assuptions'!$D$13:$D$72, COLUMN() - ($E19 + 5)), 0))
  )
)</f>
        <v>1003.0167449128478</v>
      </c>
      <c r="AG19" s="32">
        <f t="array" ref="AG19">IF(COLUMN() - ($E19 + 5) &lt; 0, 0,
  IF(COLUMN() - ($E19 + 5) = 0, $F19,
    AF19 * (1 - IFERROR(INDEX('Inputs &amp; Assuptions'!$D$13:$D$72, COLUMN() - ($E19 + 5)), 0))
  )
)</f>
        <v>1002.5152365403915</v>
      </c>
      <c r="AH19" s="32">
        <f t="array" ref="AH19">IF(COLUMN() - ($E19 + 5) &lt; 0, 0,
  IF(COLUMN() - ($E19 + 5) = 0, $F19,
    AG19 * (1 - IFERROR(INDEX('Inputs &amp; Assuptions'!$D$13:$D$72, COLUMN() - ($E19 + 5)), 0))
  )
)</f>
        <v>1002.0139789221213</v>
      </c>
      <c r="AI19" s="32">
        <f t="array" ref="AI19">IF(COLUMN() - ($E19 + 5) &lt; 0, 0,
  IF(COLUMN() - ($E19 + 5) = 0, $F19,
    AH19 * (1 - IFERROR(INDEX('Inputs &amp; Assuptions'!$D$13:$D$72, COLUMN() - ($E19 + 5)), 0))
  )
)</f>
        <v>1001.5129719326603</v>
      </c>
      <c r="AJ19" s="32">
        <f t="array" ref="AJ19">IF(COLUMN() - ($E19 + 5) &lt; 0, 0,
  IF(COLUMN() - ($E19 + 5) = 0, $F19,
    AI19 * (1 - IFERROR(INDEX('Inputs &amp; Assuptions'!$D$13:$D$72, COLUMN() - ($E19 + 5)), 0))
  )
)</f>
        <v>1001.0122154466941</v>
      </c>
      <c r="AK19" s="32">
        <f t="array" ref="AK19">IF(COLUMN() - ($E19 + 5) &lt; 0, 0,
  IF(COLUMN() - ($E19 + 5) = 0, $F19,
    AJ19 * (1 - IFERROR(INDEX('Inputs &amp; Assuptions'!$D$13:$D$72, COLUMN() - ($E19 + 5)), 0))
  )
)</f>
        <v>1000.5117093389708</v>
      </c>
      <c r="AL19" s="32">
        <f t="array" ref="AL19">IF(COLUMN() - ($E19 + 5) &lt; 0, 0,
  IF(COLUMN() - ($E19 + 5) = 0, $F19,
    AK19 * (1 - IFERROR(INDEX('Inputs &amp; Assuptions'!$D$13:$D$72, COLUMN() - ($E19 + 5)), 0))
  )
)</f>
        <v>1000.0114534843015</v>
      </c>
      <c r="AM19" s="32">
        <f t="array" ref="AM19">IF(COLUMN() - ($E19 + 5) &lt; 0, 0,
  IF(COLUMN() - ($E19 + 5) = 0, $F19,
    AL19 * (1 - IFERROR(INDEX('Inputs &amp; Assuptions'!$D$13:$D$72, COLUMN() - ($E19 + 5)), 0))
  )
)</f>
        <v>999.51144775755938</v>
      </c>
      <c r="AN19" s="32">
        <f t="array" ref="AN19">IF(COLUMN() - ($E19 + 5) &lt; 0, 0,
  IF(COLUMN() - ($E19 + 5) = 0, $F19,
    AM19 * (1 - IFERROR(INDEX('Inputs &amp; Assuptions'!$D$13:$D$72, COLUMN() - ($E19 + 5)), 0))
  )
)</f>
        <v>999.01169203368067</v>
      </c>
      <c r="AO19" s="32">
        <f t="array" ref="AO19">IF(COLUMN() - ($E19 + 5) &lt; 0, 0,
  IF(COLUMN() - ($E19 + 5) = 0, $F19,
    AN19 * (1 - IFERROR(INDEX('Inputs &amp; Assuptions'!$D$13:$D$72, COLUMN() - ($E19 + 5)), 0))
  )
)</f>
        <v>998.51218618766393</v>
      </c>
      <c r="AP19" s="32">
        <f t="array" ref="AP19">IF(COLUMN() - ($E19 + 5) &lt; 0, 0,
  IF(COLUMN() - ($E19 + 5) = 0, $F19,
    AO19 * (1 - IFERROR(INDEX('Inputs &amp; Assuptions'!$D$13:$D$72, COLUMN() - ($E19 + 5)), 0))
  )
)</f>
        <v>998.01293009457015</v>
      </c>
      <c r="AQ19" s="32">
        <f t="array" ref="AQ19">IF(COLUMN() - ($E19 + 5) &lt; 0, 0,
  IF(COLUMN() - ($E19 + 5) = 0, $F19,
    AP19 * (1 - IFERROR(INDEX('Inputs &amp; Assuptions'!$D$13:$D$72, COLUMN() - ($E19 + 5)), 0))
  )
)</f>
        <v>997.51392362952288</v>
      </c>
      <c r="AR19" s="32">
        <f t="array" ref="AR19">IF(COLUMN() - ($E19 + 5) &lt; 0, 0,
  IF(COLUMN() - ($E19 + 5) = 0, $F19,
    AQ19 * (1 - IFERROR(INDEX('Inputs &amp; Assuptions'!$D$13:$D$72, COLUMN() - ($E19 + 5)), 0))
  )
)</f>
        <v>997.01516666770817</v>
      </c>
      <c r="AS19" s="32">
        <f t="array" ref="AS19">IF(COLUMN() - ($E19 + 5) &lt; 0, 0,
  IF(COLUMN() - ($E19 + 5) = 0, $F19,
    AR19 * (1 - IFERROR(INDEX('Inputs &amp; Assuptions'!$D$13:$D$72, COLUMN() - ($E19 + 5)), 0))
  )
)</f>
        <v>996.5166590843744</v>
      </c>
      <c r="AT19" s="32">
        <f t="array" ref="AT19">IF(COLUMN() - ($E19 + 5) &lt; 0, 0,
  IF(COLUMN() - ($E19 + 5) = 0, $F19,
    AS19 * (1 - IFERROR(INDEX('Inputs &amp; Assuptions'!$D$13:$D$72, COLUMN() - ($E19 + 5)), 0))
  )
)</f>
        <v>996.01840075483221</v>
      </c>
      <c r="AU19" s="32">
        <f t="array" ref="AU19">IF(COLUMN() - ($E19 + 5) &lt; 0, 0,
  IF(COLUMN() - ($E19 + 5) = 0, $F19,
    AT19 * (1 - IFERROR(INDEX('Inputs &amp; Assuptions'!$D$13:$D$72, COLUMN() - ($E19 + 5)), 0))
  )
)</f>
        <v>995.52039155445482</v>
      </c>
      <c r="AV19" s="32">
        <f t="array" ref="AV19">IF(COLUMN() - ($E19 + 5) &lt; 0, 0,
  IF(COLUMN() - ($E19 + 5) = 0, $F19,
    AU19 * (1 - IFERROR(INDEX('Inputs &amp; Assuptions'!$D$13:$D$72, COLUMN() - ($E19 + 5)), 0))
  )
)</f>
        <v>995.0226313586777</v>
      </c>
      <c r="AW19" s="32">
        <f t="array" ref="AW19">IF(COLUMN() - ($E19 + 5) &lt; 0, 0,
  IF(COLUMN() - ($E19 + 5) = 0, $F19,
    AV19 * (1 - IFERROR(INDEX('Inputs &amp; Assuptions'!$D$13:$D$72, COLUMN() - ($E19 + 5)), 0))
  )
)</f>
        <v>994.52512004299842</v>
      </c>
      <c r="AX19" s="32">
        <f t="array" ref="AX19">IF(COLUMN() - ($E19 + 5) &lt; 0, 0,
  IF(COLUMN() - ($E19 + 5) = 0, $F19,
    AW19 * (1 - IFERROR(INDEX('Inputs &amp; Assuptions'!$D$13:$D$72, COLUMN() - ($E19 + 5)), 0))
  )
)</f>
        <v>994.02785748297697</v>
      </c>
      <c r="AY19" s="32">
        <f t="array" ref="AY19">IF(COLUMN() - ($E19 + 5) &lt; 0, 0,
  IF(COLUMN() - ($E19 + 5) = 0, $F19,
    AX19 * (1 - IFERROR(INDEX('Inputs &amp; Assuptions'!$D$13:$D$72, COLUMN() - ($E19 + 5)), 0))
  )
)</f>
        <v>993.5308435542355</v>
      </c>
      <c r="AZ19" s="32">
        <f t="array" ref="AZ19">IF(COLUMN() - ($E19 + 5) &lt; 0, 0,
  IF(COLUMN() - ($E19 + 5) = 0, $F19,
    AY19 * (1 - IFERROR(INDEX('Inputs &amp; Assuptions'!$D$13:$D$72, COLUMN() - ($E19 + 5)), 0))
  )
)</f>
        <v>993.03407813245849</v>
      </c>
      <c r="BA19" s="32">
        <f t="array" ref="BA19">IF(COLUMN() - ($E19 + 5) &lt; 0, 0,
  IF(COLUMN() - ($E19 + 5) = 0, $F19,
    AZ19 * (1 - IFERROR(INDEX('Inputs &amp; Assuptions'!$D$13:$D$72, COLUMN() - ($E19 + 5)), 0))
  )
)</f>
        <v>992.53756109339236</v>
      </c>
      <c r="BB19" s="32">
        <f t="array" ref="BB19">IF(COLUMN() - ($E19 + 5) &lt; 0, 0,
  IF(COLUMN() - ($E19 + 5) = 0, $F19,
    BA19 * (1 - IFERROR(INDEX('Inputs &amp; Assuptions'!$D$13:$D$72, COLUMN() - ($E19 + 5)), 0))
  )
)</f>
        <v>992.04129231284571</v>
      </c>
      <c r="BC19" s="32">
        <f t="array" ref="BC19">IF(COLUMN() - ($E19 + 5) &lt; 0, 0,
  IF(COLUMN() - ($E19 + 5) = 0, $F19,
    BB19 * (1 - IFERROR(INDEX('Inputs &amp; Assuptions'!$D$13:$D$72, COLUMN() - ($E19 + 5)), 0))
  )
)</f>
        <v>991.54527166668936</v>
      </c>
      <c r="BD19" s="32">
        <f t="array" ref="BD19">IF(COLUMN() - ($E19 + 5) &lt; 0, 0,
  IF(COLUMN() - ($E19 + 5) = 0, $F19,
    BC19 * (1 - IFERROR(INDEX('Inputs &amp; Assuptions'!$D$13:$D$72, COLUMN() - ($E19 + 5)), 0))
  )
)</f>
        <v>991.04949903085605</v>
      </c>
      <c r="BE19" s="32">
        <f t="array" ref="BE19">IF(COLUMN() - ($E19 + 5) &lt; 0, 0,
  IF(COLUMN() - ($E19 + 5) = 0, $F19,
    BD19 * (1 - IFERROR(INDEX('Inputs &amp; Assuptions'!$D$13:$D$72, COLUMN() - ($E19 + 5)), 0))
  )
)</f>
        <v>990.55397428134063</v>
      </c>
      <c r="BF19" s="32">
        <f t="array" ref="BF19">IF(COLUMN() - ($E19 + 5) &lt; 0, 0,
  IF(COLUMN() - ($E19 + 5) = 0, $F19,
    BE19 * (1 - IFERROR(INDEX('Inputs &amp; Assuptions'!$D$13:$D$72, COLUMN() - ($E19 + 5)), 0))
  )
)</f>
        <v>990.05869729419999</v>
      </c>
      <c r="BG19" s="32">
        <f t="array" ref="BG19">IF(COLUMN() - ($E19 + 5) &lt; 0, 0,
  IF(COLUMN() - ($E19 + 5) = 0, $F19,
    BF19 * (1 - IFERROR(INDEX('Inputs &amp; Assuptions'!$D$13:$D$72, COLUMN() - ($E19 + 5)), 0))
  )
)</f>
        <v>989.56366794555299</v>
      </c>
      <c r="BH19" s="32">
        <f t="array" ref="BH19">IF(COLUMN() - ($E19 + 5) &lt; 0, 0,
  IF(COLUMN() - ($E19 + 5) = 0, $F19,
    BG19 * (1 - IFERROR(INDEX('Inputs &amp; Assuptions'!$D$13:$D$72, COLUMN() - ($E19 + 5)), 0))
  )
)</f>
        <v>989.06888611158024</v>
      </c>
      <c r="BI19" s="32">
        <f t="array" ref="BI19">IF(COLUMN() - ($E19 + 5) &lt; 0, 0,
  IF(COLUMN() - ($E19 + 5) = 0, $F19,
    BH19 * (1 - IFERROR(INDEX('Inputs &amp; Assuptions'!$D$13:$D$72, COLUMN() - ($E19 + 5)), 0))
  )
)</f>
        <v>988.57435166852451</v>
      </c>
      <c r="BJ19" s="32">
        <f t="array" ref="BJ19">IF(COLUMN() - ($E19 + 5) &lt; 0, 0,
  IF(COLUMN() - ($E19 + 5) = 0, $F19,
    BI19 * (1 - IFERROR(INDEX('Inputs &amp; Assuptions'!$D$13:$D$72, COLUMN() - ($E19 + 5)), 0))
  )
)</f>
        <v>988.08006449269033</v>
      </c>
      <c r="BK19" s="32">
        <f t="array" ref="BK19">IF(COLUMN() - ($E19 + 5) &lt; 0, 0,
  IF(COLUMN() - ($E19 + 5) = 0, $F19,
    BJ19 * (1 - IFERROR(INDEX('Inputs &amp; Assuptions'!$D$13:$D$72, COLUMN() - ($E19 + 5)), 0))
  )
)</f>
        <v>987.58602446044404</v>
      </c>
      <c r="BL19" s="32">
        <f t="array" ref="BL19">IF(COLUMN() - ($E19 + 5) &lt; 0, 0,
  IF(COLUMN() - ($E19 + 5) = 0, $F19,
    BK19 * (1 - IFERROR(INDEX('Inputs &amp; Assuptions'!$D$13:$D$72, COLUMN() - ($E19 + 5)), 0))
  )
)</f>
        <v>987.09223144821385</v>
      </c>
      <c r="BM19" s="66">
        <f t="array" ref="BM19">IF(COLUMN() - ($E19 + 5) &lt; 0, 0,
  IF(COLUMN() - ($E19 + 5) = 0, $F19,
    BL19 * (1 - IFERROR(INDEX('Inputs &amp; Assuptions'!$D$13:$D$72, COLUMN() - ($E19 + 5)), 0))
  )
)</f>
        <v>986.59868533248982</v>
      </c>
      <c r="BN19" s="33"/>
    </row>
    <row r="20" spans="1:66" x14ac:dyDescent="0.3">
      <c r="A20" s="71">
        <f t="shared" si="2"/>
        <v>15</v>
      </c>
      <c r="B20" s="75">
        <f t="shared" si="4"/>
        <v>1050</v>
      </c>
      <c r="C20" s="76">
        <f>$B20*(1-'Inputs &amp; Assuptions'!$D$12)</f>
        <v>1026.9000000000001</v>
      </c>
      <c r="E20" s="71">
        <f t="shared" si="3"/>
        <v>15</v>
      </c>
      <c r="F20" s="65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>
        <f>$C20</f>
        <v>1026.9000000000001</v>
      </c>
      <c r="U20" s="32">
        <f t="array" ref="U20">IF(COLUMN() - ($E20 + 5) &lt; 0, 0,
  IF(COLUMN() - ($E20 + 5) = 0, $F20,
    T20 * (1 - IFERROR(INDEX('Inputs &amp; Assuptions'!$D$13:$D$72, COLUMN() - ($E20 + 5)), 0))
  )
)</f>
        <v>1021.7655000000001</v>
      </c>
      <c r="V20" s="32">
        <f t="array" ref="V20">IF(COLUMN() - ($E20 + 5) &lt; 0, 0,
  IF(COLUMN() - ($E20 + 5) = 0, $F20,
    U20 * (1 - IFERROR(INDEX('Inputs &amp; Assuptions'!$D$13:$D$72, COLUMN() - ($E20 + 5)), 0))
  )
)</f>
        <v>1017.8827911000001</v>
      </c>
      <c r="W20" s="32">
        <f t="array" ref="W20">IF(COLUMN() - ($E20 + 5) &lt; 0, 0,
  IF(COLUMN() - ($E20 + 5) = 0, $F20,
    V20 * (1 - IFERROR(INDEX('Inputs &amp; Assuptions'!$D$13:$D$72, COLUMN() - ($E20 + 5)), 0))
  )
)</f>
        <v>1015.3380841222502</v>
      </c>
      <c r="X20" s="32">
        <f t="array" ref="X20">IF(COLUMN() - ($E20 + 5) &lt; 0, 0,
  IF(COLUMN() - ($E20 + 5) = 0, $F20,
    W20 * (1 - IFERROR(INDEX('Inputs &amp; Assuptions'!$D$13:$D$72, COLUMN() - ($E20 + 5)), 0))
  )
)</f>
        <v>1013.002806528769</v>
      </c>
      <c r="Y20" s="32">
        <f t="array" ref="Y20">IF(COLUMN() - ($E20 + 5) &lt; 0, 0,
  IF(COLUMN() - ($E20 + 5) = 0, $F20,
    X20 * (1 - IFERROR(INDEX('Inputs &amp; Assuptions'!$D$13:$D$72, COLUMN() - ($E20 + 5)), 0))
  )
)</f>
        <v>1010.9768009157115</v>
      </c>
      <c r="Z20" s="32">
        <f t="array" ref="Z20">IF(COLUMN() - ($E20 + 5) &lt; 0, 0,
  IF(COLUMN() - ($E20 + 5) = 0, $F20,
    Y20 * (1 - IFERROR(INDEX('Inputs &amp; Assuptions'!$D$13:$D$72, COLUMN() - ($E20 + 5)), 0))
  )
)</f>
        <v>1009.1570426740632</v>
      </c>
      <c r="AA20" s="32">
        <f t="array" ref="AA20">IF(COLUMN() - ($E20 + 5) &lt; 0, 0,
  IF(COLUMN() - ($E20 + 5) = 0, $F20,
    Z20 * (1 - IFERROR(INDEX('Inputs &amp; Assuptions'!$D$13:$D$72, COLUMN() - ($E20 + 5)), 0))
  )
)</f>
        <v>1007.6433071100521</v>
      </c>
      <c r="AB20" s="32">
        <f t="array" ref="AB20">IF(COLUMN() - ($E20 + 5) &lt; 0, 0,
  IF(COLUMN() - ($E20 + 5) = 0, $F20,
    AA20 * (1 - IFERROR(INDEX('Inputs &amp; Assuptions'!$D$13:$D$72, COLUMN() - ($E20 + 5)), 0))
  )
)</f>
        <v>1006.333370810809</v>
      </c>
      <c r="AC20" s="32">
        <f t="array" ref="AC20">IF(COLUMN() - ($E20 + 5) &lt; 0, 0,
  IF(COLUMN() - ($E20 + 5) = 0, $F20,
    AB20 * (1 - IFERROR(INDEX('Inputs &amp; Assuptions'!$D$13:$D$72, COLUMN() - ($E20 + 5)), 0))
  )
)</f>
        <v>1005.3270374399982</v>
      </c>
      <c r="AD20" s="32">
        <f t="array" ref="AD20">IF(COLUMN() - ($E20 + 5) &lt; 0, 0,
  IF(COLUMN() - ($E20 + 5) = 0, $F20,
    AC20 * (1 - IFERROR(INDEX('Inputs &amp; Assuptions'!$D$13:$D$72, COLUMN() - ($E20 + 5)), 0))
  )
)</f>
        <v>1004.5227758100461</v>
      </c>
      <c r="AE20" s="32">
        <f t="array" ref="AE20">IF(COLUMN() - ($E20 + 5) &lt; 0, 0,
  IF(COLUMN() - ($E20 + 5) = 0, $F20,
    AD20 * (1 - IFERROR(INDEX('Inputs &amp; Assuptions'!$D$13:$D$72, COLUMN() - ($E20 + 5)), 0))
  )
)</f>
        <v>1004.0205144221412</v>
      </c>
      <c r="AF20" s="32">
        <f t="array" ref="AF20">IF(COLUMN() - ($E20 + 5) &lt; 0, 0,
  IF(COLUMN() - ($E20 + 5) = 0, $F20,
    AE20 * (1 - IFERROR(INDEX('Inputs &amp; Assuptions'!$D$13:$D$72, COLUMN() - ($E20 + 5)), 0))
  )
)</f>
        <v>1003.5185041649302</v>
      </c>
      <c r="AG20" s="32">
        <f t="array" ref="AG20">IF(COLUMN() - ($E20 + 5) &lt; 0, 0,
  IF(COLUMN() - ($E20 + 5) = 0, $F20,
    AF20 * (1 - IFERROR(INDEX('Inputs &amp; Assuptions'!$D$13:$D$72, COLUMN() - ($E20 + 5)), 0))
  )
)</f>
        <v>1003.0167449128478</v>
      </c>
      <c r="AH20" s="32">
        <f t="array" ref="AH20">IF(COLUMN() - ($E20 + 5) &lt; 0, 0,
  IF(COLUMN() - ($E20 + 5) = 0, $F20,
    AG20 * (1 - IFERROR(INDEX('Inputs &amp; Assuptions'!$D$13:$D$72, COLUMN() - ($E20 + 5)), 0))
  )
)</f>
        <v>1002.5152365403915</v>
      </c>
      <c r="AI20" s="32">
        <f t="array" ref="AI20">IF(COLUMN() - ($E20 + 5) &lt; 0, 0,
  IF(COLUMN() - ($E20 + 5) = 0, $F20,
    AH20 * (1 - IFERROR(INDEX('Inputs &amp; Assuptions'!$D$13:$D$72, COLUMN() - ($E20 + 5)), 0))
  )
)</f>
        <v>1002.0139789221213</v>
      </c>
      <c r="AJ20" s="32">
        <f t="array" ref="AJ20">IF(COLUMN() - ($E20 + 5) &lt; 0, 0,
  IF(COLUMN() - ($E20 + 5) = 0, $F20,
    AI20 * (1 - IFERROR(INDEX('Inputs &amp; Assuptions'!$D$13:$D$72, COLUMN() - ($E20 + 5)), 0))
  )
)</f>
        <v>1001.5129719326603</v>
      </c>
      <c r="AK20" s="32">
        <f t="array" ref="AK20">IF(COLUMN() - ($E20 + 5) &lt; 0, 0,
  IF(COLUMN() - ($E20 + 5) = 0, $F20,
    AJ20 * (1 - IFERROR(INDEX('Inputs &amp; Assuptions'!$D$13:$D$72, COLUMN() - ($E20 + 5)), 0))
  )
)</f>
        <v>1001.0122154466941</v>
      </c>
      <c r="AL20" s="32">
        <f t="array" ref="AL20">IF(COLUMN() - ($E20 + 5) &lt; 0, 0,
  IF(COLUMN() - ($E20 + 5) = 0, $F20,
    AK20 * (1 - IFERROR(INDEX('Inputs &amp; Assuptions'!$D$13:$D$72, COLUMN() - ($E20 + 5)), 0))
  )
)</f>
        <v>1000.5117093389708</v>
      </c>
      <c r="AM20" s="32">
        <f t="array" ref="AM20">IF(COLUMN() - ($E20 + 5) &lt; 0, 0,
  IF(COLUMN() - ($E20 + 5) = 0, $F20,
    AL20 * (1 - IFERROR(INDEX('Inputs &amp; Assuptions'!$D$13:$D$72, COLUMN() - ($E20 + 5)), 0))
  )
)</f>
        <v>1000.0114534843015</v>
      </c>
      <c r="AN20" s="32">
        <f t="array" ref="AN20">IF(COLUMN() - ($E20 + 5) &lt; 0, 0,
  IF(COLUMN() - ($E20 + 5) = 0, $F20,
    AM20 * (1 - IFERROR(INDEX('Inputs &amp; Assuptions'!$D$13:$D$72, COLUMN() - ($E20 + 5)), 0))
  )
)</f>
        <v>999.51144775755938</v>
      </c>
      <c r="AO20" s="32">
        <f t="array" ref="AO20">IF(COLUMN() - ($E20 + 5) &lt; 0, 0,
  IF(COLUMN() - ($E20 + 5) = 0, $F20,
    AN20 * (1 - IFERROR(INDEX('Inputs &amp; Assuptions'!$D$13:$D$72, COLUMN() - ($E20 + 5)), 0))
  )
)</f>
        <v>999.01169203368067</v>
      </c>
      <c r="AP20" s="32">
        <f t="array" ref="AP20">IF(COLUMN() - ($E20 + 5) &lt; 0, 0,
  IF(COLUMN() - ($E20 + 5) = 0, $F20,
    AO20 * (1 - IFERROR(INDEX('Inputs &amp; Assuptions'!$D$13:$D$72, COLUMN() - ($E20 + 5)), 0))
  )
)</f>
        <v>998.51218618766393</v>
      </c>
      <c r="AQ20" s="32">
        <f t="array" ref="AQ20">IF(COLUMN() - ($E20 + 5) &lt; 0, 0,
  IF(COLUMN() - ($E20 + 5) = 0, $F20,
    AP20 * (1 - IFERROR(INDEX('Inputs &amp; Assuptions'!$D$13:$D$72, COLUMN() - ($E20 + 5)), 0))
  )
)</f>
        <v>998.01293009457015</v>
      </c>
      <c r="AR20" s="32">
        <f t="array" ref="AR20">IF(COLUMN() - ($E20 + 5) &lt; 0, 0,
  IF(COLUMN() - ($E20 + 5) = 0, $F20,
    AQ20 * (1 - IFERROR(INDEX('Inputs &amp; Assuptions'!$D$13:$D$72, COLUMN() - ($E20 + 5)), 0))
  )
)</f>
        <v>997.51392362952288</v>
      </c>
      <c r="AS20" s="32">
        <f t="array" ref="AS20">IF(COLUMN() - ($E20 + 5) &lt; 0, 0,
  IF(COLUMN() - ($E20 + 5) = 0, $F20,
    AR20 * (1 - IFERROR(INDEX('Inputs &amp; Assuptions'!$D$13:$D$72, COLUMN() - ($E20 + 5)), 0))
  )
)</f>
        <v>997.01516666770817</v>
      </c>
      <c r="AT20" s="32">
        <f t="array" ref="AT20">IF(COLUMN() - ($E20 + 5) &lt; 0, 0,
  IF(COLUMN() - ($E20 + 5) = 0, $F20,
    AS20 * (1 - IFERROR(INDEX('Inputs &amp; Assuptions'!$D$13:$D$72, COLUMN() - ($E20 + 5)), 0))
  )
)</f>
        <v>996.5166590843744</v>
      </c>
      <c r="AU20" s="32">
        <f t="array" ref="AU20">IF(COLUMN() - ($E20 + 5) &lt; 0, 0,
  IF(COLUMN() - ($E20 + 5) = 0, $F20,
    AT20 * (1 - IFERROR(INDEX('Inputs &amp; Assuptions'!$D$13:$D$72, COLUMN() - ($E20 + 5)), 0))
  )
)</f>
        <v>996.01840075483221</v>
      </c>
      <c r="AV20" s="32">
        <f t="array" ref="AV20">IF(COLUMN() - ($E20 + 5) &lt; 0, 0,
  IF(COLUMN() - ($E20 + 5) = 0, $F20,
    AU20 * (1 - IFERROR(INDEX('Inputs &amp; Assuptions'!$D$13:$D$72, COLUMN() - ($E20 + 5)), 0))
  )
)</f>
        <v>995.52039155445482</v>
      </c>
      <c r="AW20" s="32">
        <f t="array" ref="AW20">IF(COLUMN() - ($E20 + 5) &lt; 0, 0,
  IF(COLUMN() - ($E20 + 5) = 0, $F20,
    AV20 * (1 - IFERROR(INDEX('Inputs &amp; Assuptions'!$D$13:$D$72, COLUMN() - ($E20 + 5)), 0))
  )
)</f>
        <v>995.0226313586777</v>
      </c>
      <c r="AX20" s="32">
        <f t="array" ref="AX20">IF(COLUMN() - ($E20 + 5) &lt; 0, 0,
  IF(COLUMN() - ($E20 + 5) = 0, $F20,
    AW20 * (1 - IFERROR(INDEX('Inputs &amp; Assuptions'!$D$13:$D$72, COLUMN() - ($E20 + 5)), 0))
  )
)</f>
        <v>994.52512004299842</v>
      </c>
      <c r="AY20" s="32">
        <f t="array" ref="AY20">IF(COLUMN() - ($E20 + 5) &lt; 0, 0,
  IF(COLUMN() - ($E20 + 5) = 0, $F20,
    AX20 * (1 - IFERROR(INDEX('Inputs &amp; Assuptions'!$D$13:$D$72, COLUMN() - ($E20 + 5)), 0))
  )
)</f>
        <v>994.02785748297697</v>
      </c>
      <c r="AZ20" s="32">
        <f t="array" ref="AZ20">IF(COLUMN() - ($E20 + 5) &lt; 0, 0,
  IF(COLUMN() - ($E20 + 5) = 0, $F20,
    AY20 * (1 - IFERROR(INDEX('Inputs &amp; Assuptions'!$D$13:$D$72, COLUMN() - ($E20 + 5)), 0))
  )
)</f>
        <v>993.5308435542355</v>
      </c>
      <c r="BA20" s="32">
        <f t="array" ref="BA20">IF(COLUMN() - ($E20 + 5) &lt; 0, 0,
  IF(COLUMN() - ($E20 + 5) = 0, $F20,
    AZ20 * (1 - IFERROR(INDEX('Inputs &amp; Assuptions'!$D$13:$D$72, COLUMN() - ($E20 + 5)), 0))
  )
)</f>
        <v>993.03407813245849</v>
      </c>
      <c r="BB20" s="32">
        <f t="array" ref="BB20">IF(COLUMN() - ($E20 + 5) &lt; 0, 0,
  IF(COLUMN() - ($E20 + 5) = 0, $F20,
    BA20 * (1 - IFERROR(INDEX('Inputs &amp; Assuptions'!$D$13:$D$72, COLUMN() - ($E20 + 5)), 0))
  )
)</f>
        <v>992.53756109339236</v>
      </c>
      <c r="BC20" s="32">
        <f t="array" ref="BC20">IF(COLUMN() - ($E20 + 5) &lt; 0, 0,
  IF(COLUMN() - ($E20 + 5) = 0, $F20,
    BB20 * (1 - IFERROR(INDEX('Inputs &amp; Assuptions'!$D$13:$D$72, COLUMN() - ($E20 + 5)), 0))
  )
)</f>
        <v>992.04129231284571</v>
      </c>
      <c r="BD20" s="32">
        <f t="array" ref="BD20">IF(COLUMN() - ($E20 + 5) &lt; 0, 0,
  IF(COLUMN() - ($E20 + 5) = 0, $F20,
    BC20 * (1 - IFERROR(INDEX('Inputs &amp; Assuptions'!$D$13:$D$72, COLUMN() - ($E20 + 5)), 0))
  )
)</f>
        <v>991.54527166668936</v>
      </c>
      <c r="BE20" s="32">
        <f t="array" ref="BE20">IF(COLUMN() - ($E20 + 5) &lt; 0, 0,
  IF(COLUMN() - ($E20 + 5) = 0, $F20,
    BD20 * (1 - IFERROR(INDEX('Inputs &amp; Assuptions'!$D$13:$D$72, COLUMN() - ($E20 + 5)), 0))
  )
)</f>
        <v>991.04949903085605</v>
      </c>
      <c r="BF20" s="32">
        <f t="array" ref="BF20">IF(COLUMN() - ($E20 + 5) &lt; 0, 0,
  IF(COLUMN() - ($E20 + 5) = 0, $F20,
    BE20 * (1 - IFERROR(INDEX('Inputs &amp; Assuptions'!$D$13:$D$72, COLUMN() - ($E20 + 5)), 0))
  )
)</f>
        <v>990.55397428134063</v>
      </c>
      <c r="BG20" s="32">
        <f t="array" ref="BG20">IF(COLUMN() - ($E20 + 5) &lt; 0, 0,
  IF(COLUMN() - ($E20 + 5) = 0, $F20,
    BF20 * (1 - IFERROR(INDEX('Inputs &amp; Assuptions'!$D$13:$D$72, COLUMN() - ($E20 + 5)), 0))
  )
)</f>
        <v>990.05869729419999</v>
      </c>
      <c r="BH20" s="32">
        <f t="array" ref="BH20">IF(COLUMN() - ($E20 + 5) &lt; 0, 0,
  IF(COLUMN() - ($E20 + 5) = 0, $F20,
    BG20 * (1 - IFERROR(INDEX('Inputs &amp; Assuptions'!$D$13:$D$72, COLUMN() - ($E20 + 5)), 0))
  )
)</f>
        <v>989.56366794555299</v>
      </c>
      <c r="BI20" s="32">
        <f t="array" ref="BI20">IF(COLUMN() - ($E20 + 5) &lt; 0, 0,
  IF(COLUMN() - ($E20 + 5) = 0, $F20,
    BH20 * (1 - IFERROR(INDEX('Inputs &amp; Assuptions'!$D$13:$D$72, COLUMN() - ($E20 + 5)), 0))
  )
)</f>
        <v>989.06888611158024</v>
      </c>
      <c r="BJ20" s="32">
        <f t="array" ref="BJ20">IF(COLUMN() - ($E20 + 5) &lt; 0, 0,
  IF(COLUMN() - ($E20 + 5) = 0, $F20,
    BI20 * (1 - IFERROR(INDEX('Inputs &amp; Assuptions'!$D$13:$D$72, COLUMN() - ($E20 + 5)), 0))
  )
)</f>
        <v>988.57435166852451</v>
      </c>
      <c r="BK20" s="32">
        <f t="array" ref="BK20">IF(COLUMN() - ($E20 + 5) &lt; 0, 0,
  IF(COLUMN() - ($E20 + 5) = 0, $F20,
    BJ20 * (1 - IFERROR(INDEX('Inputs &amp; Assuptions'!$D$13:$D$72, COLUMN() - ($E20 + 5)), 0))
  )
)</f>
        <v>988.08006449269033</v>
      </c>
      <c r="BL20" s="32">
        <f t="array" ref="BL20">IF(COLUMN() - ($E20 + 5) &lt; 0, 0,
  IF(COLUMN() - ($E20 + 5) = 0, $F20,
    BK20 * (1 - IFERROR(INDEX('Inputs &amp; Assuptions'!$D$13:$D$72, COLUMN() - ($E20 + 5)), 0))
  )
)</f>
        <v>987.58602446044404</v>
      </c>
      <c r="BM20" s="66">
        <f t="array" ref="BM20">IF(COLUMN() - ($E20 + 5) &lt; 0, 0,
  IF(COLUMN() - ($E20 + 5) = 0, $F20,
    BL20 * (1 - IFERROR(INDEX('Inputs &amp; Assuptions'!$D$13:$D$72, COLUMN() - ($E20 + 5)), 0))
  )
)</f>
        <v>987.09223144821385</v>
      </c>
      <c r="BN20" s="33"/>
    </row>
    <row r="21" spans="1:66" x14ac:dyDescent="0.3">
      <c r="A21" s="71">
        <f t="shared" si="2"/>
        <v>16</v>
      </c>
      <c r="B21" s="75">
        <f t="shared" si="4"/>
        <v>1050</v>
      </c>
      <c r="C21" s="76">
        <f>$B21*(1-'Inputs &amp; Assuptions'!$D$12)</f>
        <v>1026.9000000000001</v>
      </c>
      <c r="E21" s="71">
        <f t="shared" si="3"/>
        <v>16</v>
      </c>
      <c r="F21" s="65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>
        <f>$C21</f>
        <v>1026.9000000000001</v>
      </c>
      <c r="V21" s="32">
        <f t="array" ref="V21">IF(COLUMN() - ($E21 + 5) &lt; 0, 0,
  IF(COLUMN() - ($E21 + 5) = 0, $F21,
    U21 * (1 - IFERROR(INDEX('Inputs &amp; Assuptions'!$D$13:$D$72, COLUMN() - ($E21 + 5)), 0))
  )
)</f>
        <v>1021.7655000000001</v>
      </c>
      <c r="W21" s="32">
        <f t="array" ref="W21">IF(COLUMN() - ($E21 + 5) &lt; 0, 0,
  IF(COLUMN() - ($E21 + 5) = 0, $F21,
    V21 * (1 - IFERROR(INDEX('Inputs &amp; Assuptions'!$D$13:$D$72, COLUMN() - ($E21 + 5)), 0))
  )
)</f>
        <v>1017.8827911000001</v>
      </c>
      <c r="X21" s="32">
        <f t="array" ref="X21">IF(COLUMN() - ($E21 + 5) &lt; 0, 0,
  IF(COLUMN() - ($E21 + 5) = 0, $F21,
    W21 * (1 - IFERROR(INDEX('Inputs &amp; Assuptions'!$D$13:$D$72, COLUMN() - ($E21 + 5)), 0))
  )
)</f>
        <v>1015.3380841222502</v>
      </c>
      <c r="Y21" s="32">
        <f t="array" ref="Y21">IF(COLUMN() - ($E21 + 5) &lt; 0, 0,
  IF(COLUMN() - ($E21 + 5) = 0, $F21,
    X21 * (1 - IFERROR(INDEX('Inputs &amp; Assuptions'!$D$13:$D$72, COLUMN() - ($E21 + 5)), 0))
  )
)</f>
        <v>1013.002806528769</v>
      </c>
      <c r="Z21" s="32">
        <f t="array" ref="Z21">IF(COLUMN() - ($E21 + 5) &lt; 0, 0,
  IF(COLUMN() - ($E21 + 5) = 0, $F21,
    Y21 * (1 - IFERROR(INDEX('Inputs &amp; Assuptions'!$D$13:$D$72, COLUMN() - ($E21 + 5)), 0))
  )
)</f>
        <v>1010.9768009157115</v>
      </c>
      <c r="AA21" s="32">
        <f t="array" ref="AA21">IF(COLUMN() - ($E21 + 5) &lt; 0, 0,
  IF(COLUMN() - ($E21 + 5) = 0, $F21,
    Z21 * (1 - IFERROR(INDEX('Inputs &amp; Assuptions'!$D$13:$D$72, COLUMN() - ($E21 + 5)), 0))
  )
)</f>
        <v>1009.1570426740632</v>
      </c>
      <c r="AB21" s="32">
        <f t="array" ref="AB21">IF(COLUMN() - ($E21 + 5) &lt; 0, 0,
  IF(COLUMN() - ($E21 + 5) = 0, $F21,
    AA21 * (1 - IFERROR(INDEX('Inputs &amp; Assuptions'!$D$13:$D$72, COLUMN() - ($E21 + 5)), 0))
  )
)</f>
        <v>1007.6433071100521</v>
      </c>
      <c r="AC21" s="32">
        <f t="array" ref="AC21">IF(COLUMN() - ($E21 + 5) &lt; 0, 0,
  IF(COLUMN() - ($E21 + 5) = 0, $F21,
    AB21 * (1 - IFERROR(INDEX('Inputs &amp; Assuptions'!$D$13:$D$72, COLUMN() - ($E21 + 5)), 0))
  )
)</f>
        <v>1006.333370810809</v>
      </c>
      <c r="AD21" s="32">
        <f t="array" ref="AD21">IF(COLUMN() - ($E21 + 5) &lt; 0, 0,
  IF(COLUMN() - ($E21 + 5) = 0, $F21,
    AC21 * (1 - IFERROR(INDEX('Inputs &amp; Assuptions'!$D$13:$D$72, COLUMN() - ($E21 + 5)), 0))
  )
)</f>
        <v>1005.3270374399982</v>
      </c>
      <c r="AE21" s="32">
        <f t="array" ref="AE21">IF(COLUMN() - ($E21 + 5) &lt; 0, 0,
  IF(COLUMN() - ($E21 + 5) = 0, $F21,
    AD21 * (1 - IFERROR(INDEX('Inputs &amp; Assuptions'!$D$13:$D$72, COLUMN() - ($E21 + 5)), 0))
  )
)</f>
        <v>1004.5227758100461</v>
      </c>
      <c r="AF21" s="32">
        <f t="array" ref="AF21">IF(COLUMN() - ($E21 + 5) &lt; 0, 0,
  IF(COLUMN() - ($E21 + 5) = 0, $F21,
    AE21 * (1 - IFERROR(INDEX('Inputs &amp; Assuptions'!$D$13:$D$72, COLUMN() - ($E21 + 5)), 0))
  )
)</f>
        <v>1004.0205144221412</v>
      </c>
      <c r="AG21" s="32">
        <f t="array" ref="AG21">IF(COLUMN() - ($E21 + 5) &lt; 0, 0,
  IF(COLUMN() - ($E21 + 5) = 0, $F21,
    AF21 * (1 - IFERROR(INDEX('Inputs &amp; Assuptions'!$D$13:$D$72, COLUMN() - ($E21 + 5)), 0))
  )
)</f>
        <v>1003.5185041649302</v>
      </c>
      <c r="AH21" s="32">
        <f t="array" ref="AH21">IF(COLUMN() - ($E21 + 5) &lt; 0, 0,
  IF(COLUMN() - ($E21 + 5) = 0, $F21,
    AG21 * (1 - IFERROR(INDEX('Inputs &amp; Assuptions'!$D$13:$D$72, COLUMN() - ($E21 + 5)), 0))
  )
)</f>
        <v>1003.0167449128478</v>
      </c>
      <c r="AI21" s="32">
        <f t="array" ref="AI21">IF(COLUMN() - ($E21 + 5) &lt; 0, 0,
  IF(COLUMN() - ($E21 + 5) = 0, $F21,
    AH21 * (1 - IFERROR(INDEX('Inputs &amp; Assuptions'!$D$13:$D$72, COLUMN() - ($E21 + 5)), 0))
  )
)</f>
        <v>1002.5152365403915</v>
      </c>
      <c r="AJ21" s="32">
        <f t="array" ref="AJ21">IF(COLUMN() - ($E21 + 5) &lt; 0, 0,
  IF(COLUMN() - ($E21 + 5) = 0, $F21,
    AI21 * (1 - IFERROR(INDEX('Inputs &amp; Assuptions'!$D$13:$D$72, COLUMN() - ($E21 + 5)), 0))
  )
)</f>
        <v>1002.0139789221213</v>
      </c>
      <c r="AK21" s="32">
        <f t="array" ref="AK21">IF(COLUMN() - ($E21 + 5) &lt; 0, 0,
  IF(COLUMN() - ($E21 + 5) = 0, $F21,
    AJ21 * (1 - IFERROR(INDEX('Inputs &amp; Assuptions'!$D$13:$D$72, COLUMN() - ($E21 + 5)), 0))
  )
)</f>
        <v>1001.5129719326603</v>
      </c>
      <c r="AL21" s="32">
        <f t="array" ref="AL21">IF(COLUMN() - ($E21 + 5) &lt; 0, 0,
  IF(COLUMN() - ($E21 + 5) = 0, $F21,
    AK21 * (1 - IFERROR(INDEX('Inputs &amp; Assuptions'!$D$13:$D$72, COLUMN() - ($E21 + 5)), 0))
  )
)</f>
        <v>1001.0122154466941</v>
      </c>
      <c r="AM21" s="32">
        <f t="array" ref="AM21">IF(COLUMN() - ($E21 + 5) &lt; 0, 0,
  IF(COLUMN() - ($E21 + 5) = 0, $F21,
    AL21 * (1 - IFERROR(INDEX('Inputs &amp; Assuptions'!$D$13:$D$72, COLUMN() - ($E21 + 5)), 0))
  )
)</f>
        <v>1000.5117093389708</v>
      </c>
      <c r="AN21" s="32">
        <f t="array" ref="AN21">IF(COLUMN() - ($E21 + 5) &lt; 0, 0,
  IF(COLUMN() - ($E21 + 5) = 0, $F21,
    AM21 * (1 - IFERROR(INDEX('Inputs &amp; Assuptions'!$D$13:$D$72, COLUMN() - ($E21 + 5)), 0))
  )
)</f>
        <v>1000.0114534843015</v>
      </c>
      <c r="AO21" s="32">
        <f t="array" ref="AO21">IF(COLUMN() - ($E21 + 5) &lt; 0, 0,
  IF(COLUMN() - ($E21 + 5) = 0, $F21,
    AN21 * (1 - IFERROR(INDEX('Inputs &amp; Assuptions'!$D$13:$D$72, COLUMN() - ($E21 + 5)), 0))
  )
)</f>
        <v>999.51144775755938</v>
      </c>
      <c r="AP21" s="32">
        <f t="array" ref="AP21">IF(COLUMN() - ($E21 + 5) &lt; 0, 0,
  IF(COLUMN() - ($E21 + 5) = 0, $F21,
    AO21 * (1 - IFERROR(INDEX('Inputs &amp; Assuptions'!$D$13:$D$72, COLUMN() - ($E21 + 5)), 0))
  )
)</f>
        <v>999.01169203368067</v>
      </c>
      <c r="AQ21" s="32">
        <f t="array" ref="AQ21">IF(COLUMN() - ($E21 + 5) &lt; 0, 0,
  IF(COLUMN() - ($E21 + 5) = 0, $F21,
    AP21 * (1 - IFERROR(INDEX('Inputs &amp; Assuptions'!$D$13:$D$72, COLUMN() - ($E21 + 5)), 0))
  )
)</f>
        <v>998.51218618766393</v>
      </c>
      <c r="AR21" s="32">
        <f t="array" ref="AR21">IF(COLUMN() - ($E21 + 5) &lt; 0, 0,
  IF(COLUMN() - ($E21 + 5) = 0, $F21,
    AQ21 * (1 - IFERROR(INDEX('Inputs &amp; Assuptions'!$D$13:$D$72, COLUMN() - ($E21 + 5)), 0))
  )
)</f>
        <v>998.01293009457015</v>
      </c>
      <c r="AS21" s="32">
        <f t="array" ref="AS21">IF(COLUMN() - ($E21 + 5) &lt; 0, 0,
  IF(COLUMN() - ($E21 + 5) = 0, $F21,
    AR21 * (1 - IFERROR(INDEX('Inputs &amp; Assuptions'!$D$13:$D$72, COLUMN() - ($E21 + 5)), 0))
  )
)</f>
        <v>997.51392362952288</v>
      </c>
      <c r="AT21" s="32">
        <f t="array" ref="AT21">IF(COLUMN() - ($E21 + 5) &lt; 0, 0,
  IF(COLUMN() - ($E21 + 5) = 0, $F21,
    AS21 * (1 - IFERROR(INDEX('Inputs &amp; Assuptions'!$D$13:$D$72, COLUMN() - ($E21 + 5)), 0))
  )
)</f>
        <v>997.01516666770817</v>
      </c>
      <c r="AU21" s="32">
        <f t="array" ref="AU21">IF(COLUMN() - ($E21 + 5) &lt; 0, 0,
  IF(COLUMN() - ($E21 + 5) = 0, $F21,
    AT21 * (1 - IFERROR(INDEX('Inputs &amp; Assuptions'!$D$13:$D$72, COLUMN() - ($E21 + 5)), 0))
  )
)</f>
        <v>996.5166590843744</v>
      </c>
      <c r="AV21" s="32">
        <f t="array" ref="AV21">IF(COLUMN() - ($E21 + 5) &lt; 0, 0,
  IF(COLUMN() - ($E21 + 5) = 0, $F21,
    AU21 * (1 - IFERROR(INDEX('Inputs &amp; Assuptions'!$D$13:$D$72, COLUMN() - ($E21 + 5)), 0))
  )
)</f>
        <v>996.01840075483221</v>
      </c>
      <c r="AW21" s="32">
        <f t="array" ref="AW21">IF(COLUMN() - ($E21 + 5) &lt; 0, 0,
  IF(COLUMN() - ($E21 + 5) = 0, $F21,
    AV21 * (1 - IFERROR(INDEX('Inputs &amp; Assuptions'!$D$13:$D$72, COLUMN() - ($E21 + 5)), 0))
  )
)</f>
        <v>995.52039155445482</v>
      </c>
      <c r="AX21" s="32">
        <f t="array" ref="AX21">IF(COLUMN() - ($E21 + 5) &lt; 0, 0,
  IF(COLUMN() - ($E21 + 5) = 0, $F21,
    AW21 * (1 - IFERROR(INDEX('Inputs &amp; Assuptions'!$D$13:$D$72, COLUMN() - ($E21 + 5)), 0))
  )
)</f>
        <v>995.0226313586777</v>
      </c>
      <c r="AY21" s="32">
        <f t="array" ref="AY21">IF(COLUMN() - ($E21 + 5) &lt; 0, 0,
  IF(COLUMN() - ($E21 + 5) = 0, $F21,
    AX21 * (1 - IFERROR(INDEX('Inputs &amp; Assuptions'!$D$13:$D$72, COLUMN() - ($E21 + 5)), 0))
  )
)</f>
        <v>994.52512004299842</v>
      </c>
      <c r="AZ21" s="32">
        <f t="array" ref="AZ21">IF(COLUMN() - ($E21 + 5) &lt; 0, 0,
  IF(COLUMN() - ($E21 + 5) = 0, $F21,
    AY21 * (1 - IFERROR(INDEX('Inputs &amp; Assuptions'!$D$13:$D$72, COLUMN() - ($E21 + 5)), 0))
  )
)</f>
        <v>994.02785748297697</v>
      </c>
      <c r="BA21" s="32">
        <f t="array" ref="BA21">IF(COLUMN() - ($E21 + 5) &lt; 0, 0,
  IF(COLUMN() - ($E21 + 5) = 0, $F21,
    AZ21 * (1 - IFERROR(INDEX('Inputs &amp; Assuptions'!$D$13:$D$72, COLUMN() - ($E21 + 5)), 0))
  )
)</f>
        <v>993.5308435542355</v>
      </c>
      <c r="BB21" s="32">
        <f t="array" ref="BB21">IF(COLUMN() - ($E21 + 5) &lt; 0, 0,
  IF(COLUMN() - ($E21 + 5) = 0, $F21,
    BA21 * (1 - IFERROR(INDEX('Inputs &amp; Assuptions'!$D$13:$D$72, COLUMN() - ($E21 + 5)), 0))
  )
)</f>
        <v>993.03407813245849</v>
      </c>
      <c r="BC21" s="32">
        <f t="array" ref="BC21">IF(COLUMN() - ($E21 + 5) &lt; 0, 0,
  IF(COLUMN() - ($E21 + 5) = 0, $F21,
    BB21 * (1 - IFERROR(INDEX('Inputs &amp; Assuptions'!$D$13:$D$72, COLUMN() - ($E21 + 5)), 0))
  )
)</f>
        <v>992.53756109339236</v>
      </c>
      <c r="BD21" s="32">
        <f t="array" ref="BD21">IF(COLUMN() - ($E21 + 5) &lt; 0, 0,
  IF(COLUMN() - ($E21 + 5) = 0, $F21,
    BC21 * (1 - IFERROR(INDEX('Inputs &amp; Assuptions'!$D$13:$D$72, COLUMN() - ($E21 + 5)), 0))
  )
)</f>
        <v>992.04129231284571</v>
      </c>
      <c r="BE21" s="32">
        <f t="array" ref="BE21">IF(COLUMN() - ($E21 + 5) &lt; 0, 0,
  IF(COLUMN() - ($E21 + 5) = 0, $F21,
    BD21 * (1 - IFERROR(INDEX('Inputs &amp; Assuptions'!$D$13:$D$72, COLUMN() - ($E21 + 5)), 0))
  )
)</f>
        <v>991.54527166668936</v>
      </c>
      <c r="BF21" s="32">
        <f t="array" ref="BF21">IF(COLUMN() - ($E21 + 5) &lt; 0, 0,
  IF(COLUMN() - ($E21 + 5) = 0, $F21,
    BE21 * (1 - IFERROR(INDEX('Inputs &amp; Assuptions'!$D$13:$D$72, COLUMN() - ($E21 + 5)), 0))
  )
)</f>
        <v>991.04949903085605</v>
      </c>
      <c r="BG21" s="32">
        <f t="array" ref="BG21">IF(COLUMN() - ($E21 + 5) &lt; 0, 0,
  IF(COLUMN() - ($E21 + 5) = 0, $F21,
    BF21 * (1 - IFERROR(INDEX('Inputs &amp; Assuptions'!$D$13:$D$72, COLUMN() - ($E21 + 5)), 0))
  )
)</f>
        <v>990.55397428134063</v>
      </c>
      <c r="BH21" s="32">
        <f t="array" ref="BH21">IF(COLUMN() - ($E21 + 5) &lt; 0, 0,
  IF(COLUMN() - ($E21 + 5) = 0, $F21,
    BG21 * (1 - IFERROR(INDEX('Inputs &amp; Assuptions'!$D$13:$D$72, COLUMN() - ($E21 + 5)), 0))
  )
)</f>
        <v>990.05869729419999</v>
      </c>
      <c r="BI21" s="32">
        <f t="array" ref="BI21">IF(COLUMN() - ($E21 + 5) &lt; 0, 0,
  IF(COLUMN() - ($E21 + 5) = 0, $F21,
    BH21 * (1 - IFERROR(INDEX('Inputs &amp; Assuptions'!$D$13:$D$72, COLUMN() - ($E21 + 5)), 0))
  )
)</f>
        <v>989.56366794555299</v>
      </c>
      <c r="BJ21" s="32">
        <f t="array" ref="BJ21">IF(COLUMN() - ($E21 + 5) &lt; 0, 0,
  IF(COLUMN() - ($E21 + 5) = 0, $F21,
    BI21 * (1 - IFERROR(INDEX('Inputs &amp; Assuptions'!$D$13:$D$72, COLUMN() - ($E21 + 5)), 0))
  )
)</f>
        <v>989.06888611158024</v>
      </c>
      <c r="BK21" s="32">
        <f t="array" ref="BK21">IF(COLUMN() - ($E21 + 5) &lt; 0, 0,
  IF(COLUMN() - ($E21 + 5) = 0, $F21,
    BJ21 * (1 - IFERROR(INDEX('Inputs &amp; Assuptions'!$D$13:$D$72, COLUMN() - ($E21 + 5)), 0))
  )
)</f>
        <v>988.57435166852451</v>
      </c>
      <c r="BL21" s="32">
        <f t="array" ref="BL21">IF(COLUMN() - ($E21 + 5) &lt; 0, 0,
  IF(COLUMN() - ($E21 + 5) = 0, $F21,
    BK21 * (1 - IFERROR(INDEX('Inputs &amp; Assuptions'!$D$13:$D$72, COLUMN() - ($E21 + 5)), 0))
  )
)</f>
        <v>988.08006449269033</v>
      </c>
      <c r="BM21" s="66">
        <f t="array" ref="BM21">IF(COLUMN() - ($E21 + 5) &lt; 0, 0,
  IF(COLUMN() - ($E21 + 5) = 0, $F21,
    BL21 * (1 - IFERROR(INDEX('Inputs &amp; Assuptions'!$D$13:$D$72, COLUMN() - ($E21 + 5)), 0))
  )
)</f>
        <v>987.58602446044404</v>
      </c>
      <c r="BN21" s="33"/>
    </row>
    <row r="22" spans="1:66" x14ac:dyDescent="0.3">
      <c r="A22" s="71">
        <f t="shared" si="2"/>
        <v>17</v>
      </c>
      <c r="B22" s="75">
        <f t="shared" si="4"/>
        <v>1050</v>
      </c>
      <c r="C22" s="76">
        <f>$B22*(1-'Inputs &amp; Assuptions'!$D$12)</f>
        <v>1026.9000000000001</v>
      </c>
      <c r="E22" s="71">
        <f t="shared" si="3"/>
        <v>17</v>
      </c>
      <c r="F22" s="65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>
        <f>$C22</f>
        <v>1026.9000000000001</v>
      </c>
      <c r="W22" s="32">
        <f t="array" ref="W22">IF(COLUMN() - ($E22 + 5) &lt; 0, 0,
  IF(COLUMN() - ($E22 + 5) = 0, $F22,
    V22 * (1 - IFERROR(INDEX('Inputs &amp; Assuptions'!$D$13:$D$72, COLUMN() - ($E22 + 5)), 0))
  )
)</f>
        <v>1021.7655000000001</v>
      </c>
      <c r="X22" s="32">
        <f t="array" ref="X22">IF(COLUMN() - ($E22 + 5) &lt; 0, 0,
  IF(COLUMN() - ($E22 + 5) = 0, $F22,
    W22 * (1 - IFERROR(INDEX('Inputs &amp; Assuptions'!$D$13:$D$72, COLUMN() - ($E22 + 5)), 0))
  )
)</f>
        <v>1017.8827911000001</v>
      </c>
      <c r="Y22" s="32">
        <f t="array" ref="Y22">IF(COLUMN() - ($E22 + 5) &lt; 0, 0,
  IF(COLUMN() - ($E22 + 5) = 0, $F22,
    X22 * (1 - IFERROR(INDEX('Inputs &amp; Assuptions'!$D$13:$D$72, COLUMN() - ($E22 + 5)), 0))
  )
)</f>
        <v>1015.3380841222502</v>
      </c>
      <c r="Z22" s="32">
        <f t="array" ref="Z22">IF(COLUMN() - ($E22 + 5) &lt; 0, 0,
  IF(COLUMN() - ($E22 + 5) = 0, $F22,
    Y22 * (1 - IFERROR(INDEX('Inputs &amp; Assuptions'!$D$13:$D$72, COLUMN() - ($E22 + 5)), 0))
  )
)</f>
        <v>1013.002806528769</v>
      </c>
      <c r="AA22" s="32">
        <f t="array" ref="AA22">IF(COLUMN() - ($E22 + 5) &lt; 0, 0,
  IF(COLUMN() - ($E22 + 5) = 0, $F22,
    Z22 * (1 - IFERROR(INDEX('Inputs &amp; Assuptions'!$D$13:$D$72, COLUMN() - ($E22 + 5)), 0))
  )
)</f>
        <v>1010.9768009157115</v>
      </c>
      <c r="AB22" s="32">
        <f t="array" ref="AB22">IF(COLUMN() - ($E22 + 5) &lt; 0, 0,
  IF(COLUMN() - ($E22 + 5) = 0, $F22,
    AA22 * (1 - IFERROR(INDEX('Inputs &amp; Assuptions'!$D$13:$D$72, COLUMN() - ($E22 + 5)), 0))
  )
)</f>
        <v>1009.1570426740632</v>
      </c>
      <c r="AC22" s="32">
        <f t="array" ref="AC22">IF(COLUMN() - ($E22 + 5) &lt; 0, 0,
  IF(COLUMN() - ($E22 + 5) = 0, $F22,
    AB22 * (1 - IFERROR(INDEX('Inputs &amp; Assuptions'!$D$13:$D$72, COLUMN() - ($E22 + 5)), 0))
  )
)</f>
        <v>1007.6433071100521</v>
      </c>
      <c r="AD22" s="32">
        <f t="array" ref="AD22">IF(COLUMN() - ($E22 + 5) &lt; 0, 0,
  IF(COLUMN() - ($E22 + 5) = 0, $F22,
    AC22 * (1 - IFERROR(INDEX('Inputs &amp; Assuptions'!$D$13:$D$72, COLUMN() - ($E22 + 5)), 0))
  )
)</f>
        <v>1006.333370810809</v>
      </c>
      <c r="AE22" s="32">
        <f t="array" ref="AE22">IF(COLUMN() - ($E22 + 5) &lt; 0, 0,
  IF(COLUMN() - ($E22 + 5) = 0, $F22,
    AD22 * (1 - IFERROR(INDEX('Inputs &amp; Assuptions'!$D$13:$D$72, COLUMN() - ($E22 + 5)), 0))
  )
)</f>
        <v>1005.3270374399982</v>
      </c>
      <c r="AF22" s="32">
        <f t="array" ref="AF22">IF(COLUMN() - ($E22 + 5) &lt; 0, 0,
  IF(COLUMN() - ($E22 + 5) = 0, $F22,
    AE22 * (1 - IFERROR(INDEX('Inputs &amp; Assuptions'!$D$13:$D$72, COLUMN() - ($E22 + 5)), 0))
  )
)</f>
        <v>1004.5227758100461</v>
      </c>
      <c r="AG22" s="32">
        <f t="array" ref="AG22">IF(COLUMN() - ($E22 + 5) &lt; 0, 0,
  IF(COLUMN() - ($E22 + 5) = 0, $F22,
    AF22 * (1 - IFERROR(INDEX('Inputs &amp; Assuptions'!$D$13:$D$72, COLUMN() - ($E22 + 5)), 0))
  )
)</f>
        <v>1004.0205144221412</v>
      </c>
      <c r="AH22" s="32">
        <f t="array" ref="AH22">IF(COLUMN() - ($E22 + 5) &lt; 0, 0,
  IF(COLUMN() - ($E22 + 5) = 0, $F22,
    AG22 * (1 - IFERROR(INDEX('Inputs &amp; Assuptions'!$D$13:$D$72, COLUMN() - ($E22 + 5)), 0))
  )
)</f>
        <v>1003.5185041649302</v>
      </c>
      <c r="AI22" s="32">
        <f t="array" ref="AI22">IF(COLUMN() - ($E22 + 5) &lt; 0, 0,
  IF(COLUMN() - ($E22 + 5) = 0, $F22,
    AH22 * (1 - IFERROR(INDEX('Inputs &amp; Assuptions'!$D$13:$D$72, COLUMN() - ($E22 + 5)), 0))
  )
)</f>
        <v>1003.0167449128478</v>
      </c>
      <c r="AJ22" s="32">
        <f t="array" ref="AJ22">IF(COLUMN() - ($E22 + 5) &lt; 0, 0,
  IF(COLUMN() - ($E22 + 5) = 0, $F22,
    AI22 * (1 - IFERROR(INDEX('Inputs &amp; Assuptions'!$D$13:$D$72, COLUMN() - ($E22 + 5)), 0))
  )
)</f>
        <v>1002.5152365403915</v>
      </c>
      <c r="AK22" s="32">
        <f t="array" ref="AK22">IF(COLUMN() - ($E22 + 5) &lt; 0, 0,
  IF(COLUMN() - ($E22 + 5) = 0, $F22,
    AJ22 * (1 - IFERROR(INDEX('Inputs &amp; Assuptions'!$D$13:$D$72, COLUMN() - ($E22 + 5)), 0))
  )
)</f>
        <v>1002.0139789221213</v>
      </c>
      <c r="AL22" s="32">
        <f t="array" ref="AL22">IF(COLUMN() - ($E22 + 5) &lt; 0, 0,
  IF(COLUMN() - ($E22 + 5) = 0, $F22,
    AK22 * (1 - IFERROR(INDEX('Inputs &amp; Assuptions'!$D$13:$D$72, COLUMN() - ($E22 + 5)), 0))
  )
)</f>
        <v>1001.5129719326603</v>
      </c>
      <c r="AM22" s="32">
        <f t="array" ref="AM22">IF(COLUMN() - ($E22 + 5) &lt; 0, 0,
  IF(COLUMN() - ($E22 + 5) = 0, $F22,
    AL22 * (1 - IFERROR(INDEX('Inputs &amp; Assuptions'!$D$13:$D$72, COLUMN() - ($E22 + 5)), 0))
  )
)</f>
        <v>1001.0122154466941</v>
      </c>
      <c r="AN22" s="32">
        <f t="array" ref="AN22">IF(COLUMN() - ($E22 + 5) &lt; 0, 0,
  IF(COLUMN() - ($E22 + 5) = 0, $F22,
    AM22 * (1 - IFERROR(INDEX('Inputs &amp; Assuptions'!$D$13:$D$72, COLUMN() - ($E22 + 5)), 0))
  )
)</f>
        <v>1000.5117093389708</v>
      </c>
      <c r="AO22" s="32">
        <f t="array" ref="AO22">IF(COLUMN() - ($E22 + 5) &lt; 0, 0,
  IF(COLUMN() - ($E22 + 5) = 0, $F22,
    AN22 * (1 - IFERROR(INDEX('Inputs &amp; Assuptions'!$D$13:$D$72, COLUMN() - ($E22 + 5)), 0))
  )
)</f>
        <v>1000.0114534843015</v>
      </c>
      <c r="AP22" s="32">
        <f t="array" ref="AP22">IF(COLUMN() - ($E22 + 5) &lt; 0, 0,
  IF(COLUMN() - ($E22 + 5) = 0, $F22,
    AO22 * (1 - IFERROR(INDEX('Inputs &amp; Assuptions'!$D$13:$D$72, COLUMN() - ($E22 + 5)), 0))
  )
)</f>
        <v>999.51144775755938</v>
      </c>
      <c r="AQ22" s="32">
        <f t="array" ref="AQ22">IF(COLUMN() - ($E22 + 5) &lt; 0, 0,
  IF(COLUMN() - ($E22 + 5) = 0, $F22,
    AP22 * (1 - IFERROR(INDEX('Inputs &amp; Assuptions'!$D$13:$D$72, COLUMN() - ($E22 + 5)), 0))
  )
)</f>
        <v>999.01169203368067</v>
      </c>
      <c r="AR22" s="32">
        <f t="array" ref="AR22">IF(COLUMN() - ($E22 + 5) &lt; 0, 0,
  IF(COLUMN() - ($E22 + 5) = 0, $F22,
    AQ22 * (1 - IFERROR(INDEX('Inputs &amp; Assuptions'!$D$13:$D$72, COLUMN() - ($E22 + 5)), 0))
  )
)</f>
        <v>998.51218618766393</v>
      </c>
      <c r="AS22" s="32">
        <f t="array" ref="AS22">IF(COLUMN() - ($E22 + 5) &lt; 0, 0,
  IF(COLUMN() - ($E22 + 5) = 0, $F22,
    AR22 * (1 - IFERROR(INDEX('Inputs &amp; Assuptions'!$D$13:$D$72, COLUMN() - ($E22 + 5)), 0))
  )
)</f>
        <v>998.01293009457015</v>
      </c>
      <c r="AT22" s="32">
        <f t="array" ref="AT22">IF(COLUMN() - ($E22 + 5) &lt; 0, 0,
  IF(COLUMN() - ($E22 + 5) = 0, $F22,
    AS22 * (1 - IFERROR(INDEX('Inputs &amp; Assuptions'!$D$13:$D$72, COLUMN() - ($E22 + 5)), 0))
  )
)</f>
        <v>997.51392362952288</v>
      </c>
      <c r="AU22" s="32">
        <f t="array" ref="AU22">IF(COLUMN() - ($E22 + 5) &lt; 0, 0,
  IF(COLUMN() - ($E22 + 5) = 0, $F22,
    AT22 * (1 - IFERROR(INDEX('Inputs &amp; Assuptions'!$D$13:$D$72, COLUMN() - ($E22 + 5)), 0))
  )
)</f>
        <v>997.01516666770817</v>
      </c>
      <c r="AV22" s="32">
        <f t="array" ref="AV22">IF(COLUMN() - ($E22 + 5) &lt; 0, 0,
  IF(COLUMN() - ($E22 + 5) = 0, $F22,
    AU22 * (1 - IFERROR(INDEX('Inputs &amp; Assuptions'!$D$13:$D$72, COLUMN() - ($E22 + 5)), 0))
  )
)</f>
        <v>996.5166590843744</v>
      </c>
      <c r="AW22" s="32">
        <f t="array" ref="AW22">IF(COLUMN() - ($E22 + 5) &lt; 0, 0,
  IF(COLUMN() - ($E22 + 5) = 0, $F22,
    AV22 * (1 - IFERROR(INDEX('Inputs &amp; Assuptions'!$D$13:$D$72, COLUMN() - ($E22 + 5)), 0))
  )
)</f>
        <v>996.01840075483221</v>
      </c>
      <c r="AX22" s="32">
        <f t="array" ref="AX22">IF(COLUMN() - ($E22 + 5) &lt; 0, 0,
  IF(COLUMN() - ($E22 + 5) = 0, $F22,
    AW22 * (1 - IFERROR(INDEX('Inputs &amp; Assuptions'!$D$13:$D$72, COLUMN() - ($E22 + 5)), 0))
  )
)</f>
        <v>995.52039155445482</v>
      </c>
      <c r="AY22" s="32">
        <f t="array" ref="AY22">IF(COLUMN() - ($E22 + 5) &lt; 0, 0,
  IF(COLUMN() - ($E22 + 5) = 0, $F22,
    AX22 * (1 - IFERROR(INDEX('Inputs &amp; Assuptions'!$D$13:$D$72, COLUMN() - ($E22 + 5)), 0))
  )
)</f>
        <v>995.0226313586777</v>
      </c>
      <c r="AZ22" s="32">
        <f t="array" ref="AZ22">IF(COLUMN() - ($E22 + 5) &lt; 0, 0,
  IF(COLUMN() - ($E22 + 5) = 0, $F22,
    AY22 * (1 - IFERROR(INDEX('Inputs &amp; Assuptions'!$D$13:$D$72, COLUMN() - ($E22 + 5)), 0))
  )
)</f>
        <v>994.52512004299842</v>
      </c>
      <c r="BA22" s="32">
        <f t="array" ref="BA22">IF(COLUMN() - ($E22 + 5) &lt; 0, 0,
  IF(COLUMN() - ($E22 + 5) = 0, $F22,
    AZ22 * (1 - IFERROR(INDEX('Inputs &amp; Assuptions'!$D$13:$D$72, COLUMN() - ($E22 + 5)), 0))
  )
)</f>
        <v>994.02785748297697</v>
      </c>
      <c r="BB22" s="32">
        <f t="array" ref="BB22">IF(COLUMN() - ($E22 + 5) &lt; 0, 0,
  IF(COLUMN() - ($E22 + 5) = 0, $F22,
    BA22 * (1 - IFERROR(INDEX('Inputs &amp; Assuptions'!$D$13:$D$72, COLUMN() - ($E22 + 5)), 0))
  )
)</f>
        <v>993.5308435542355</v>
      </c>
      <c r="BC22" s="32">
        <f t="array" ref="BC22">IF(COLUMN() - ($E22 + 5) &lt; 0, 0,
  IF(COLUMN() - ($E22 + 5) = 0, $F22,
    BB22 * (1 - IFERROR(INDEX('Inputs &amp; Assuptions'!$D$13:$D$72, COLUMN() - ($E22 + 5)), 0))
  )
)</f>
        <v>993.03407813245849</v>
      </c>
      <c r="BD22" s="32">
        <f t="array" ref="BD22">IF(COLUMN() - ($E22 + 5) &lt; 0, 0,
  IF(COLUMN() - ($E22 + 5) = 0, $F22,
    BC22 * (1 - IFERROR(INDEX('Inputs &amp; Assuptions'!$D$13:$D$72, COLUMN() - ($E22 + 5)), 0))
  )
)</f>
        <v>992.53756109339236</v>
      </c>
      <c r="BE22" s="32">
        <f t="array" ref="BE22">IF(COLUMN() - ($E22 + 5) &lt; 0, 0,
  IF(COLUMN() - ($E22 + 5) = 0, $F22,
    BD22 * (1 - IFERROR(INDEX('Inputs &amp; Assuptions'!$D$13:$D$72, COLUMN() - ($E22 + 5)), 0))
  )
)</f>
        <v>992.04129231284571</v>
      </c>
      <c r="BF22" s="32">
        <f t="array" ref="BF22">IF(COLUMN() - ($E22 + 5) &lt; 0, 0,
  IF(COLUMN() - ($E22 + 5) = 0, $F22,
    BE22 * (1 - IFERROR(INDEX('Inputs &amp; Assuptions'!$D$13:$D$72, COLUMN() - ($E22 + 5)), 0))
  )
)</f>
        <v>991.54527166668936</v>
      </c>
      <c r="BG22" s="32">
        <f t="array" ref="BG22">IF(COLUMN() - ($E22 + 5) &lt; 0, 0,
  IF(COLUMN() - ($E22 + 5) = 0, $F22,
    BF22 * (1 - IFERROR(INDEX('Inputs &amp; Assuptions'!$D$13:$D$72, COLUMN() - ($E22 + 5)), 0))
  )
)</f>
        <v>991.04949903085605</v>
      </c>
      <c r="BH22" s="32">
        <f t="array" ref="BH22">IF(COLUMN() - ($E22 + 5) &lt; 0, 0,
  IF(COLUMN() - ($E22 + 5) = 0, $F22,
    BG22 * (1 - IFERROR(INDEX('Inputs &amp; Assuptions'!$D$13:$D$72, COLUMN() - ($E22 + 5)), 0))
  )
)</f>
        <v>990.55397428134063</v>
      </c>
      <c r="BI22" s="32">
        <f t="array" ref="BI22">IF(COLUMN() - ($E22 + 5) &lt; 0, 0,
  IF(COLUMN() - ($E22 + 5) = 0, $F22,
    BH22 * (1 - IFERROR(INDEX('Inputs &amp; Assuptions'!$D$13:$D$72, COLUMN() - ($E22 + 5)), 0))
  )
)</f>
        <v>990.05869729419999</v>
      </c>
      <c r="BJ22" s="32">
        <f t="array" ref="BJ22">IF(COLUMN() - ($E22 + 5) &lt; 0, 0,
  IF(COLUMN() - ($E22 + 5) = 0, $F22,
    BI22 * (1 - IFERROR(INDEX('Inputs &amp; Assuptions'!$D$13:$D$72, COLUMN() - ($E22 + 5)), 0))
  )
)</f>
        <v>989.56366794555299</v>
      </c>
      <c r="BK22" s="32">
        <f t="array" ref="BK22">IF(COLUMN() - ($E22 + 5) &lt; 0, 0,
  IF(COLUMN() - ($E22 + 5) = 0, $F22,
    BJ22 * (1 - IFERROR(INDEX('Inputs &amp; Assuptions'!$D$13:$D$72, COLUMN() - ($E22 + 5)), 0))
  )
)</f>
        <v>989.06888611158024</v>
      </c>
      <c r="BL22" s="32">
        <f t="array" ref="BL22">IF(COLUMN() - ($E22 + 5) &lt; 0, 0,
  IF(COLUMN() - ($E22 + 5) = 0, $F22,
    BK22 * (1 - IFERROR(INDEX('Inputs &amp; Assuptions'!$D$13:$D$72, COLUMN() - ($E22 + 5)), 0))
  )
)</f>
        <v>988.57435166852451</v>
      </c>
      <c r="BM22" s="66">
        <f t="array" ref="BM22">IF(COLUMN() - ($E22 + 5) &lt; 0, 0,
  IF(COLUMN() - ($E22 + 5) = 0, $F22,
    BL22 * (1 - IFERROR(INDEX('Inputs &amp; Assuptions'!$D$13:$D$72, COLUMN() - ($E22 + 5)), 0))
  )
)</f>
        <v>988.08006449269033</v>
      </c>
      <c r="BN22" s="33"/>
    </row>
    <row r="23" spans="1:66" x14ac:dyDescent="0.3">
      <c r="A23" s="71">
        <f t="shared" si="2"/>
        <v>18</v>
      </c>
      <c r="B23" s="75">
        <f t="shared" si="4"/>
        <v>1050</v>
      </c>
      <c r="C23" s="76">
        <f>$B23*(1-'Inputs &amp; Assuptions'!$D$12)</f>
        <v>1026.9000000000001</v>
      </c>
      <c r="E23" s="71">
        <f t="shared" si="3"/>
        <v>18</v>
      </c>
      <c r="F23" s="65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>
        <f>$C23</f>
        <v>1026.9000000000001</v>
      </c>
      <c r="X23" s="32">
        <f t="array" ref="X23">IF(COLUMN() - ($E23 + 5) &lt; 0, 0,
  IF(COLUMN() - ($E23 + 5) = 0, $F23,
    W23 * (1 - IFERROR(INDEX('Inputs &amp; Assuptions'!$D$13:$D$72, COLUMN() - ($E23 + 5)), 0))
  )
)</f>
        <v>1021.7655000000001</v>
      </c>
      <c r="Y23" s="32">
        <f t="array" ref="Y23">IF(COLUMN() - ($E23 + 5) &lt; 0, 0,
  IF(COLUMN() - ($E23 + 5) = 0, $F23,
    X23 * (1 - IFERROR(INDEX('Inputs &amp; Assuptions'!$D$13:$D$72, COLUMN() - ($E23 + 5)), 0))
  )
)</f>
        <v>1017.8827911000001</v>
      </c>
      <c r="Z23" s="32">
        <f t="array" ref="Z23">IF(COLUMN() - ($E23 + 5) &lt; 0, 0,
  IF(COLUMN() - ($E23 + 5) = 0, $F23,
    Y23 * (1 - IFERROR(INDEX('Inputs &amp; Assuptions'!$D$13:$D$72, COLUMN() - ($E23 + 5)), 0))
  )
)</f>
        <v>1015.3380841222502</v>
      </c>
      <c r="AA23" s="32">
        <f t="array" ref="AA23">IF(COLUMN() - ($E23 + 5) &lt; 0, 0,
  IF(COLUMN() - ($E23 + 5) = 0, $F23,
    Z23 * (1 - IFERROR(INDEX('Inputs &amp; Assuptions'!$D$13:$D$72, COLUMN() - ($E23 + 5)), 0))
  )
)</f>
        <v>1013.002806528769</v>
      </c>
      <c r="AB23" s="32">
        <f t="array" ref="AB23">IF(COLUMN() - ($E23 + 5) &lt; 0, 0,
  IF(COLUMN() - ($E23 + 5) = 0, $F23,
    AA23 * (1 - IFERROR(INDEX('Inputs &amp; Assuptions'!$D$13:$D$72, COLUMN() - ($E23 + 5)), 0))
  )
)</f>
        <v>1010.9768009157115</v>
      </c>
      <c r="AC23" s="32">
        <f t="array" ref="AC23">IF(COLUMN() - ($E23 + 5) &lt; 0, 0,
  IF(COLUMN() - ($E23 + 5) = 0, $F23,
    AB23 * (1 - IFERROR(INDEX('Inputs &amp; Assuptions'!$D$13:$D$72, COLUMN() - ($E23 + 5)), 0))
  )
)</f>
        <v>1009.1570426740632</v>
      </c>
      <c r="AD23" s="32">
        <f t="array" ref="AD23">IF(COLUMN() - ($E23 + 5) &lt; 0, 0,
  IF(COLUMN() - ($E23 + 5) = 0, $F23,
    AC23 * (1 - IFERROR(INDEX('Inputs &amp; Assuptions'!$D$13:$D$72, COLUMN() - ($E23 + 5)), 0))
  )
)</f>
        <v>1007.6433071100521</v>
      </c>
      <c r="AE23" s="32">
        <f t="array" ref="AE23">IF(COLUMN() - ($E23 + 5) &lt; 0, 0,
  IF(COLUMN() - ($E23 + 5) = 0, $F23,
    AD23 * (1 - IFERROR(INDEX('Inputs &amp; Assuptions'!$D$13:$D$72, COLUMN() - ($E23 + 5)), 0))
  )
)</f>
        <v>1006.333370810809</v>
      </c>
      <c r="AF23" s="32">
        <f t="array" ref="AF23">IF(COLUMN() - ($E23 + 5) &lt; 0, 0,
  IF(COLUMN() - ($E23 + 5) = 0, $F23,
    AE23 * (1 - IFERROR(INDEX('Inputs &amp; Assuptions'!$D$13:$D$72, COLUMN() - ($E23 + 5)), 0))
  )
)</f>
        <v>1005.3270374399982</v>
      </c>
      <c r="AG23" s="32">
        <f t="array" ref="AG23">IF(COLUMN() - ($E23 + 5) &lt; 0, 0,
  IF(COLUMN() - ($E23 + 5) = 0, $F23,
    AF23 * (1 - IFERROR(INDEX('Inputs &amp; Assuptions'!$D$13:$D$72, COLUMN() - ($E23 + 5)), 0))
  )
)</f>
        <v>1004.5227758100461</v>
      </c>
      <c r="AH23" s="32">
        <f t="array" ref="AH23">IF(COLUMN() - ($E23 + 5) &lt; 0, 0,
  IF(COLUMN() - ($E23 + 5) = 0, $F23,
    AG23 * (1 - IFERROR(INDEX('Inputs &amp; Assuptions'!$D$13:$D$72, COLUMN() - ($E23 + 5)), 0))
  )
)</f>
        <v>1004.0205144221412</v>
      </c>
      <c r="AI23" s="32">
        <f t="array" ref="AI23">IF(COLUMN() - ($E23 + 5) &lt; 0, 0,
  IF(COLUMN() - ($E23 + 5) = 0, $F23,
    AH23 * (1 - IFERROR(INDEX('Inputs &amp; Assuptions'!$D$13:$D$72, COLUMN() - ($E23 + 5)), 0))
  )
)</f>
        <v>1003.5185041649302</v>
      </c>
      <c r="AJ23" s="32">
        <f t="array" ref="AJ23">IF(COLUMN() - ($E23 + 5) &lt; 0, 0,
  IF(COLUMN() - ($E23 + 5) = 0, $F23,
    AI23 * (1 - IFERROR(INDEX('Inputs &amp; Assuptions'!$D$13:$D$72, COLUMN() - ($E23 + 5)), 0))
  )
)</f>
        <v>1003.0167449128478</v>
      </c>
      <c r="AK23" s="32">
        <f t="array" ref="AK23">IF(COLUMN() - ($E23 + 5) &lt; 0, 0,
  IF(COLUMN() - ($E23 + 5) = 0, $F23,
    AJ23 * (1 - IFERROR(INDEX('Inputs &amp; Assuptions'!$D$13:$D$72, COLUMN() - ($E23 + 5)), 0))
  )
)</f>
        <v>1002.5152365403915</v>
      </c>
      <c r="AL23" s="32">
        <f t="array" ref="AL23">IF(COLUMN() - ($E23 + 5) &lt; 0, 0,
  IF(COLUMN() - ($E23 + 5) = 0, $F23,
    AK23 * (1 - IFERROR(INDEX('Inputs &amp; Assuptions'!$D$13:$D$72, COLUMN() - ($E23 + 5)), 0))
  )
)</f>
        <v>1002.0139789221213</v>
      </c>
      <c r="AM23" s="32">
        <f t="array" ref="AM23">IF(COLUMN() - ($E23 + 5) &lt; 0, 0,
  IF(COLUMN() - ($E23 + 5) = 0, $F23,
    AL23 * (1 - IFERROR(INDEX('Inputs &amp; Assuptions'!$D$13:$D$72, COLUMN() - ($E23 + 5)), 0))
  )
)</f>
        <v>1001.5129719326603</v>
      </c>
      <c r="AN23" s="32">
        <f t="array" ref="AN23">IF(COLUMN() - ($E23 + 5) &lt; 0, 0,
  IF(COLUMN() - ($E23 + 5) = 0, $F23,
    AM23 * (1 - IFERROR(INDEX('Inputs &amp; Assuptions'!$D$13:$D$72, COLUMN() - ($E23 + 5)), 0))
  )
)</f>
        <v>1001.0122154466941</v>
      </c>
      <c r="AO23" s="32">
        <f t="array" ref="AO23">IF(COLUMN() - ($E23 + 5) &lt; 0, 0,
  IF(COLUMN() - ($E23 + 5) = 0, $F23,
    AN23 * (1 - IFERROR(INDEX('Inputs &amp; Assuptions'!$D$13:$D$72, COLUMN() - ($E23 + 5)), 0))
  )
)</f>
        <v>1000.5117093389708</v>
      </c>
      <c r="AP23" s="32">
        <f t="array" ref="AP23">IF(COLUMN() - ($E23 + 5) &lt; 0, 0,
  IF(COLUMN() - ($E23 + 5) = 0, $F23,
    AO23 * (1 - IFERROR(INDEX('Inputs &amp; Assuptions'!$D$13:$D$72, COLUMN() - ($E23 + 5)), 0))
  )
)</f>
        <v>1000.0114534843015</v>
      </c>
      <c r="AQ23" s="32">
        <f t="array" ref="AQ23">IF(COLUMN() - ($E23 + 5) &lt; 0, 0,
  IF(COLUMN() - ($E23 + 5) = 0, $F23,
    AP23 * (1 - IFERROR(INDEX('Inputs &amp; Assuptions'!$D$13:$D$72, COLUMN() - ($E23 + 5)), 0))
  )
)</f>
        <v>999.51144775755938</v>
      </c>
      <c r="AR23" s="32">
        <f t="array" ref="AR23">IF(COLUMN() - ($E23 + 5) &lt; 0, 0,
  IF(COLUMN() - ($E23 + 5) = 0, $F23,
    AQ23 * (1 - IFERROR(INDEX('Inputs &amp; Assuptions'!$D$13:$D$72, COLUMN() - ($E23 + 5)), 0))
  )
)</f>
        <v>999.01169203368067</v>
      </c>
      <c r="AS23" s="32">
        <f t="array" ref="AS23">IF(COLUMN() - ($E23 + 5) &lt; 0, 0,
  IF(COLUMN() - ($E23 + 5) = 0, $F23,
    AR23 * (1 - IFERROR(INDEX('Inputs &amp; Assuptions'!$D$13:$D$72, COLUMN() - ($E23 + 5)), 0))
  )
)</f>
        <v>998.51218618766393</v>
      </c>
      <c r="AT23" s="32">
        <f t="array" ref="AT23">IF(COLUMN() - ($E23 + 5) &lt; 0, 0,
  IF(COLUMN() - ($E23 + 5) = 0, $F23,
    AS23 * (1 - IFERROR(INDEX('Inputs &amp; Assuptions'!$D$13:$D$72, COLUMN() - ($E23 + 5)), 0))
  )
)</f>
        <v>998.01293009457015</v>
      </c>
      <c r="AU23" s="32">
        <f t="array" ref="AU23">IF(COLUMN() - ($E23 + 5) &lt; 0, 0,
  IF(COLUMN() - ($E23 + 5) = 0, $F23,
    AT23 * (1 - IFERROR(INDEX('Inputs &amp; Assuptions'!$D$13:$D$72, COLUMN() - ($E23 + 5)), 0))
  )
)</f>
        <v>997.51392362952288</v>
      </c>
      <c r="AV23" s="32">
        <f t="array" ref="AV23">IF(COLUMN() - ($E23 + 5) &lt; 0, 0,
  IF(COLUMN() - ($E23 + 5) = 0, $F23,
    AU23 * (1 - IFERROR(INDEX('Inputs &amp; Assuptions'!$D$13:$D$72, COLUMN() - ($E23 + 5)), 0))
  )
)</f>
        <v>997.01516666770817</v>
      </c>
      <c r="AW23" s="32">
        <f t="array" ref="AW23">IF(COLUMN() - ($E23 + 5) &lt; 0, 0,
  IF(COLUMN() - ($E23 + 5) = 0, $F23,
    AV23 * (1 - IFERROR(INDEX('Inputs &amp; Assuptions'!$D$13:$D$72, COLUMN() - ($E23 + 5)), 0))
  )
)</f>
        <v>996.5166590843744</v>
      </c>
      <c r="AX23" s="32">
        <f t="array" ref="AX23">IF(COLUMN() - ($E23 + 5) &lt; 0, 0,
  IF(COLUMN() - ($E23 + 5) = 0, $F23,
    AW23 * (1 - IFERROR(INDEX('Inputs &amp; Assuptions'!$D$13:$D$72, COLUMN() - ($E23 + 5)), 0))
  )
)</f>
        <v>996.01840075483221</v>
      </c>
      <c r="AY23" s="32">
        <f t="array" ref="AY23">IF(COLUMN() - ($E23 + 5) &lt; 0, 0,
  IF(COLUMN() - ($E23 + 5) = 0, $F23,
    AX23 * (1 - IFERROR(INDEX('Inputs &amp; Assuptions'!$D$13:$D$72, COLUMN() - ($E23 + 5)), 0))
  )
)</f>
        <v>995.52039155445482</v>
      </c>
      <c r="AZ23" s="32">
        <f t="array" ref="AZ23">IF(COLUMN() - ($E23 + 5) &lt; 0, 0,
  IF(COLUMN() - ($E23 + 5) = 0, $F23,
    AY23 * (1 - IFERROR(INDEX('Inputs &amp; Assuptions'!$D$13:$D$72, COLUMN() - ($E23 + 5)), 0))
  )
)</f>
        <v>995.0226313586777</v>
      </c>
      <c r="BA23" s="32">
        <f t="array" ref="BA23">IF(COLUMN() - ($E23 + 5) &lt; 0, 0,
  IF(COLUMN() - ($E23 + 5) = 0, $F23,
    AZ23 * (1 - IFERROR(INDEX('Inputs &amp; Assuptions'!$D$13:$D$72, COLUMN() - ($E23 + 5)), 0))
  )
)</f>
        <v>994.52512004299842</v>
      </c>
      <c r="BB23" s="32">
        <f t="array" ref="BB23">IF(COLUMN() - ($E23 + 5) &lt; 0, 0,
  IF(COLUMN() - ($E23 + 5) = 0, $F23,
    BA23 * (1 - IFERROR(INDEX('Inputs &amp; Assuptions'!$D$13:$D$72, COLUMN() - ($E23 + 5)), 0))
  )
)</f>
        <v>994.02785748297697</v>
      </c>
      <c r="BC23" s="32">
        <f t="array" ref="BC23">IF(COLUMN() - ($E23 + 5) &lt; 0, 0,
  IF(COLUMN() - ($E23 + 5) = 0, $F23,
    BB23 * (1 - IFERROR(INDEX('Inputs &amp; Assuptions'!$D$13:$D$72, COLUMN() - ($E23 + 5)), 0))
  )
)</f>
        <v>993.5308435542355</v>
      </c>
      <c r="BD23" s="32">
        <f t="array" ref="BD23">IF(COLUMN() - ($E23 + 5) &lt; 0, 0,
  IF(COLUMN() - ($E23 + 5) = 0, $F23,
    BC23 * (1 - IFERROR(INDEX('Inputs &amp; Assuptions'!$D$13:$D$72, COLUMN() - ($E23 + 5)), 0))
  )
)</f>
        <v>993.03407813245849</v>
      </c>
      <c r="BE23" s="32">
        <f t="array" ref="BE23">IF(COLUMN() - ($E23 + 5) &lt; 0, 0,
  IF(COLUMN() - ($E23 + 5) = 0, $F23,
    BD23 * (1 - IFERROR(INDEX('Inputs &amp; Assuptions'!$D$13:$D$72, COLUMN() - ($E23 + 5)), 0))
  )
)</f>
        <v>992.53756109339236</v>
      </c>
      <c r="BF23" s="32">
        <f t="array" ref="BF23">IF(COLUMN() - ($E23 + 5) &lt; 0, 0,
  IF(COLUMN() - ($E23 + 5) = 0, $F23,
    BE23 * (1 - IFERROR(INDEX('Inputs &amp; Assuptions'!$D$13:$D$72, COLUMN() - ($E23 + 5)), 0))
  )
)</f>
        <v>992.04129231284571</v>
      </c>
      <c r="BG23" s="32">
        <f t="array" ref="BG23">IF(COLUMN() - ($E23 + 5) &lt; 0, 0,
  IF(COLUMN() - ($E23 + 5) = 0, $F23,
    BF23 * (1 - IFERROR(INDEX('Inputs &amp; Assuptions'!$D$13:$D$72, COLUMN() - ($E23 + 5)), 0))
  )
)</f>
        <v>991.54527166668936</v>
      </c>
      <c r="BH23" s="32">
        <f t="array" ref="BH23">IF(COLUMN() - ($E23 + 5) &lt; 0, 0,
  IF(COLUMN() - ($E23 + 5) = 0, $F23,
    BG23 * (1 - IFERROR(INDEX('Inputs &amp; Assuptions'!$D$13:$D$72, COLUMN() - ($E23 + 5)), 0))
  )
)</f>
        <v>991.04949903085605</v>
      </c>
      <c r="BI23" s="32">
        <f t="array" ref="BI23">IF(COLUMN() - ($E23 + 5) &lt; 0, 0,
  IF(COLUMN() - ($E23 + 5) = 0, $F23,
    BH23 * (1 - IFERROR(INDEX('Inputs &amp; Assuptions'!$D$13:$D$72, COLUMN() - ($E23 + 5)), 0))
  )
)</f>
        <v>990.55397428134063</v>
      </c>
      <c r="BJ23" s="32">
        <f t="array" ref="BJ23">IF(COLUMN() - ($E23 + 5) &lt; 0, 0,
  IF(COLUMN() - ($E23 + 5) = 0, $F23,
    BI23 * (1 - IFERROR(INDEX('Inputs &amp; Assuptions'!$D$13:$D$72, COLUMN() - ($E23 + 5)), 0))
  )
)</f>
        <v>990.05869729419999</v>
      </c>
      <c r="BK23" s="32">
        <f t="array" ref="BK23">IF(COLUMN() - ($E23 + 5) &lt; 0, 0,
  IF(COLUMN() - ($E23 + 5) = 0, $F23,
    BJ23 * (1 - IFERROR(INDEX('Inputs &amp; Assuptions'!$D$13:$D$72, COLUMN() - ($E23 + 5)), 0))
  )
)</f>
        <v>989.56366794555299</v>
      </c>
      <c r="BL23" s="32">
        <f t="array" ref="BL23">IF(COLUMN() - ($E23 + 5) &lt; 0, 0,
  IF(COLUMN() - ($E23 + 5) = 0, $F23,
    BK23 * (1 - IFERROR(INDEX('Inputs &amp; Assuptions'!$D$13:$D$72, COLUMN() - ($E23 + 5)), 0))
  )
)</f>
        <v>989.06888611158024</v>
      </c>
      <c r="BM23" s="66">
        <f t="array" ref="BM23">IF(COLUMN() - ($E23 + 5) &lt; 0, 0,
  IF(COLUMN() - ($E23 + 5) = 0, $F23,
    BL23 * (1 - IFERROR(INDEX('Inputs &amp; Assuptions'!$D$13:$D$72, COLUMN() - ($E23 + 5)), 0))
  )
)</f>
        <v>988.57435166852451</v>
      </c>
      <c r="BN23" s="33"/>
    </row>
    <row r="24" spans="1:66" x14ac:dyDescent="0.3">
      <c r="A24" s="71">
        <f t="shared" si="2"/>
        <v>19</v>
      </c>
      <c r="B24" s="75">
        <f t="shared" si="4"/>
        <v>1050</v>
      </c>
      <c r="C24" s="76">
        <f>$B24*(1-'Inputs &amp; Assuptions'!$D$12)</f>
        <v>1026.9000000000001</v>
      </c>
      <c r="E24" s="71">
        <f t="shared" si="3"/>
        <v>19</v>
      </c>
      <c r="F24" s="65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>
        <f>$C24</f>
        <v>1026.9000000000001</v>
      </c>
      <c r="Y24" s="32">
        <f t="array" ref="Y24">IF(COLUMN() - ($E24 + 5) &lt; 0, 0,
  IF(COLUMN() - ($E24 + 5) = 0, $F24,
    X24 * (1 - IFERROR(INDEX('Inputs &amp; Assuptions'!$D$13:$D$72, COLUMN() - ($E24 + 5)), 0))
  )
)</f>
        <v>1021.7655000000001</v>
      </c>
      <c r="Z24" s="32">
        <f t="array" ref="Z24">IF(COLUMN() - ($E24 + 5) &lt; 0, 0,
  IF(COLUMN() - ($E24 + 5) = 0, $F24,
    Y24 * (1 - IFERROR(INDEX('Inputs &amp; Assuptions'!$D$13:$D$72, COLUMN() - ($E24 + 5)), 0))
  )
)</f>
        <v>1017.8827911000001</v>
      </c>
      <c r="AA24" s="32">
        <f t="array" ref="AA24">IF(COLUMN() - ($E24 + 5) &lt; 0, 0,
  IF(COLUMN() - ($E24 + 5) = 0, $F24,
    Z24 * (1 - IFERROR(INDEX('Inputs &amp; Assuptions'!$D$13:$D$72, COLUMN() - ($E24 + 5)), 0))
  )
)</f>
        <v>1015.3380841222502</v>
      </c>
      <c r="AB24" s="32">
        <f t="array" ref="AB24">IF(COLUMN() - ($E24 + 5) &lt; 0, 0,
  IF(COLUMN() - ($E24 + 5) = 0, $F24,
    AA24 * (1 - IFERROR(INDEX('Inputs &amp; Assuptions'!$D$13:$D$72, COLUMN() - ($E24 + 5)), 0))
  )
)</f>
        <v>1013.002806528769</v>
      </c>
      <c r="AC24" s="32">
        <f t="array" ref="AC24">IF(COLUMN() - ($E24 + 5) &lt; 0, 0,
  IF(COLUMN() - ($E24 + 5) = 0, $F24,
    AB24 * (1 - IFERROR(INDEX('Inputs &amp; Assuptions'!$D$13:$D$72, COLUMN() - ($E24 + 5)), 0))
  )
)</f>
        <v>1010.9768009157115</v>
      </c>
      <c r="AD24" s="32">
        <f t="array" ref="AD24">IF(COLUMN() - ($E24 + 5) &lt; 0, 0,
  IF(COLUMN() - ($E24 + 5) = 0, $F24,
    AC24 * (1 - IFERROR(INDEX('Inputs &amp; Assuptions'!$D$13:$D$72, COLUMN() - ($E24 + 5)), 0))
  )
)</f>
        <v>1009.1570426740632</v>
      </c>
      <c r="AE24" s="32">
        <f t="array" ref="AE24">IF(COLUMN() - ($E24 + 5) &lt; 0, 0,
  IF(COLUMN() - ($E24 + 5) = 0, $F24,
    AD24 * (1 - IFERROR(INDEX('Inputs &amp; Assuptions'!$D$13:$D$72, COLUMN() - ($E24 + 5)), 0))
  )
)</f>
        <v>1007.6433071100521</v>
      </c>
      <c r="AF24" s="32">
        <f t="array" ref="AF24">IF(COLUMN() - ($E24 + 5) &lt; 0, 0,
  IF(COLUMN() - ($E24 + 5) = 0, $F24,
    AE24 * (1 - IFERROR(INDEX('Inputs &amp; Assuptions'!$D$13:$D$72, COLUMN() - ($E24 + 5)), 0))
  )
)</f>
        <v>1006.333370810809</v>
      </c>
      <c r="AG24" s="32">
        <f t="array" ref="AG24">IF(COLUMN() - ($E24 + 5) &lt; 0, 0,
  IF(COLUMN() - ($E24 + 5) = 0, $F24,
    AF24 * (1 - IFERROR(INDEX('Inputs &amp; Assuptions'!$D$13:$D$72, COLUMN() - ($E24 + 5)), 0))
  )
)</f>
        <v>1005.3270374399982</v>
      </c>
      <c r="AH24" s="32">
        <f t="array" ref="AH24">IF(COLUMN() - ($E24 + 5) &lt; 0, 0,
  IF(COLUMN() - ($E24 + 5) = 0, $F24,
    AG24 * (1 - IFERROR(INDEX('Inputs &amp; Assuptions'!$D$13:$D$72, COLUMN() - ($E24 + 5)), 0))
  )
)</f>
        <v>1004.5227758100461</v>
      </c>
      <c r="AI24" s="32">
        <f t="array" ref="AI24">IF(COLUMN() - ($E24 + 5) &lt; 0, 0,
  IF(COLUMN() - ($E24 + 5) = 0, $F24,
    AH24 * (1 - IFERROR(INDEX('Inputs &amp; Assuptions'!$D$13:$D$72, COLUMN() - ($E24 + 5)), 0))
  )
)</f>
        <v>1004.0205144221412</v>
      </c>
      <c r="AJ24" s="32">
        <f t="array" ref="AJ24">IF(COLUMN() - ($E24 + 5) &lt; 0, 0,
  IF(COLUMN() - ($E24 + 5) = 0, $F24,
    AI24 * (1 - IFERROR(INDEX('Inputs &amp; Assuptions'!$D$13:$D$72, COLUMN() - ($E24 + 5)), 0))
  )
)</f>
        <v>1003.5185041649302</v>
      </c>
      <c r="AK24" s="32">
        <f t="array" ref="AK24">IF(COLUMN() - ($E24 + 5) &lt; 0, 0,
  IF(COLUMN() - ($E24 + 5) = 0, $F24,
    AJ24 * (1 - IFERROR(INDEX('Inputs &amp; Assuptions'!$D$13:$D$72, COLUMN() - ($E24 + 5)), 0))
  )
)</f>
        <v>1003.0167449128478</v>
      </c>
      <c r="AL24" s="32">
        <f t="array" ref="AL24">IF(COLUMN() - ($E24 + 5) &lt; 0, 0,
  IF(COLUMN() - ($E24 + 5) = 0, $F24,
    AK24 * (1 - IFERROR(INDEX('Inputs &amp; Assuptions'!$D$13:$D$72, COLUMN() - ($E24 + 5)), 0))
  )
)</f>
        <v>1002.5152365403915</v>
      </c>
      <c r="AM24" s="32">
        <f t="array" ref="AM24">IF(COLUMN() - ($E24 + 5) &lt; 0, 0,
  IF(COLUMN() - ($E24 + 5) = 0, $F24,
    AL24 * (1 - IFERROR(INDEX('Inputs &amp; Assuptions'!$D$13:$D$72, COLUMN() - ($E24 + 5)), 0))
  )
)</f>
        <v>1002.0139789221213</v>
      </c>
      <c r="AN24" s="32">
        <f t="array" ref="AN24">IF(COLUMN() - ($E24 + 5) &lt; 0, 0,
  IF(COLUMN() - ($E24 + 5) = 0, $F24,
    AM24 * (1 - IFERROR(INDEX('Inputs &amp; Assuptions'!$D$13:$D$72, COLUMN() - ($E24 + 5)), 0))
  )
)</f>
        <v>1001.5129719326603</v>
      </c>
      <c r="AO24" s="32">
        <f t="array" ref="AO24">IF(COLUMN() - ($E24 + 5) &lt; 0, 0,
  IF(COLUMN() - ($E24 + 5) = 0, $F24,
    AN24 * (1 - IFERROR(INDEX('Inputs &amp; Assuptions'!$D$13:$D$72, COLUMN() - ($E24 + 5)), 0))
  )
)</f>
        <v>1001.0122154466941</v>
      </c>
      <c r="AP24" s="32">
        <f t="array" ref="AP24">IF(COLUMN() - ($E24 + 5) &lt; 0, 0,
  IF(COLUMN() - ($E24 + 5) = 0, $F24,
    AO24 * (1 - IFERROR(INDEX('Inputs &amp; Assuptions'!$D$13:$D$72, COLUMN() - ($E24 + 5)), 0))
  )
)</f>
        <v>1000.5117093389708</v>
      </c>
      <c r="AQ24" s="32">
        <f t="array" ref="AQ24">IF(COLUMN() - ($E24 + 5) &lt; 0, 0,
  IF(COLUMN() - ($E24 + 5) = 0, $F24,
    AP24 * (1 - IFERROR(INDEX('Inputs &amp; Assuptions'!$D$13:$D$72, COLUMN() - ($E24 + 5)), 0))
  )
)</f>
        <v>1000.0114534843015</v>
      </c>
      <c r="AR24" s="32">
        <f t="array" ref="AR24">IF(COLUMN() - ($E24 + 5) &lt; 0, 0,
  IF(COLUMN() - ($E24 + 5) = 0, $F24,
    AQ24 * (1 - IFERROR(INDEX('Inputs &amp; Assuptions'!$D$13:$D$72, COLUMN() - ($E24 + 5)), 0))
  )
)</f>
        <v>999.51144775755938</v>
      </c>
      <c r="AS24" s="32">
        <f t="array" ref="AS24">IF(COLUMN() - ($E24 + 5) &lt; 0, 0,
  IF(COLUMN() - ($E24 + 5) = 0, $F24,
    AR24 * (1 - IFERROR(INDEX('Inputs &amp; Assuptions'!$D$13:$D$72, COLUMN() - ($E24 + 5)), 0))
  )
)</f>
        <v>999.01169203368067</v>
      </c>
      <c r="AT24" s="32">
        <f t="array" ref="AT24">IF(COLUMN() - ($E24 + 5) &lt; 0, 0,
  IF(COLUMN() - ($E24 + 5) = 0, $F24,
    AS24 * (1 - IFERROR(INDEX('Inputs &amp; Assuptions'!$D$13:$D$72, COLUMN() - ($E24 + 5)), 0))
  )
)</f>
        <v>998.51218618766393</v>
      </c>
      <c r="AU24" s="32">
        <f t="array" ref="AU24">IF(COLUMN() - ($E24 + 5) &lt; 0, 0,
  IF(COLUMN() - ($E24 + 5) = 0, $F24,
    AT24 * (1 - IFERROR(INDEX('Inputs &amp; Assuptions'!$D$13:$D$72, COLUMN() - ($E24 + 5)), 0))
  )
)</f>
        <v>998.01293009457015</v>
      </c>
      <c r="AV24" s="32">
        <f t="array" ref="AV24">IF(COLUMN() - ($E24 + 5) &lt; 0, 0,
  IF(COLUMN() - ($E24 + 5) = 0, $F24,
    AU24 * (1 - IFERROR(INDEX('Inputs &amp; Assuptions'!$D$13:$D$72, COLUMN() - ($E24 + 5)), 0))
  )
)</f>
        <v>997.51392362952288</v>
      </c>
      <c r="AW24" s="32">
        <f t="array" ref="AW24">IF(COLUMN() - ($E24 + 5) &lt; 0, 0,
  IF(COLUMN() - ($E24 + 5) = 0, $F24,
    AV24 * (1 - IFERROR(INDEX('Inputs &amp; Assuptions'!$D$13:$D$72, COLUMN() - ($E24 + 5)), 0))
  )
)</f>
        <v>997.01516666770817</v>
      </c>
      <c r="AX24" s="32">
        <f t="array" ref="AX24">IF(COLUMN() - ($E24 + 5) &lt; 0, 0,
  IF(COLUMN() - ($E24 + 5) = 0, $F24,
    AW24 * (1 - IFERROR(INDEX('Inputs &amp; Assuptions'!$D$13:$D$72, COLUMN() - ($E24 + 5)), 0))
  )
)</f>
        <v>996.5166590843744</v>
      </c>
      <c r="AY24" s="32">
        <f t="array" ref="AY24">IF(COLUMN() - ($E24 + 5) &lt; 0, 0,
  IF(COLUMN() - ($E24 + 5) = 0, $F24,
    AX24 * (1 - IFERROR(INDEX('Inputs &amp; Assuptions'!$D$13:$D$72, COLUMN() - ($E24 + 5)), 0))
  )
)</f>
        <v>996.01840075483221</v>
      </c>
      <c r="AZ24" s="32">
        <f t="array" ref="AZ24">IF(COLUMN() - ($E24 + 5) &lt; 0, 0,
  IF(COLUMN() - ($E24 + 5) = 0, $F24,
    AY24 * (1 - IFERROR(INDEX('Inputs &amp; Assuptions'!$D$13:$D$72, COLUMN() - ($E24 + 5)), 0))
  )
)</f>
        <v>995.52039155445482</v>
      </c>
      <c r="BA24" s="32">
        <f t="array" ref="BA24">IF(COLUMN() - ($E24 + 5) &lt; 0, 0,
  IF(COLUMN() - ($E24 + 5) = 0, $F24,
    AZ24 * (1 - IFERROR(INDEX('Inputs &amp; Assuptions'!$D$13:$D$72, COLUMN() - ($E24 + 5)), 0))
  )
)</f>
        <v>995.0226313586777</v>
      </c>
      <c r="BB24" s="32">
        <f t="array" ref="BB24">IF(COLUMN() - ($E24 + 5) &lt; 0, 0,
  IF(COLUMN() - ($E24 + 5) = 0, $F24,
    BA24 * (1 - IFERROR(INDEX('Inputs &amp; Assuptions'!$D$13:$D$72, COLUMN() - ($E24 + 5)), 0))
  )
)</f>
        <v>994.52512004299842</v>
      </c>
      <c r="BC24" s="32">
        <f t="array" ref="BC24">IF(COLUMN() - ($E24 + 5) &lt; 0, 0,
  IF(COLUMN() - ($E24 + 5) = 0, $F24,
    BB24 * (1 - IFERROR(INDEX('Inputs &amp; Assuptions'!$D$13:$D$72, COLUMN() - ($E24 + 5)), 0))
  )
)</f>
        <v>994.02785748297697</v>
      </c>
      <c r="BD24" s="32">
        <f t="array" ref="BD24">IF(COLUMN() - ($E24 + 5) &lt; 0, 0,
  IF(COLUMN() - ($E24 + 5) = 0, $F24,
    BC24 * (1 - IFERROR(INDEX('Inputs &amp; Assuptions'!$D$13:$D$72, COLUMN() - ($E24 + 5)), 0))
  )
)</f>
        <v>993.5308435542355</v>
      </c>
      <c r="BE24" s="32">
        <f t="array" ref="BE24">IF(COLUMN() - ($E24 + 5) &lt; 0, 0,
  IF(COLUMN() - ($E24 + 5) = 0, $F24,
    BD24 * (1 - IFERROR(INDEX('Inputs &amp; Assuptions'!$D$13:$D$72, COLUMN() - ($E24 + 5)), 0))
  )
)</f>
        <v>993.03407813245849</v>
      </c>
      <c r="BF24" s="32">
        <f t="array" ref="BF24">IF(COLUMN() - ($E24 + 5) &lt; 0, 0,
  IF(COLUMN() - ($E24 + 5) = 0, $F24,
    BE24 * (1 - IFERROR(INDEX('Inputs &amp; Assuptions'!$D$13:$D$72, COLUMN() - ($E24 + 5)), 0))
  )
)</f>
        <v>992.53756109339236</v>
      </c>
      <c r="BG24" s="32">
        <f t="array" ref="BG24">IF(COLUMN() - ($E24 + 5) &lt; 0, 0,
  IF(COLUMN() - ($E24 + 5) = 0, $F24,
    BF24 * (1 - IFERROR(INDEX('Inputs &amp; Assuptions'!$D$13:$D$72, COLUMN() - ($E24 + 5)), 0))
  )
)</f>
        <v>992.04129231284571</v>
      </c>
      <c r="BH24" s="32">
        <f t="array" ref="BH24">IF(COLUMN() - ($E24 + 5) &lt; 0, 0,
  IF(COLUMN() - ($E24 + 5) = 0, $F24,
    BG24 * (1 - IFERROR(INDEX('Inputs &amp; Assuptions'!$D$13:$D$72, COLUMN() - ($E24 + 5)), 0))
  )
)</f>
        <v>991.54527166668936</v>
      </c>
      <c r="BI24" s="32">
        <f t="array" ref="BI24">IF(COLUMN() - ($E24 + 5) &lt; 0, 0,
  IF(COLUMN() - ($E24 + 5) = 0, $F24,
    BH24 * (1 - IFERROR(INDEX('Inputs &amp; Assuptions'!$D$13:$D$72, COLUMN() - ($E24 + 5)), 0))
  )
)</f>
        <v>991.04949903085605</v>
      </c>
      <c r="BJ24" s="32">
        <f t="array" ref="BJ24">IF(COLUMN() - ($E24 + 5) &lt; 0, 0,
  IF(COLUMN() - ($E24 + 5) = 0, $F24,
    BI24 * (1 - IFERROR(INDEX('Inputs &amp; Assuptions'!$D$13:$D$72, COLUMN() - ($E24 + 5)), 0))
  )
)</f>
        <v>990.55397428134063</v>
      </c>
      <c r="BK24" s="32">
        <f t="array" ref="BK24">IF(COLUMN() - ($E24 + 5) &lt; 0, 0,
  IF(COLUMN() - ($E24 + 5) = 0, $F24,
    BJ24 * (1 - IFERROR(INDEX('Inputs &amp; Assuptions'!$D$13:$D$72, COLUMN() - ($E24 + 5)), 0))
  )
)</f>
        <v>990.05869729419999</v>
      </c>
      <c r="BL24" s="32">
        <f t="array" ref="BL24">IF(COLUMN() - ($E24 + 5) &lt; 0, 0,
  IF(COLUMN() - ($E24 + 5) = 0, $F24,
    BK24 * (1 - IFERROR(INDEX('Inputs &amp; Assuptions'!$D$13:$D$72, COLUMN() - ($E24 + 5)), 0))
  )
)</f>
        <v>989.56366794555299</v>
      </c>
      <c r="BM24" s="66">
        <f t="array" ref="BM24">IF(COLUMN() - ($E24 + 5) &lt; 0, 0,
  IF(COLUMN() - ($E24 + 5) = 0, $F24,
    BL24 * (1 - IFERROR(INDEX('Inputs &amp; Assuptions'!$D$13:$D$72, COLUMN() - ($E24 + 5)), 0))
  )
)</f>
        <v>989.06888611158024</v>
      </c>
      <c r="BN24" s="33"/>
    </row>
    <row r="25" spans="1:66" x14ac:dyDescent="0.3">
      <c r="A25" s="71">
        <f t="shared" si="2"/>
        <v>20</v>
      </c>
      <c r="B25" s="75">
        <f t="shared" si="4"/>
        <v>1050</v>
      </c>
      <c r="C25" s="76">
        <f>$B25*(1-'Inputs &amp; Assuptions'!$D$12)</f>
        <v>1026.9000000000001</v>
      </c>
      <c r="E25" s="71">
        <f t="shared" si="3"/>
        <v>20</v>
      </c>
      <c r="F25" s="65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>
        <f>$C25</f>
        <v>1026.9000000000001</v>
      </c>
      <c r="Z25" s="32">
        <f t="array" ref="Z25">IF(COLUMN() - ($E25 + 5) &lt; 0, 0,
  IF(COLUMN() - ($E25 + 5) = 0, $F25,
    Y25 * (1 - IFERROR(INDEX('Inputs &amp; Assuptions'!$D$13:$D$72, COLUMN() - ($E25 + 5)), 0))
  )
)</f>
        <v>1021.7655000000001</v>
      </c>
      <c r="AA25" s="32">
        <f t="array" ref="AA25">IF(COLUMN() - ($E25 + 5) &lt; 0, 0,
  IF(COLUMN() - ($E25 + 5) = 0, $F25,
    Z25 * (1 - IFERROR(INDEX('Inputs &amp; Assuptions'!$D$13:$D$72, COLUMN() - ($E25 + 5)), 0))
  )
)</f>
        <v>1017.8827911000001</v>
      </c>
      <c r="AB25" s="32">
        <f t="array" ref="AB25">IF(COLUMN() - ($E25 + 5) &lt; 0, 0,
  IF(COLUMN() - ($E25 + 5) = 0, $F25,
    AA25 * (1 - IFERROR(INDEX('Inputs &amp; Assuptions'!$D$13:$D$72, COLUMN() - ($E25 + 5)), 0))
  )
)</f>
        <v>1015.3380841222502</v>
      </c>
      <c r="AC25" s="32">
        <f t="array" ref="AC25">IF(COLUMN() - ($E25 + 5) &lt; 0, 0,
  IF(COLUMN() - ($E25 + 5) = 0, $F25,
    AB25 * (1 - IFERROR(INDEX('Inputs &amp; Assuptions'!$D$13:$D$72, COLUMN() - ($E25 + 5)), 0))
  )
)</f>
        <v>1013.002806528769</v>
      </c>
      <c r="AD25" s="32">
        <f t="array" ref="AD25">IF(COLUMN() - ($E25 + 5) &lt; 0, 0,
  IF(COLUMN() - ($E25 + 5) = 0, $F25,
    AC25 * (1 - IFERROR(INDEX('Inputs &amp; Assuptions'!$D$13:$D$72, COLUMN() - ($E25 + 5)), 0))
  )
)</f>
        <v>1010.9768009157115</v>
      </c>
      <c r="AE25" s="32">
        <f t="array" ref="AE25">IF(COLUMN() - ($E25 + 5) &lt; 0, 0,
  IF(COLUMN() - ($E25 + 5) = 0, $F25,
    AD25 * (1 - IFERROR(INDEX('Inputs &amp; Assuptions'!$D$13:$D$72, COLUMN() - ($E25 + 5)), 0))
  )
)</f>
        <v>1009.1570426740632</v>
      </c>
      <c r="AF25" s="32">
        <f t="array" ref="AF25">IF(COLUMN() - ($E25 + 5) &lt; 0, 0,
  IF(COLUMN() - ($E25 + 5) = 0, $F25,
    AE25 * (1 - IFERROR(INDEX('Inputs &amp; Assuptions'!$D$13:$D$72, COLUMN() - ($E25 + 5)), 0))
  )
)</f>
        <v>1007.6433071100521</v>
      </c>
      <c r="AG25" s="32">
        <f t="array" ref="AG25">IF(COLUMN() - ($E25 + 5) &lt; 0, 0,
  IF(COLUMN() - ($E25 + 5) = 0, $F25,
    AF25 * (1 - IFERROR(INDEX('Inputs &amp; Assuptions'!$D$13:$D$72, COLUMN() - ($E25 + 5)), 0))
  )
)</f>
        <v>1006.333370810809</v>
      </c>
      <c r="AH25" s="32">
        <f t="array" ref="AH25">IF(COLUMN() - ($E25 + 5) &lt; 0, 0,
  IF(COLUMN() - ($E25 + 5) = 0, $F25,
    AG25 * (1 - IFERROR(INDEX('Inputs &amp; Assuptions'!$D$13:$D$72, COLUMN() - ($E25 + 5)), 0))
  )
)</f>
        <v>1005.3270374399982</v>
      </c>
      <c r="AI25" s="32">
        <f t="array" ref="AI25">IF(COLUMN() - ($E25 + 5) &lt; 0, 0,
  IF(COLUMN() - ($E25 + 5) = 0, $F25,
    AH25 * (1 - IFERROR(INDEX('Inputs &amp; Assuptions'!$D$13:$D$72, COLUMN() - ($E25 + 5)), 0))
  )
)</f>
        <v>1004.5227758100461</v>
      </c>
      <c r="AJ25" s="32">
        <f t="array" ref="AJ25">IF(COLUMN() - ($E25 + 5) &lt; 0, 0,
  IF(COLUMN() - ($E25 + 5) = 0, $F25,
    AI25 * (1 - IFERROR(INDEX('Inputs &amp; Assuptions'!$D$13:$D$72, COLUMN() - ($E25 + 5)), 0))
  )
)</f>
        <v>1004.0205144221412</v>
      </c>
      <c r="AK25" s="32">
        <f t="array" ref="AK25">IF(COLUMN() - ($E25 + 5) &lt; 0, 0,
  IF(COLUMN() - ($E25 + 5) = 0, $F25,
    AJ25 * (1 - IFERROR(INDEX('Inputs &amp; Assuptions'!$D$13:$D$72, COLUMN() - ($E25 + 5)), 0))
  )
)</f>
        <v>1003.5185041649302</v>
      </c>
      <c r="AL25" s="32">
        <f t="array" ref="AL25">IF(COLUMN() - ($E25 + 5) &lt; 0, 0,
  IF(COLUMN() - ($E25 + 5) = 0, $F25,
    AK25 * (1 - IFERROR(INDEX('Inputs &amp; Assuptions'!$D$13:$D$72, COLUMN() - ($E25 + 5)), 0))
  )
)</f>
        <v>1003.0167449128478</v>
      </c>
      <c r="AM25" s="32">
        <f t="array" ref="AM25">IF(COLUMN() - ($E25 + 5) &lt; 0, 0,
  IF(COLUMN() - ($E25 + 5) = 0, $F25,
    AL25 * (1 - IFERROR(INDEX('Inputs &amp; Assuptions'!$D$13:$D$72, COLUMN() - ($E25 + 5)), 0))
  )
)</f>
        <v>1002.5152365403915</v>
      </c>
      <c r="AN25" s="32">
        <f t="array" ref="AN25">IF(COLUMN() - ($E25 + 5) &lt; 0, 0,
  IF(COLUMN() - ($E25 + 5) = 0, $F25,
    AM25 * (1 - IFERROR(INDEX('Inputs &amp; Assuptions'!$D$13:$D$72, COLUMN() - ($E25 + 5)), 0))
  )
)</f>
        <v>1002.0139789221213</v>
      </c>
      <c r="AO25" s="32">
        <f t="array" ref="AO25">IF(COLUMN() - ($E25 + 5) &lt; 0, 0,
  IF(COLUMN() - ($E25 + 5) = 0, $F25,
    AN25 * (1 - IFERROR(INDEX('Inputs &amp; Assuptions'!$D$13:$D$72, COLUMN() - ($E25 + 5)), 0))
  )
)</f>
        <v>1001.5129719326603</v>
      </c>
      <c r="AP25" s="32">
        <f t="array" ref="AP25">IF(COLUMN() - ($E25 + 5) &lt; 0, 0,
  IF(COLUMN() - ($E25 + 5) = 0, $F25,
    AO25 * (1 - IFERROR(INDEX('Inputs &amp; Assuptions'!$D$13:$D$72, COLUMN() - ($E25 + 5)), 0))
  )
)</f>
        <v>1001.0122154466941</v>
      </c>
      <c r="AQ25" s="32">
        <f t="array" ref="AQ25">IF(COLUMN() - ($E25 + 5) &lt; 0, 0,
  IF(COLUMN() - ($E25 + 5) = 0, $F25,
    AP25 * (1 - IFERROR(INDEX('Inputs &amp; Assuptions'!$D$13:$D$72, COLUMN() - ($E25 + 5)), 0))
  )
)</f>
        <v>1000.5117093389708</v>
      </c>
      <c r="AR25" s="32">
        <f t="array" ref="AR25">IF(COLUMN() - ($E25 + 5) &lt; 0, 0,
  IF(COLUMN() - ($E25 + 5) = 0, $F25,
    AQ25 * (1 - IFERROR(INDEX('Inputs &amp; Assuptions'!$D$13:$D$72, COLUMN() - ($E25 + 5)), 0))
  )
)</f>
        <v>1000.0114534843015</v>
      </c>
      <c r="AS25" s="32">
        <f t="array" ref="AS25">IF(COLUMN() - ($E25 + 5) &lt; 0, 0,
  IF(COLUMN() - ($E25 + 5) = 0, $F25,
    AR25 * (1 - IFERROR(INDEX('Inputs &amp; Assuptions'!$D$13:$D$72, COLUMN() - ($E25 + 5)), 0))
  )
)</f>
        <v>999.51144775755938</v>
      </c>
      <c r="AT25" s="32">
        <f t="array" ref="AT25">IF(COLUMN() - ($E25 + 5) &lt; 0, 0,
  IF(COLUMN() - ($E25 + 5) = 0, $F25,
    AS25 * (1 - IFERROR(INDEX('Inputs &amp; Assuptions'!$D$13:$D$72, COLUMN() - ($E25 + 5)), 0))
  )
)</f>
        <v>999.01169203368067</v>
      </c>
      <c r="AU25" s="32">
        <f t="array" ref="AU25">IF(COLUMN() - ($E25 + 5) &lt; 0, 0,
  IF(COLUMN() - ($E25 + 5) = 0, $F25,
    AT25 * (1 - IFERROR(INDEX('Inputs &amp; Assuptions'!$D$13:$D$72, COLUMN() - ($E25 + 5)), 0))
  )
)</f>
        <v>998.51218618766393</v>
      </c>
      <c r="AV25" s="32">
        <f t="array" ref="AV25">IF(COLUMN() - ($E25 + 5) &lt; 0, 0,
  IF(COLUMN() - ($E25 + 5) = 0, $F25,
    AU25 * (1 - IFERROR(INDEX('Inputs &amp; Assuptions'!$D$13:$D$72, COLUMN() - ($E25 + 5)), 0))
  )
)</f>
        <v>998.01293009457015</v>
      </c>
      <c r="AW25" s="32">
        <f t="array" ref="AW25">IF(COLUMN() - ($E25 + 5) &lt; 0, 0,
  IF(COLUMN() - ($E25 + 5) = 0, $F25,
    AV25 * (1 - IFERROR(INDEX('Inputs &amp; Assuptions'!$D$13:$D$72, COLUMN() - ($E25 + 5)), 0))
  )
)</f>
        <v>997.51392362952288</v>
      </c>
      <c r="AX25" s="32">
        <f t="array" ref="AX25">IF(COLUMN() - ($E25 + 5) &lt; 0, 0,
  IF(COLUMN() - ($E25 + 5) = 0, $F25,
    AW25 * (1 - IFERROR(INDEX('Inputs &amp; Assuptions'!$D$13:$D$72, COLUMN() - ($E25 + 5)), 0))
  )
)</f>
        <v>997.01516666770817</v>
      </c>
      <c r="AY25" s="32">
        <f t="array" ref="AY25">IF(COLUMN() - ($E25 + 5) &lt; 0, 0,
  IF(COLUMN() - ($E25 + 5) = 0, $F25,
    AX25 * (1 - IFERROR(INDEX('Inputs &amp; Assuptions'!$D$13:$D$72, COLUMN() - ($E25 + 5)), 0))
  )
)</f>
        <v>996.5166590843744</v>
      </c>
      <c r="AZ25" s="32">
        <f t="array" ref="AZ25">IF(COLUMN() - ($E25 + 5) &lt; 0, 0,
  IF(COLUMN() - ($E25 + 5) = 0, $F25,
    AY25 * (1 - IFERROR(INDEX('Inputs &amp; Assuptions'!$D$13:$D$72, COLUMN() - ($E25 + 5)), 0))
  )
)</f>
        <v>996.01840075483221</v>
      </c>
      <c r="BA25" s="32">
        <f t="array" ref="BA25">IF(COLUMN() - ($E25 + 5) &lt; 0, 0,
  IF(COLUMN() - ($E25 + 5) = 0, $F25,
    AZ25 * (1 - IFERROR(INDEX('Inputs &amp; Assuptions'!$D$13:$D$72, COLUMN() - ($E25 + 5)), 0))
  )
)</f>
        <v>995.52039155445482</v>
      </c>
      <c r="BB25" s="32">
        <f t="array" ref="BB25">IF(COLUMN() - ($E25 + 5) &lt; 0, 0,
  IF(COLUMN() - ($E25 + 5) = 0, $F25,
    BA25 * (1 - IFERROR(INDEX('Inputs &amp; Assuptions'!$D$13:$D$72, COLUMN() - ($E25 + 5)), 0))
  )
)</f>
        <v>995.0226313586777</v>
      </c>
      <c r="BC25" s="32">
        <f t="array" ref="BC25">IF(COLUMN() - ($E25 + 5) &lt; 0, 0,
  IF(COLUMN() - ($E25 + 5) = 0, $F25,
    BB25 * (1 - IFERROR(INDEX('Inputs &amp; Assuptions'!$D$13:$D$72, COLUMN() - ($E25 + 5)), 0))
  )
)</f>
        <v>994.52512004299842</v>
      </c>
      <c r="BD25" s="32">
        <f t="array" ref="BD25">IF(COLUMN() - ($E25 + 5) &lt; 0, 0,
  IF(COLUMN() - ($E25 + 5) = 0, $F25,
    BC25 * (1 - IFERROR(INDEX('Inputs &amp; Assuptions'!$D$13:$D$72, COLUMN() - ($E25 + 5)), 0))
  )
)</f>
        <v>994.02785748297697</v>
      </c>
      <c r="BE25" s="32">
        <f t="array" ref="BE25">IF(COLUMN() - ($E25 + 5) &lt; 0, 0,
  IF(COLUMN() - ($E25 + 5) = 0, $F25,
    BD25 * (1 - IFERROR(INDEX('Inputs &amp; Assuptions'!$D$13:$D$72, COLUMN() - ($E25 + 5)), 0))
  )
)</f>
        <v>993.5308435542355</v>
      </c>
      <c r="BF25" s="32">
        <f t="array" ref="BF25">IF(COLUMN() - ($E25 + 5) &lt; 0, 0,
  IF(COLUMN() - ($E25 + 5) = 0, $F25,
    BE25 * (1 - IFERROR(INDEX('Inputs &amp; Assuptions'!$D$13:$D$72, COLUMN() - ($E25 + 5)), 0))
  )
)</f>
        <v>993.03407813245849</v>
      </c>
      <c r="BG25" s="32">
        <f t="array" ref="BG25">IF(COLUMN() - ($E25 + 5) &lt; 0, 0,
  IF(COLUMN() - ($E25 + 5) = 0, $F25,
    BF25 * (1 - IFERROR(INDEX('Inputs &amp; Assuptions'!$D$13:$D$72, COLUMN() - ($E25 + 5)), 0))
  )
)</f>
        <v>992.53756109339236</v>
      </c>
      <c r="BH25" s="32">
        <f t="array" ref="BH25">IF(COLUMN() - ($E25 + 5) &lt; 0, 0,
  IF(COLUMN() - ($E25 + 5) = 0, $F25,
    BG25 * (1 - IFERROR(INDEX('Inputs &amp; Assuptions'!$D$13:$D$72, COLUMN() - ($E25 + 5)), 0))
  )
)</f>
        <v>992.04129231284571</v>
      </c>
      <c r="BI25" s="32">
        <f t="array" ref="BI25">IF(COLUMN() - ($E25 + 5) &lt; 0, 0,
  IF(COLUMN() - ($E25 + 5) = 0, $F25,
    BH25 * (1 - IFERROR(INDEX('Inputs &amp; Assuptions'!$D$13:$D$72, COLUMN() - ($E25 + 5)), 0))
  )
)</f>
        <v>991.54527166668936</v>
      </c>
      <c r="BJ25" s="32">
        <f t="array" ref="BJ25">IF(COLUMN() - ($E25 + 5) &lt; 0, 0,
  IF(COLUMN() - ($E25 + 5) = 0, $F25,
    BI25 * (1 - IFERROR(INDEX('Inputs &amp; Assuptions'!$D$13:$D$72, COLUMN() - ($E25 + 5)), 0))
  )
)</f>
        <v>991.04949903085605</v>
      </c>
      <c r="BK25" s="32">
        <f t="array" ref="BK25">IF(COLUMN() - ($E25 + 5) &lt; 0, 0,
  IF(COLUMN() - ($E25 + 5) = 0, $F25,
    BJ25 * (1 - IFERROR(INDEX('Inputs &amp; Assuptions'!$D$13:$D$72, COLUMN() - ($E25 + 5)), 0))
  )
)</f>
        <v>990.55397428134063</v>
      </c>
      <c r="BL25" s="32">
        <f t="array" ref="BL25">IF(COLUMN() - ($E25 + 5) &lt; 0, 0,
  IF(COLUMN() - ($E25 + 5) = 0, $F25,
    BK25 * (1 - IFERROR(INDEX('Inputs &amp; Assuptions'!$D$13:$D$72, COLUMN() - ($E25 + 5)), 0))
  )
)</f>
        <v>990.05869729419999</v>
      </c>
      <c r="BM25" s="66">
        <f t="array" ref="BM25">IF(COLUMN() - ($E25 + 5) &lt; 0, 0,
  IF(COLUMN() - ($E25 + 5) = 0, $F25,
    BL25 * (1 - IFERROR(INDEX('Inputs &amp; Assuptions'!$D$13:$D$72, COLUMN() - ($E25 + 5)), 0))
  )
)</f>
        <v>989.56366794555299</v>
      </c>
      <c r="BN25" s="33"/>
    </row>
    <row r="26" spans="1:66" x14ac:dyDescent="0.3">
      <c r="A26" s="71">
        <f t="shared" si="2"/>
        <v>21</v>
      </c>
      <c r="B26" s="75">
        <f t="shared" si="4"/>
        <v>1050</v>
      </c>
      <c r="C26" s="76">
        <f>$B26*(1-'Inputs &amp; Assuptions'!$D$12)</f>
        <v>1026.9000000000001</v>
      </c>
      <c r="E26" s="71">
        <f t="shared" si="3"/>
        <v>21</v>
      </c>
      <c r="F26" s="6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>
        <f>$C26</f>
        <v>1026.9000000000001</v>
      </c>
      <c r="AA26" s="32">
        <f t="array" ref="AA26">IF(COLUMN() - ($E26 + 5) &lt; 0, 0,
  IF(COLUMN() - ($E26 + 5) = 0, $F26,
    Z26 * (1 - IFERROR(INDEX('Inputs &amp; Assuptions'!$D$13:$D$72, COLUMN() - ($E26 + 5)), 0))
  )
)</f>
        <v>1021.7655000000001</v>
      </c>
      <c r="AB26" s="32">
        <f t="array" ref="AB26">IF(COLUMN() - ($E26 + 5) &lt; 0, 0,
  IF(COLUMN() - ($E26 + 5) = 0, $F26,
    AA26 * (1 - IFERROR(INDEX('Inputs &amp; Assuptions'!$D$13:$D$72, COLUMN() - ($E26 + 5)), 0))
  )
)</f>
        <v>1017.8827911000001</v>
      </c>
      <c r="AC26" s="32">
        <f t="array" ref="AC26">IF(COLUMN() - ($E26 + 5) &lt; 0, 0,
  IF(COLUMN() - ($E26 + 5) = 0, $F26,
    AB26 * (1 - IFERROR(INDEX('Inputs &amp; Assuptions'!$D$13:$D$72, COLUMN() - ($E26 + 5)), 0))
  )
)</f>
        <v>1015.3380841222502</v>
      </c>
      <c r="AD26" s="32">
        <f t="array" ref="AD26">IF(COLUMN() - ($E26 + 5) &lt; 0, 0,
  IF(COLUMN() - ($E26 + 5) = 0, $F26,
    AC26 * (1 - IFERROR(INDEX('Inputs &amp; Assuptions'!$D$13:$D$72, COLUMN() - ($E26 + 5)), 0))
  )
)</f>
        <v>1013.002806528769</v>
      </c>
      <c r="AE26" s="32">
        <f t="array" ref="AE26">IF(COLUMN() - ($E26 + 5) &lt; 0, 0,
  IF(COLUMN() - ($E26 + 5) = 0, $F26,
    AD26 * (1 - IFERROR(INDEX('Inputs &amp; Assuptions'!$D$13:$D$72, COLUMN() - ($E26 + 5)), 0))
  )
)</f>
        <v>1010.9768009157115</v>
      </c>
      <c r="AF26" s="32">
        <f t="array" ref="AF26">IF(COLUMN() - ($E26 + 5) &lt; 0, 0,
  IF(COLUMN() - ($E26 + 5) = 0, $F26,
    AE26 * (1 - IFERROR(INDEX('Inputs &amp; Assuptions'!$D$13:$D$72, COLUMN() - ($E26 + 5)), 0))
  )
)</f>
        <v>1009.1570426740632</v>
      </c>
      <c r="AG26" s="32">
        <f t="array" ref="AG26">IF(COLUMN() - ($E26 + 5) &lt; 0, 0,
  IF(COLUMN() - ($E26 + 5) = 0, $F26,
    AF26 * (1 - IFERROR(INDEX('Inputs &amp; Assuptions'!$D$13:$D$72, COLUMN() - ($E26 + 5)), 0))
  )
)</f>
        <v>1007.6433071100521</v>
      </c>
      <c r="AH26" s="32">
        <f t="array" ref="AH26">IF(COLUMN() - ($E26 + 5) &lt; 0, 0,
  IF(COLUMN() - ($E26 + 5) = 0, $F26,
    AG26 * (1 - IFERROR(INDEX('Inputs &amp; Assuptions'!$D$13:$D$72, COLUMN() - ($E26 + 5)), 0))
  )
)</f>
        <v>1006.333370810809</v>
      </c>
      <c r="AI26" s="32">
        <f t="array" ref="AI26">IF(COLUMN() - ($E26 + 5) &lt; 0, 0,
  IF(COLUMN() - ($E26 + 5) = 0, $F26,
    AH26 * (1 - IFERROR(INDEX('Inputs &amp; Assuptions'!$D$13:$D$72, COLUMN() - ($E26 + 5)), 0))
  )
)</f>
        <v>1005.3270374399982</v>
      </c>
      <c r="AJ26" s="32">
        <f t="array" ref="AJ26">IF(COLUMN() - ($E26 + 5) &lt; 0, 0,
  IF(COLUMN() - ($E26 + 5) = 0, $F26,
    AI26 * (1 - IFERROR(INDEX('Inputs &amp; Assuptions'!$D$13:$D$72, COLUMN() - ($E26 + 5)), 0))
  )
)</f>
        <v>1004.5227758100461</v>
      </c>
      <c r="AK26" s="32">
        <f t="array" ref="AK26">IF(COLUMN() - ($E26 + 5) &lt; 0, 0,
  IF(COLUMN() - ($E26 + 5) = 0, $F26,
    AJ26 * (1 - IFERROR(INDEX('Inputs &amp; Assuptions'!$D$13:$D$72, COLUMN() - ($E26 + 5)), 0))
  )
)</f>
        <v>1004.0205144221412</v>
      </c>
      <c r="AL26" s="32">
        <f t="array" ref="AL26">IF(COLUMN() - ($E26 + 5) &lt; 0, 0,
  IF(COLUMN() - ($E26 + 5) = 0, $F26,
    AK26 * (1 - IFERROR(INDEX('Inputs &amp; Assuptions'!$D$13:$D$72, COLUMN() - ($E26 + 5)), 0))
  )
)</f>
        <v>1003.5185041649302</v>
      </c>
      <c r="AM26" s="32">
        <f t="array" ref="AM26">IF(COLUMN() - ($E26 + 5) &lt; 0, 0,
  IF(COLUMN() - ($E26 + 5) = 0, $F26,
    AL26 * (1 - IFERROR(INDEX('Inputs &amp; Assuptions'!$D$13:$D$72, COLUMN() - ($E26 + 5)), 0))
  )
)</f>
        <v>1003.0167449128478</v>
      </c>
      <c r="AN26" s="32">
        <f t="array" ref="AN26">IF(COLUMN() - ($E26 + 5) &lt; 0, 0,
  IF(COLUMN() - ($E26 + 5) = 0, $F26,
    AM26 * (1 - IFERROR(INDEX('Inputs &amp; Assuptions'!$D$13:$D$72, COLUMN() - ($E26 + 5)), 0))
  )
)</f>
        <v>1002.5152365403915</v>
      </c>
      <c r="AO26" s="32">
        <f t="array" ref="AO26">IF(COLUMN() - ($E26 + 5) &lt; 0, 0,
  IF(COLUMN() - ($E26 + 5) = 0, $F26,
    AN26 * (1 - IFERROR(INDEX('Inputs &amp; Assuptions'!$D$13:$D$72, COLUMN() - ($E26 + 5)), 0))
  )
)</f>
        <v>1002.0139789221213</v>
      </c>
      <c r="AP26" s="32">
        <f t="array" ref="AP26">IF(COLUMN() - ($E26 + 5) &lt; 0, 0,
  IF(COLUMN() - ($E26 + 5) = 0, $F26,
    AO26 * (1 - IFERROR(INDEX('Inputs &amp; Assuptions'!$D$13:$D$72, COLUMN() - ($E26 + 5)), 0))
  )
)</f>
        <v>1001.5129719326603</v>
      </c>
      <c r="AQ26" s="32">
        <f t="array" ref="AQ26">IF(COLUMN() - ($E26 + 5) &lt; 0, 0,
  IF(COLUMN() - ($E26 + 5) = 0, $F26,
    AP26 * (1 - IFERROR(INDEX('Inputs &amp; Assuptions'!$D$13:$D$72, COLUMN() - ($E26 + 5)), 0))
  )
)</f>
        <v>1001.0122154466941</v>
      </c>
      <c r="AR26" s="32">
        <f t="array" ref="AR26">IF(COLUMN() - ($E26 + 5) &lt; 0, 0,
  IF(COLUMN() - ($E26 + 5) = 0, $F26,
    AQ26 * (1 - IFERROR(INDEX('Inputs &amp; Assuptions'!$D$13:$D$72, COLUMN() - ($E26 + 5)), 0))
  )
)</f>
        <v>1000.5117093389708</v>
      </c>
      <c r="AS26" s="32">
        <f t="array" ref="AS26">IF(COLUMN() - ($E26 + 5) &lt; 0, 0,
  IF(COLUMN() - ($E26 + 5) = 0, $F26,
    AR26 * (1 - IFERROR(INDEX('Inputs &amp; Assuptions'!$D$13:$D$72, COLUMN() - ($E26 + 5)), 0))
  )
)</f>
        <v>1000.0114534843015</v>
      </c>
      <c r="AT26" s="32">
        <f t="array" ref="AT26">IF(COLUMN() - ($E26 + 5) &lt; 0, 0,
  IF(COLUMN() - ($E26 + 5) = 0, $F26,
    AS26 * (1 - IFERROR(INDEX('Inputs &amp; Assuptions'!$D$13:$D$72, COLUMN() - ($E26 + 5)), 0))
  )
)</f>
        <v>999.51144775755938</v>
      </c>
      <c r="AU26" s="32">
        <f t="array" ref="AU26">IF(COLUMN() - ($E26 + 5) &lt; 0, 0,
  IF(COLUMN() - ($E26 + 5) = 0, $F26,
    AT26 * (1 - IFERROR(INDEX('Inputs &amp; Assuptions'!$D$13:$D$72, COLUMN() - ($E26 + 5)), 0))
  )
)</f>
        <v>999.01169203368067</v>
      </c>
      <c r="AV26" s="32">
        <f t="array" ref="AV26">IF(COLUMN() - ($E26 + 5) &lt; 0, 0,
  IF(COLUMN() - ($E26 + 5) = 0, $F26,
    AU26 * (1 - IFERROR(INDEX('Inputs &amp; Assuptions'!$D$13:$D$72, COLUMN() - ($E26 + 5)), 0))
  )
)</f>
        <v>998.51218618766393</v>
      </c>
      <c r="AW26" s="32">
        <f t="array" ref="AW26">IF(COLUMN() - ($E26 + 5) &lt; 0, 0,
  IF(COLUMN() - ($E26 + 5) = 0, $F26,
    AV26 * (1 - IFERROR(INDEX('Inputs &amp; Assuptions'!$D$13:$D$72, COLUMN() - ($E26 + 5)), 0))
  )
)</f>
        <v>998.01293009457015</v>
      </c>
      <c r="AX26" s="32">
        <f t="array" ref="AX26">IF(COLUMN() - ($E26 + 5) &lt; 0, 0,
  IF(COLUMN() - ($E26 + 5) = 0, $F26,
    AW26 * (1 - IFERROR(INDEX('Inputs &amp; Assuptions'!$D$13:$D$72, COLUMN() - ($E26 + 5)), 0))
  )
)</f>
        <v>997.51392362952288</v>
      </c>
      <c r="AY26" s="32">
        <f t="array" ref="AY26">IF(COLUMN() - ($E26 + 5) &lt; 0, 0,
  IF(COLUMN() - ($E26 + 5) = 0, $F26,
    AX26 * (1 - IFERROR(INDEX('Inputs &amp; Assuptions'!$D$13:$D$72, COLUMN() - ($E26 + 5)), 0))
  )
)</f>
        <v>997.01516666770817</v>
      </c>
      <c r="AZ26" s="32">
        <f t="array" ref="AZ26">IF(COLUMN() - ($E26 + 5) &lt; 0, 0,
  IF(COLUMN() - ($E26 + 5) = 0, $F26,
    AY26 * (1 - IFERROR(INDEX('Inputs &amp; Assuptions'!$D$13:$D$72, COLUMN() - ($E26 + 5)), 0))
  )
)</f>
        <v>996.5166590843744</v>
      </c>
      <c r="BA26" s="32">
        <f t="array" ref="BA26">IF(COLUMN() - ($E26 + 5) &lt; 0, 0,
  IF(COLUMN() - ($E26 + 5) = 0, $F26,
    AZ26 * (1 - IFERROR(INDEX('Inputs &amp; Assuptions'!$D$13:$D$72, COLUMN() - ($E26 + 5)), 0))
  )
)</f>
        <v>996.01840075483221</v>
      </c>
      <c r="BB26" s="32">
        <f t="array" ref="BB26">IF(COLUMN() - ($E26 + 5) &lt; 0, 0,
  IF(COLUMN() - ($E26 + 5) = 0, $F26,
    BA26 * (1 - IFERROR(INDEX('Inputs &amp; Assuptions'!$D$13:$D$72, COLUMN() - ($E26 + 5)), 0))
  )
)</f>
        <v>995.52039155445482</v>
      </c>
      <c r="BC26" s="32">
        <f t="array" ref="BC26">IF(COLUMN() - ($E26 + 5) &lt; 0, 0,
  IF(COLUMN() - ($E26 + 5) = 0, $F26,
    BB26 * (1 - IFERROR(INDEX('Inputs &amp; Assuptions'!$D$13:$D$72, COLUMN() - ($E26 + 5)), 0))
  )
)</f>
        <v>995.0226313586777</v>
      </c>
      <c r="BD26" s="32">
        <f t="array" ref="BD26">IF(COLUMN() - ($E26 + 5) &lt; 0, 0,
  IF(COLUMN() - ($E26 + 5) = 0, $F26,
    BC26 * (1 - IFERROR(INDEX('Inputs &amp; Assuptions'!$D$13:$D$72, COLUMN() - ($E26 + 5)), 0))
  )
)</f>
        <v>994.52512004299842</v>
      </c>
      <c r="BE26" s="32">
        <f t="array" ref="BE26">IF(COLUMN() - ($E26 + 5) &lt; 0, 0,
  IF(COLUMN() - ($E26 + 5) = 0, $F26,
    BD26 * (1 - IFERROR(INDEX('Inputs &amp; Assuptions'!$D$13:$D$72, COLUMN() - ($E26 + 5)), 0))
  )
)</f>
        <v>994.02785748297697</v>
      </c>
      <c r="BF26" s="32">
        <f t="array" ref="BF26">IF(COLUMN() - ($E26 + 5) &lt; 0, 0,
  IF(COLUMN() - ($E26 + 5) = 0, $F26,
    BE26 * (1 - IFERROR(INDEX('Inputs &amp; Assuptions'!$D$13:$D$72, COLUMN() - ($E26 + 5)), 0))
  )
)</f>
        <v>993.5308435542355</v>
      </c>
      <c r="BG26" s="32">
        <f t="array" ref="BG26">IF(COLUMN() - ($E26 + 5) &lt; 0, 0,
  IF(COLUMN() - ($E26 + 5) = 0, $F26,
    BF26 * (1 - IFERROR(INDEX('Inputs &amp; Assuptions'!$D$13:$D$72, COLUMN() - ($E26 + 5)), 0))
  )
)</f>
        <v>993.03407813245849</v>
      </c>
      <c r="BH26" s="32">
        <f t="array" ref="BH26">IF(COLUMN() - ($E26 + 5) &lt; 0, 0,
  IF(COLUMN() - ($E26 + 5) = 0, $F26,
    BG26 * (1 - IFERROR(INDEX('Inputs &amp; Assuptions'!$D$13:$D$72, COLUMN() - ($E26 + 5)), 0))
  )
)</f>
        <v>992.53756109339236</v>
      </c>
      <c r="BI26" s="32">
        <f t="array" ref="BI26">IF(COLUMN() - ($E26 + 5) &lt; 0, 0,
  IF(COLUMN() - ($E26 + 5) = 0, $F26,
    BH26 * (1 - IFERROR(INDEX('Inputs &amp; Assuptions'!$D$13:$D$72, COLUMN() - ($E26 + 5)), 0))
  )
)</f>
        <v>992.04129231284571</v>
      </c>
      <c r="BJ26" s="32">
        <f t="array" ref="BJ26">IF(COLUMN() - ($E26 + 5) &lt; 0, 0,
  IF(COLUMN() - ($E26 + 5) = 0, $F26,
    BI26 * (1 - IFERROR(INDEX('Inputs &amp; Assuptions'!$D$13:$D$72, COLUMN() - ($E26 + 5)), 0))
  )
)</f>
        <v>991.54527166668936</v>
      </c>
      <c r="BK26" s="32">
        <f t="array" ref="BK26">IF(COLUMN() - ($E26 + 5) &lt; 0, 0,
  IF(COLUMN() - ($E26 + 5) = 0, $F26,
    BJ26 * (1 - IFERROR(INDEX('Inputs &amp; Assuptions'!$D$13:$D$72, COLUMN() - ($E26 + 5)), 0))
  )
)</f>
        <v>991.04949903085605</v>
      </c>
      <c r="BL26" s="32">
        <f t="array" ref="BL26">IF(COLUMN() - ($E26 + 5) &lt; 0, 0,
  IF(COLUMN() - ($E26 + 5) = 0, $F26,
    BK26 * (1 - IFERROR(INDEX('Inputs &amp; Assuptions'!$D$13:$D$72, COLUMN() - ($E26 + 5)), 0))
  )
)</f>
        <v>990.55397428134063</v>
      </c>
      <c r="BM26" s="66">
        <f t="array" ref="BM26">IF(COLUMN() - ($E26 + 5) &lt; 0, 0,
  IF(COLUMN() - ($E26 + 5) = 0, $F26,
    BL26 * (1 - IFERROR(INDEX('Inputs &amp; Assuptions'!$D$13:$D$72, COLUMN() - ($E26 + 5)), 0))
  )
)</f>
        <v>990.05869729419999</v>
      </c>
      <c r="BN26" s="33"/>
    </row>
    <row r="27" spans="1:66" x14ac:dyDescent="0.3">
      <c r="A27" s="71">
        <f t="shared" si="2"/>
        <v>22</v>
      </c>
      <c r="B27" s="75">
        <f t="shared" si="4"/>
        <v>1050</v>
      </c>
      <c r="C27" s="76">
        <f>$B27*(1-'Inputs &amp; Assuptions'!$D$12)</f>
        <v>1026.9000000000001</v>
      </c>
      <c r="E27" s="71">
        <f t="shared" si="3"/>
        <v>22</v>
      </c>
      <c r="F27" s="65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>
        <f>$C27</f>
        <v>1026.9000000000001</v>
      </c>
      <c r="AB27" s="32">
        <f t="array" ref="AB27">IF(COLUMN() - ($E27 + 5) &lt; 0, 0,
  IF(COLUMN() - ($E27 + 5) = 0, $F27,
    AA27 * (1 - IFERROR(INDEX('Inputs &amp; Assuptions'!$D$13:$D$72, COLUMN() - ($E27 + 5)), 0))
  )
)</f>
        <v>1021.7655000000001</v>
      </c>
      <c r="AC27" s="32">
        <f t="array" ref="AC27">IF(COLUMN() - ($E27 + 5) &lt; 0, 0,
  IF(COLUMN() - ($E27 + 5) = 0, $F27,
    AB27 * (1 - IFERROR(INDEX('Inputs &amp; Assuptions'!$D$13:$D$72, COLUMN() - ($E27 + 5)), 0))
  )
)</f>
        <v>1017.8827911000001</v>
      </c>
      <c r="AD27" s="32">
        <f t="array" ref="AD27">IF(COLUMN() - ($E27 + 5) &lt; 0, 0,
  IF(COLUMN() - ($E27 + 5) = 0, $F27,
    AC27 * (1 - IFERROR(INDEX('Inputs &amp; Assuptions'!$D$13:$D$72, COLUMN() - ($E27 + 5)), 0))
  )
)</f>
        <v>1015.3380841222502</v>
      </c>
      <c r="AE27" s="32">
        <f t="array" ref="AE27">IF(COLUMN() - ($E27 + 5) &lt; 0, 0,
  IF(COLUMN() - ($E27 + 5) = 0, $F27,
    AD27 * (1 - IFERROR(INDEX('Inputs &amp; Assuptions'!$D$13:$D$72, COLUMN() - ($E27 + 5)), 0))
  )
)</f>
        <v>1013.002806528769</v>
      </c>
      <c r="AF27" s="32">
        <f t="array" ref="AF27">IF(COLUMN() - ($E27 + 5) &lt; 0, 0,
  IF(COLUMN() - ($E27 + 5) = 0, $F27,
    AE27 * (1 - IFERROR(INDEX('Inputs &amp; Assuptions'!$D$13:$D$72, COLUMN() - ($E27 + 5)), 0))
  )
)</f>
        <v>1010.9768009157115</v>
      </c>
      <c r="AG27" s="32">
        <f t="array" ref="AG27">IF(COLUMN() - ($E27 + 5) &lt; 0, 0,
  IF(COLUMN() - ($E27 + 5) = 0, $F27,
    AF27 * (1 - IFERROR(INDEX('Inputs &amp; Assuptions'!$D$13:$D$72, COLUMN() - ($E27 + 5)), 0))
  )
)</f>
        <v>1009.1570426740632</v>
      </c>
      <c r="AH27" s="32">
        <f t="array" ref="AH27">IF(COLUMN() - ($E27 + 5) &lt; 0, 0,
  IF(COLUMN() - ($E27 + 5) = 0, $F27,
    AG27 * (1 - IFERROR(INDEX('Inputs &amp; Assuptions'!$D$13:$D$72, COLUMN() - ($E27 + 5)), 0))
  )
)</f>
        <v>1007.6433071100521</v>
      </c>
      <c r="AI27" s="32">
        <f t="array" ref="AI27">IF(COLUMN() - ($E27 + 5) &lt; 0, 0,
  IF(COLUMN() - ($E27 + 5) = 0, $F27,
    AH27 * (1 - IFERROR(INDEX('Inputs &amp; Assuptions'!$D$13:$D$72, COLUMN() - ($E27 + 5)), 0))
  )
)</f>
        <v>1006.333370810809</v>
      </c>
      <c r="AJ27" s="32">
        <f t="array" ref="AJ27">IF(COLUMN() - ($E27 + 5) &lt; 0, 0,
  IF(COLUMN() - ($E27 + 5) = 0, $F27,
    AI27 * (1 - IFERROR(INDEX('Inputs &amp; Assuptions'!$D$13:$D$72, COLUMN() - ($E27 + 5)), 0))
  )
)</f>
        <v>1005.3270374399982</v>
      </c>
      <c r="AK27" s="32">
        <f t="array" ref="AK27">IF(COLUMN() - ($E27 + 5) &lt; 0, 0,
  IF(COLUMN() - ($E27 + 5) = 0, $F27,
    AJ27 * (1 - IFERROR(INDEX('Inputs &amp; Assuptions'!$D$13:$D$72, COLUMN() - ($E27 + 5)), 0))
  )
)</f>
        <v>1004.5227758100461</v>
      </c>
      <c r="AL27" s="32">
        <f t="array" ref="AL27">IF(COLUMN() - ($E27 + 5) &lt; 0, 0,
  IF(COLUMN() - ($E27 + 5) = 0, $F27,
    AK27 * (1 - IFERROR(INDEX('Inputs &amp; Assuptions'!$D$13:$D$72, COLUMN() - ($E27 + 5)), 0))
  )
)</f>
        <v>1004.0205144221412</v>
      </c>
      <c r="AM27" s="32">
        <f t="array" ref="AM27">IF(COLUMN() - ($E27 + 5) &lt; 0, 0,
  IF(COLUMN() - ($E27 + 5) = 0, $F27,
    AL27 * (1 - IFERROR(INDEX('Inputs &amp; Assuptions'!$D$13:$D$72, COLUMN() - ($E27 + 5)), 0))
  )
)</f>
        <v>1003.5185041649302</v>
      </c>
      <c r="AN27" s="32">
        <f t="array" ref="AN27">IF(COLUMN() - ($E27 + 5) &lt; 0, 0,
  IF(COLUMN() - ($E27 + 5) = 0, $F27,
    AM27 * (1 - IFERROR(INDEX('Inputs &amp; Assuptions'!$D$13:$D$72, COLUMN() - ($E27 + 5)), 0))
  )
)</f>
        <v>1003.0167449128478</v>
      </c>
      <c r="AO27" s="32">
        <f t="array" ref="AO27">IF(COLUMN() - ($E27 + 5) &lt; 0, 0,
  IF(COLUMN() - ($E27 + 5) = 0, $F27,
    AN27 * (1 - IFERROR(INDEX('Inputs &amp; Assuptions'!$D$13:$D$72, COLUMN() - ($E27 + 5)), 0))
  )
)</f>
        <v>1002.5152365403915</v>
      </c>
      <c r="AP27" s="32">
        <f t="array" ref="AP27">IF(COLUMN() - ($E27 + 5) &lt; 0, 0,
  IF(COLUMN() - ($E27 + 5) = 0, $F27,
    AO27 * (1 - IFERROR(INDEX('Inputs &amp; Assuptions'!$D$13:$D$72, COLUMN() - ($E27 + 5)), 0))
  )
)</f>
        <v>1002.0139789221213</v>
      </c>
      <c r="AQ27" s="32">
        <f t="array" ref="AQ27">IF(COLUMN() - ($E27 + 5) &lt; 0, 0,
  IF(COLUMN() - ($E27 + 5) = 0, $F27,
    AP27 * (1 - IFERROR(INDEX('Inputs &amp; Assuptions'!$D$13:$D$72, COLUMN() - ($E27 + 5)), 0))
  )
)</f>
        <v>1001.5129719326603</v>
      </c>
      <c r="AR27" s="32">
        <f t="array" ref="AR27">IF(COLUMN() - ($E27 + 5) &lt; 0, 0,
  IF(COLUMN() - ($E27 + 5) = 0, $F27,
    AQ27 * (1 - IFERROR(INDEX('Inputs &amp; Assuptions'!$D$13:$D$72, COLUMN() - ($E27 + 5)), 0))
  )
)</f>
        <v>1001.0122154466941</v>
      </c>
      <c r="AS27" s="32">
        <f t="array" ref="AS27">IF(COLUMN() - ($E27 + 5) &lt; 0, 0,
  IF(COLUMN() - ($E27 + 5) = 0, $F27,
    AR27 * (1 - IFERROR(INDEX('Inputs &amp; Assuptions'!$D$13:$D$72, COLUMN() - ($E27 + 5)), 0))
  )
)</f>
        <v>1000.5117093389708</v>
      </c>
      <c r="AT27" s="32">
        <f t="array" ref="AT27">IF(COLUMN() - ($E27 + 5) &lt; 0, 0,
  IF(COLUMN() - ($E27 + 5) = 0, $F27,
    AS27 * (1 - IFERROR(INDEX('Inputs &amp; Assuptions'!$D$13:$D$72, COLUMN() - ($E27 + 5)), 0))
  )
)</f>
        <v>1000.0114534843015</v>
      </c>
      <c r="AU27" s="32">
        <f t="array" ref="AU27">IF(COLUMN() - ($E27 + 5) &lt; 0, 0,
  IF(COLUMN() - ($E27 + 5) = 0, $F27,
    AT27 * (1 - IFERROR(INDEX('Inputs &amp; Assuptions'!$D$13:$D$72, COLUMN() - ($E27 + 5)), 0))
  )
)</f>
        <v>999.51144775755938</v>
      </c>
      <c r="AV27" s="32">
        <f t="array" ref="AV27">IF(COLUMN() - ($E27 + 5) &lt; 0, 0,
  IF(COLUMN() - ($E27 + 5) = 0, $F27,
    AU27 * (1 - IFERROR(INDEX('Inputs &amp; Assuptions'!$D$13:$D$72, COLUMN() - ($E27 + 5)), 0))
  )
)</f>
        <v>999.01169203368067</v>
      </c>
      <c r="AW27" s="32">
        <f t="array" ref="AW27">IF(COLUMN() - ($E27 + 5) &lt; 0, 0,
  IF(COLUMN() - ($E27 + 5) = 0, $F27,
    AV27 * (1 - IFERROR(INDEX('Inputs &amp; Assuptions'!$D$13:$D$72, COLUMN() - ($E27 + 5)), 0))
  )
)</f>
        <v>998.51218618766393</v>
      </c>
      <c r="AX27" s="32">
        <f t="array" ref="AX27">IF(COLUMN() - ($E27 + 5) &lt; 0, 0,
  IF(COLUMN() - ($E27 + 5) = 0, $F27,
    AW27 * (1 - IFERROR(INDEX('Inputs &amp; Assuptions'!$D$13:$D$72, COLUMN() - ($E27 + 5)), 0))
  )
)</f>
        <v>998.01293009457015</v>
      </c>
      <c r="AY27" s="32">
        <f t="array" ref="AY27">IF(COLUMN() - ($E27 + 5) &lt; 0, 0,
  IF(COLUMN() - ($E27 + 5) = 0, $F27,
    AX27 * (1 - IFERROR(INDEX('Inputs &amp; Assuptions'!$D$13:$D$72, COLUMN() - ($E27 + 5)), 0))
  )
)</f>
        <v>997.51392362952288</v>
      </c>
      <c r="AZ27" s="32">
        <f t="array" ref="AZ27">IF(COLUMN() - ($E27 + 5) &lt; 0, 0,
  IF(COLUMN() - ($E27 + 5) = 0, $F27,
    AY27 * (1 - IFERROR(INDEX('Inputs &amp; Assuptions'!$D$13:$D$72, COLUMN() - ($E27 + 5)), 0))
  )
)</f>
        <v>997.01516666770817</v>
      </c>
      <c r="BA27" s="32">
        <f t="array" ref="BA27">IF(COLUMN() - ($E27 + 5) &lt; 0, 0,
  IF(COLUMN() - ($E27 + 5) = 0, $F27,
    AZ27 * (1 - IFERROR(INDEX('Inputs &amp; Assuptions'!$D$13:$D$72, COLUMN() - ($E27 + 5)), 0))
  )
)</f>
        <v>996.5166590843744</v>
      </c>
      <c r="BB27" s="32">
        <f t="array" ref="BB27">IF(COLUMN() - ($E27 + 5) &lt; 0, 0,
  IF(COLUMN() - ($E27 + 5) = 0, $F27,
    BA27 * (1 - IFERROR(INDEX('Inputs &amp; Assuptions'!$D$13:$D$72, COLUMN() - ($E27 + 5)), 0))
  )
)</f>
        <v>996.01840075483221</v>
      </c>
      <c r="BC27" s="32">
        <f t="array" ref="BC27">IF(COLUMN() - ($E27 + 5) &lt; 0, 0,
  IF(COLUMN() - ($E27 + 5) = 0, $F27,
    BB27 * (1 - IFERROR(INDEX('Inputs &amp; Assuptions'!$D$13:$D$72, COLUMN() - ($E27 + 5)), 0))
  )
)</f>
        <v>995.52039155445482</v>
      </c>
      <c r="BD27" s="32">
        <f t="array" ref="BD27">IF(COLUMN() - ($E27 + 5) &lt; 0, 0,
  IF(COLUMN() - ($E27 + 5) = 0, $F27,
    BC27 * (1 - IFERROR(INDEX('Inputs &amp; Assuptions'!$D$13:$D$72, COLUMN() - ($E27 + 5)), 0))
  )
)</f>
        <v>995.0226313586777</v>
      </c>
      <c r="BE27" s="32">
        <f t="array" ref="BE27">IF(COLUMN() - ($E27 + 5) &lt; 0, 0,
  IF(COLUMN() - ($E27 + 5) = 0, $F27,
    BD27 * (1 - IFERROR(INDEX('Inputs &amp; Assuptions'!$D$13:$D$72, COLUMN() - ($E27 + 5)), 0))
  )
)</f>
        <v>994.52512004299842</v>
      </c>
      <c r="BF27" s="32">
        <f t="array" ref="BF27">IF(COLUMN() - ($E27 + 5) &lt; 0, 0,
  IF(COLUMN() - ($E27 + 5) = 0, $F27,
    BE27 * (1 - IFERROR(INDEX('Inputs &amp; Assuptions'!$D$13:$D$72, COLUMN() - ($E27 + 5)), 0))
  )
)</f>
        <v>994.02785748297697</v>
      </c>
      <c r="BG27" s="32">
        <f t="array" ref="BG27">IF(COLUMN() - ($E27 + 5) &lt; 0, 0,
  IF(COLUMN() - ($E27 + 5) = 0, $F27,
    BF27 * (1 - IFERROR(INDEX('Inputs &amp; Assuptions'!$D$13:$D$72, COLUMN() - ($E27 + 5)), 0))
  )
)</f>
        <v>993.5308435542355</v>
      </c>
      <c r="BH27" s="32">
        <f t="array" ref="BH27">IF(COLUMN() - ($E27 + 5) &lt; 0, 0,
  IF(COLUMN() - ($E27 + 5) = 0, $F27,
    BG27 * (1 - IFERROR(INDEX('Inputs &amp; Assuptions'!$D$13:$D$72, COLUMN() - ($E27 + 5)), 0))
  )
)</f>
        <v>993.03407813245849</v>
      </c>
      <c r="BI27" s="32">
        <f t="array" ref="BI27">IF(COLUMN() - ($E27 + 5) &lt; 0, 0,
  IF(COLUMN() - ($E27 + 5) = 0, $F27,
    BH27 * (1 - IFERROR(INDEX('Inputs &amp; Assuptions'!$D$13:$D$72, COLUMN() - ($E27 + 5)), 0))
  )
)</f>
        <v>992.53756109339236</v>
      </c>
      <c r="BJ27" s="32">
        <f t="array" ref="BJ27">IF(COLUMN() - ($E27 + 5) &lt; 0, 0,
  IF(COLUMN() - ($E27 + 5) = 0, $F27,
    BI27 * (1 - IFERROR(INDEX('Inputs &amp; Assuptions'!$D$13:$D$72, COLUMN() - ($E27 + 5)), 0))
  )
)</f>
        <v>992.04129231284571</v>
      </c>
      <c r="BK27" s="32">
        <f t="array" ref="BK27">IF(COLUMN() - ($E27 + 5) &lt; 0, 0,
  IF(COLUMN() - ($E27 + 5) = 0, $F27,
    BJ27 * (1 - IFERROR(INDEX('Inputs &amp; Assuptions'!$D$13:$D$72, COLUMN() - ($E27 + 5)), 0))
  )
)</f>
        <v>991.54527166668936</v>
      </c>
      <c r="BL27" s="32">
        <f t="array" ref="BL27">IF(COLUMN() - ($E27 + 5) &lt; 0, 0,
  IF(COLUMN() - ($E27 + 5) = 0, $F27,
    BK27 * (1 - IFERROR(INDEX('Inputs &amp; Assuptions'!$D$13:$D$72, COLUMN() - ($E27 + 5)), 0))
  )
)</f>
        <v>991.04949903085605</v>
      </c>
      <c r="BM27" s="66">
        <f t="array" ref="BM27">IF(COLUMN() - ($E27 + 5) &lt; 0, 0,
  IF(COLUMN() - ($E27 + 5) = 0, $F27,
    BL27 * (1 - IFERROR(INDEX('Inputs &amp; Assuptions'!$D$13:$D$72, COLUMN() - ($E27 + 5)), 0))
  )
)</f>
        <v>990.55397428134063</v>
      </c>
      <c r="BN27" s="33"/>
    </row>
    <row r="28" spans="1:66" x14ac:dyDescent="0.3">
      <c r="A28" s="71">
        <f t="shared" si="2"/>
        <v>23</v>
      </c>
      <c r="B28" s="75">
        <f t="shared" si="4"/>
        <v>1050</v>
      </c>
      <c r="C28" s="76">
        <f>$B28*(1-'Inputs &amp; Assuptions'!$D$12)</f>
        <v>1026.9000000000001</v>
      </c>
      <c r="E28" s="71">
        <f t="shared" si="3"/>
        <v>23</v>
      </c>
      <c r="F28" s="65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>
        <f t="shared" ref="AB28" si="5">$C28</f>
        <v>1026.9000000000001</v>
      </c>
      <c r="AC28" s="32">
        <f t="array" ref="AC28">IF(COLUMN() - ($E28 + 5) &lt; 0, 0,
  IF(COLUMN() - ($E28 + 5) = 0, $F28,
    AB28 * (1 - IFERROR(INDEX('Inputs &amp; Assuptions'!$D$13:$D$72, COLUMN() - ($E28 + 5)), 0))
  )
)</f>
        <v>1021.7655000000001</v>
      </c>
      <c r="AD28" s="32">
        <f t="array" ref="AD28">IF(COLUMN() - ($E28 + 5) &lt; 0, 0,
  IF(COLUMN() - ($E28 + 5) = 0, $F28,
    AC28 * (1 - IFERROR(INDEX('Inputs &amp; Assuptions'!$D$13:$D$72, COLUMN() - ($E28 + 5)), 0))
  )
)</f>
        <v>1017.8827911000001</v>
      </c>
      <c r="AE28" s="32">
        <f t="array" ref="AE28">IF(COLUMN() - ($E28 + 5) &lt; 0, 0,
  IF(COLUMN() - ($E28 + 5) = 0, $F28,
    AD28 * (1 - IFERROR(INDEX('Inputs &amp; Assuptions'!$D$13:$D$72, COLUMN() - ($E28 + 5)), 0))
  )
)</f>
        <v>1015.3380841222502</v>
      </c>
      <c r="AF28" s="32">
        <f t="array" ref="AF28">IF(COLUMN() - ($E28 + 5) &lt; 0, 0,
  IF(COLUMN() - ($E28 + 5) = 0, $F28,
    AE28 * (1 - IFERROR(INDEX('Inputs &amp; Assuptions'!$D$13:$D$72, COLUMN() - ($E28 + 5)), 0))
  )
)</f>
        <v>1013.002806528769</v>
      </c>
      <c r="AG28" s="32">
        <f t="array" ref="AG28">IF(COLUMN() - ($E28 + 5) &lt; 0, 0,
  IF(COLUMN() - ($E28 + 5) = 0, $F28,
    AF28 * (1 - IFERROR(INDEX('Inputs &amp; Assuptions'!$D$13:$D$72, COLUMN() - ($E28 + 5)), 0))
  )
)</f>
        <v>1010.9768009157115</v>
      </c>
      <c r="AH28" s="32">
        <f t="array" ref="AH28">IF(COLUMN() - ($E28 + 5) &lt; 0, 0,
  IF(COLUMN() - ($E28 + 5) = 0, $F28,
    AG28 * (1 - IFERROR(INDEX('Inputs &amp; Assuptions'!$D$13:$D$72, COLUMN() - ($E28 + 5)), 0))
  )
)</f>
        <v>1009.1570426740632</v>
      </c>
      <c r="AI28" s="32">
        <f t="array" ref="AI28">IF(COLUMN() - ($E28 + 5) &lt; 0, 0,
  IF(COLUMN() - ($E28 + 5) = 0, $F28,
    AH28 * (1 - IFERROR(INDEX('Inputs &amp; Assuptions'!$D$13:$D$72, COLUMN() - ($E28 + 5)), 0))
  )
)</f>
        <v>1007.6433071100521</v>
      </c>
      <c r="AJ28" s="32">
        <f t="array" ref="AJ28">IF(COLUMN() - ($E28 + 5) &lt; 0, 0,
  IF(COLUMN() - ($E28 + 5) = 0, $F28,
    AI28 * (1 - IFERROR(INDEX('Inputs &amp; Assuptions'!$D$13:$D$72, COLUMN() - ($E28 + 5)), 0))
  )
)</f>
        <v>1006.333370810809</v>
      </c>
      <c r="AK28" s="32">
        <f t="array" ref="AK28">IF(COLUMN() - ($E28 + 5) &lt; 0, 0,
  IF(COLUMN() - ($E28 + 5) = 0, $F28,
    AJ28 * (1 - IFERROR(INDEX('Inputs &amp; Assuptions'!$D$13:$D$72, COLUMN() - ($E28 + 5)), 0))
  )
)</f>
        <v>1005.3270374399982</v>
      </c>
      <c r="AL28" s="32">
        <f t="array" ref="AL28">IF(COLUMN() - ($E28 + 5) &lt; 0, 0,
  IF(COLUMN() - ($E28 + 5) = 0, $F28,
    AK28 * (1 - IFERROR(INDEX('Inputs &amp; Assuptions'!$D$13:$D$72, COLUMN() - ($E28 + 5)), 0))
  )
)</f>
        <v>1004.5227758100461</v>
      </c>
      <c r="AM28" s="32">
        <f t="array" ref="AM28">IF(COLUMN() - ($E28 + 5) &lt; 0, 0,
  IF(COLUMN() - ($E28 + 5) = 0, $F28,
    AL28 * (1 - IFERROR(INDEX('Inputs &amp; Assuptions'!$D$13:$D$72, COLUMN() - ($E28 + 5)), 0))
  )
)</f>
        <v>1004.0205144221412</v>
      </c>
      <c r="AN28" s="32">
        <f t="array" ref="AN28">IF(COLUMN() - ($E28 + 5) &lt; 0, 0,
  IF(COLUMN() - ($E28 + 5) = 0, $F28,
    AM28 * (1 - IFERROR(INDEX('Inputs &amp; Assuptions'!$D$13:$D$72, COLUMN() - ($E28 + 5)), 0))
  )
)</f>
        <v>1003.5185041649302</v>
      </c>
      <c r="AO28" s="32">
        <f t="array" ref="AO28">IF(COLUMN() - ($E28 + 5) &lt; 0, 0,
  IF(COLUMN() - ($E28 + 5) = 0, $F28,
    AN28 * (1 - IFERROR(INDEX('Inputs &amp; Assuptions'!$D$13:$D$72, COLUMN() - ($E28 + 5)), 0))
  )
)</f>
        <v>1003.0167449128478</v>
      </c>
      <c r="AP28" s="32">
        <f t="array" ref="AP28">IF(COLUMN() - ($E28 + 5) &lt; 0, 0,
  IF(COLUMN() - ($E28 + 5) = 0, $F28,
    AO28 * (1 - IFERROR(INDEX('Inputs &amp; Assuptions'!$D$13:$D$72, COLUMN() - ($E28 + 5)), 0))
  )
)</f>
        <v>1002.5152365403915</v>
      </c>
      <c r="AQ28" s="32">
        <f t="array" ref="AQ28">IF(COLUMN() - ($E28 + 5) &lt; 0, 0,
  IF(COLUMN() - ($E28 + 5) = 0, $F28,
    AP28 * (1 - IFERROR(INDEX('Inputs &amp; Assuptions'!$D$13:$D$72, COLUMN() - ($E28 + 5)), 0))
  )
)</f>
        <v>1002.0139789221213</v>
      </c>
      <c r="AR28" s="32">
        <f t="array" ref="AR28">IF(COLUMN() - ($E28 + 5) &lt; 0, 0,
  IF(COLUMN() - ($E28 + 5) = 0, $F28,
    AQ28 * (1 - IFERROR(INDEX('Inputs &amp; Assuptions'!$D$13:$D$72, COLUMN() - ($E28 + 5)), 0))
  )
)</f>
        <v>1001.5129719326603</v>
      </c>
      <c r="AS28" s="32">
        <f t="array" ref="AS28">IF(COLUMN() - ($E28 + 5) &lt; 0, 0,
  IF(COLUMN() - ($E28 + 5) = 0, $F28,
    AR28 * (1 - IFERROR(INDEX('Inputs &amp; Assuptions'!$D$13:$D$72, COLUMN() - ($E28 + 5)), 0))
  )
)</f>
        <v>1001.0122154466941</v>
      </c>
      <c r="AT28" s="32">
        <f t="array" ref="AT28">IF(COLUMN() - ($E28 + 5) &lt; 0, 0,
  IF(COLUMN() - ($E28 + 5) = 0, $F28,
    AS28 * (1 - IFERROR(INDEX('Inputs &amp; Assuptions'!$D$13:$D$72, COLUMN() - ($E28 + 5)), 0))
  )
)</f>
        <v>1000.5117093389708</v>
      </c>
      <c r="AU28" s="32">
        <f t="array" ref="AU28">IF(COLUMN() - ($E28 + 5) &lt; 0, 0,
  IF(COLUMN() - ($E28 + 5) = 0, $F28,
    AT28 * (1 - IFERROR(INDEX('Inputs &amp; Assuptions'!$D$13:$D$72, COLUMN() - ($E28 + 5)), 0))
  )
)</f>
        <v>1000.0114534843015</v>
      </c>
      <c r="AV28" s="32">
        <f t="array" ref="AV28">IF(COLUMN() - ($E28 + 5) &lt; 0, 0,
  IF(COLUMN() - ($E28 + 5) = 0, $F28,
    AU28 * (1 - IFERROR(INDEX('Inputs &amp; Assuptions'!$D$13:$D$72, COLUMN() - ($E28 + 5)), 0))
  )
)</f>
        <v>999.51144775755938</v>
      </c>
      <c r="AW28" s="32">
        <f t="array" ref="AW28">IF(COLUMN() - ($E28 + 5) &lt; 0, 0,
  IF(COLUMN() - ($E28 + 5) = 0, $F28,
    AV28 * (1 - IFERROR(INDEX('Inputs &amp; Assuptions'!$D$13:$D$72, COLUMN() - ($E28 + 5)), 0))
  )
)</f>
        <v>999.01169203368067</v>
      </c>
      <c r="AX28" s="32">
        <f t="array" ref="AX28">IF(COLUMN() - ($E28 + 5) &lt; 0, 0,
  IF(COLUMN() - ($E28 + 5) = 0, $F28,
    AW28 * (1 - IFERROR(INDEX('Inputs &amp; Assuptions'!$D$13:$D$72, COLUMN() - ($E28 + 5)), 0))
  )
)</f>
        <v>998.51218618766393</v>
      </c>
      <c r="AY28" s="32">
        <f t="array" ref="AY28">IF(COLUMN() - ($E28 + 5) &lt; 0, 0,
  IF(COLUMN() - ($E28 + 5) = 0, $F28,
    AX28 * (1 - IFERROR(INDEX('Inputs &amp; Assuptions'!$D$13:$D$72, COLUMN() - ($E28 + 5)), 0))
  )
)</f>
        <v>998.01293009457015</v>
      </c>
      <c r="AZ28" s="32">
        <f t="array" ref="AZ28">IF(COLUMN() - ($E28 + 5) &lt; 0, 0,
  IF(COLUMN() - ($E28 + 5) = 0, $F28,
    AY28 * (1 - IFERROR(INDEX('Inputs &amp; Assuptions'!$D$13:$D$72, COLUMN() - ($E28 + 5)), 0))
  )
)</f>
        <v>997.51392362952288</v>
      </c>
      <c r="BA28" s="32">
        <f t="array" ref="BA28">IF(COLUMN() - ($E28 + 5) &lt; 0, 0,
  IF(COLUMN() - ($E28 + 5) = 0, $F28,
    AZ28 * (1 - IFERROR(INDEX('Inputs &amp; Assuptions'!$D$13:$D$72, COLUMN() - ($E28 + 5)), 0))
  )
)</f>
        <v>997.01516666770817</v>
      </c>
      <c r="BB28" s="32">
        <f t="array" ref="BB28">IF(COLUMN() - ($E28 + 5) &lt; 0, 0,
  IF(COLUMN() - ($E28 + 5) = 0, $F28,
    BA28 * (1 - IFERROR(INDEX('Inputs &amp; Assuptions'!$D$13:$D$72, COLUMN() - ($E28 + 5)), 0))
  )
)</f>
        <v>996.5166590843744</v>
      </c>
      <c r="BC28" s="32">
        <f t="array" ref="BC28">IF(COLUMN() - ($E28 + 5) &lt; 0, 0,
  IF(COLUMN() - ($E28 + 5) = 0, $F28,
    BB28 * (1 - IFERROR(INDEX('Inputs &amp; Assuptions'!$D$13:$D$72, COLUMN() - ($E28 + 5)), 0))
  )
)</f>
        <v>996.01840075483221</v>
      </c>
      <c r="BD28" s="32">
        <f t="array" ref="BD28">IF(COLUMN() - ($E28 + 5) &lt; 0, 0,
  IF(COLUMN() - ($E28 + 5) = 0, $F28,
    BC28 * (1 - IFERROR(INDEX('Inputs &amp; Assuptions'!$D$13:$D$72, COLUMN() - ($E28 + 5)), 0))
  )
)</f>
        <v>995.52039155445482</v>
      </c>
      <c r="BE28" s="32">
        <f t="array" ref="BE28">IF(COLUMN() - ($E28 + 5) &lt; 0, 0,
  IF(COLUMN() - ($E28 + 5) = 0, $F28,
    BD28 * (1 - IFERROR(INDEX('Inputs &amp; Assuptions'!$D$13:$D$72, COLUMN() - ($E28 + 5)), 0))
  )
)</f>
        <v>995.0226313586777</v>
      </c>
      <c r="BF28" s="32">
        <f t="array" ref="BF28">IF(COLUMN() - ($E28 + 5) &lt; 0, 0,
  IF(COLUMN() - ($E28 + 5) = 0, $F28,
    BE28 * (1 - IFERROR(INDEX('Inputs &amp; Assuptions'!$D$13:$D$72, COLUMN() - ($E28 + 5)), 0))
  )
)</f>
        <v>994.52512004299842</v>
      </c>
      <c r="BG28" s="32">
        <f t="array" ref="BG28">IF(COLUMN() - ($E28 + 5) &lt; 0, 0,
  IF(COLUMN() - ($E28 + 5) = 0, $F28,
    BF28 * (1 - IFERROR(INDEX('Inputs &amp; Assuptions'!$D$13:$D$72, COLUMN() - ($E28 + 5)), 0))
  )
)</f>
        <v>994.02785748297697</v>
      </c>
      <c r="BH28" s="32">
        <f t="array" ref="BH28">IF(COLUMN() - ($E28 + 5) &lt; 0, 0,
  IF(COLUMN() - ($E28 + 5) = 0, $F28,
    BG28 * (1 - IFERROR(INDEX('Inputs &amp; Assuptions'!$D$13:$D$72, COLUMN() - ($E28 + 5)), 0))
  )
)</f>
        <v>993.5308435542355</v>
      </c>
      <c r="BI28" s="32">
        <f t="array" ref="BI28">IF(COLUMN() - ($E28 + 5) &lt; 0, 0,
  IF(COLUMN() - ($E28 + 5) = 0, $F28,
    BH28 * (1 - IFERROR(INDEX('Inputs &amp; Assuptions'!$D$13:$D$72, COLUMN() - ($E28 + 5)), 0))
  )
)</f>
        <v>993.03407813245849</v>
      </c>
      <c r="BJ28" s="32">
        <f t="array" ref="BJ28">IF(COLUMN() - ($E28 + 5) &lt; 0, 0,
  IF(COLUMN() - ($E28 + 5) = 0, $F28,
    BI28 * (1 - IFERROR(INDEX('Inputs &amp; Assuptions'!$D$13:$D$72, COLUMN() - ($E28 + 5)), 0))
  )
)</f>
        <v>992.53756109339236</v>
      </c>
      <c r="BK28" s="32">
        <f t="array" ref="BK28">IF(COLUMN() - ($E28 + 5) &lt; 0, 0,
  IF(COLUMN() - ($E28 + 5) = 0, $F28,
    BJ28 * (1 - IFERROR(INDEX('Inputs &amp; Assuptions'!$D$13:$D$72, COLUMN() - ($E28 + 5)), 0))
  )
)</f>
        <v>992.04129231284571</v>
      </c>
      <c r="BL28" s="32">
        <f t="array" ref="BL28">IF(COLUMN() - ($E28 + 5) &lt; 0, 0,
  IF(COLUMN() - ($E28 + 5) = 0, $F28,
    BK28 * (1 - IFERROR(INDEX('Inputs &amp; Assuptions'!$D$13:$D$72, COLUMN() - ($E28 + 5)), 0))
  )
)</f>
        <v>991.54527166668936</v>
      </c>
      <c r="BM28" s="66">
        <f t="array" ref="BM28">IF(COLUMN() - ($E28 + 5) &lt; 0, 0,
  IF(COLUMN() - ($E28 + 5) = 0, $F28,
    BL28 * (1 - IFERROR(INDEX('Inputs &amp; Assuptions'!$D$13:$D$72, COLUMN() - ($E28 + 5)), 0))
  )
)</f>
        <v>991.04949903085605</v>
      </c>
      <c r="BN28" s="33"/>
    </row>
    <row r="29" spans="1:66" x14ac:dyDescent="0.3">
      <c r="A29" s="71">
        <f t="shared" si="2"/>
        <v>24</v>
      </c>
      <c r="B29" s="75">
        <f t="shared" si="4"/>
        <v>1050</v>
      </c>
      <c r="C29" s="76">
        <f>$B29*(1-'Inputs &amp; Assuptions'!$D$12)</f>
        <v>1026.9000000000001</v>
      </c>
      <c r="E29" s="71">
        <f t="shared" si="3"/>
        <v>24</v>
      </c>
      <c r="F29" s="65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>
        <f>$C29</f>
        <v>1026.9000000000001</v>
      </c>
      <c r="AD29" s="32">
        <f t="array" ref="AD29">IF(COLUMN() - ($E29 + 5) &lt; 0, 0,
  IF(COLUMN() - ($E29 + 5) = 0, $F29,
    AC29 * (1 - IFERROR(INDEX('Inputs &amp; Assuptions'!$D$13:$D$72, COLUMN() - ($E29 + 5)), 0))
  )
)</f>
        <v>1021.7655000000001</v>
      </c>
      <c r="AE29" s="32">
        <f t="array" ref="AE29">IF(COLUMN() - ($E29 + 5) &lt; 0, 0,
  IF(COLUMN() - ($E29 + 5) = 0, $F29,
    AD29 * (1 - IFERROR(INDEX('Inputs &amp; Assuptions'!$D$13:$D$72, COLUMN() - ($E29 + 5)), 0))
  )
)</f>
        <v>1017.8827911000001</v>
      </c>
      <c r="AF29" s="32">
        <f t="array" ref="AF29">IF(COLUMN() - ($E29 + 5) &lt; 0, 0,
  IF(COLUMN() - ($E29 + 5) = 0, $F29,
    AE29 * (1 - IFERROR(INDEX('Inputs &amp; Assuptions'!$D$13:$D$72, COLUMN() - ($E29 + 5)), 0))
  )
)</f>
        <v>1015.3380841222502</v>
      </c>
      <c r="AG29" s="32">
        <f t="array" ref="AG29">IF(COLUMN() - ($E29 + 5) &lt; 0, 0,
  IF(COLUMN() - ($E29 + 5) = 0, $F29,
    AF29 * (1 - IFERROR(INDEX('Inputs &amp; Assuptions'!$D$13:$D$72, COLUMN() - ($E29 + 5)), 0))
  )
)</f>
        <v>1013.002806528769</v>
      </c>
      <c r="AH29" s="32">
        <f t="array" ref="AH29">IF(COLUMN() - ($E29 + 5) &lt; 0, 0,
  IF(COLUMN() - ($E29 + 5) = 0, $F29,
    AG29 * (1 - IFERROR(INDEX('Inputs &amp; Assuptions'!$D$13:$D$72, COLUMN() - ($E29 + 5)), 0))
  )
)</f>
        <v>1010.9768009157115</v>
      </c>
      <c r="AI29" s="32">
        <f t="array" ref="AI29">IF(COLUMN() - ($E29 + 5) &lt; 0, 0,
  IF(COLUMN() - ($E29 + 5) = 0, $F29,
    AH29 * (1 - IFERROR(INDEX('Inputs &amp; Assuptions'!$D$13:$D$72, COLUMN() - ($E29 + 5)), 0))
  )
)</f>
        <v>1009.1570426740632</v>
      </c>
      <c r="AJ29" s="32">
        <f t="array" ref="AJ29">IF(COLUMN() - ($E29 + 5) &lt; 0, 0,
  IF(COLUMN() - ($E29 + 5) = 0, $F29,
    AI29 * (1 - IFERROR(INDEX('Inputs &amp; Assuptions'!$D$13:$D$72, COLUMN() - ($E29 + 5)), 0))
  )
)</f>
        <v>1007.6433071100521</v>
      </c>
      <c r="AK29" s="32">
        <f t="array" ref="AK29">IF(COLUMN() - ($E29 + 5) &lt; 0, 0,
  IF(COLUMN() - ($E29 + 5) = 0, $F29,
    AJ29 * (1 - IFERROR(INDEX('Inputs &amp; Assuptions'!$D$13:$D$72, COLUMN() - ($E29 + 5)), 0))
  )
)</f>
        <v>1006.333370810809</v>
      </c>
      <c r="AL29" s="32">
        <f t="array" ref="AL29">IF(COLUMN() - ($E29 + 5) &lt; 0, 0,
  IF(COLUMN() - ($E29 + 5) = 0, $F29,
    AK29 * (1 - IFERROR(INDEX('Inputs &amp; Assuptions'!$D$13:$D$72, COLUMN() - ($E29 + 5)), 0))
  )
)</f>
        <v>1005.3270374399982</v>
      </c>
      <c r="AM29" s="32">
        <f t="array" ref="AM29">IF(COLUMN() - ($E29 + 5) &lt; 0, 0,
  IF(COLUMN() - ($E29 + 5) = 0, $F29,
    AL29 * (1 - IFERROR(INDEX('Inputs &amp; Assuptions'!$D$13:$D$72, COLUMN() - ($E29 + 5)), 0))
  )
)</f>
        <v>1004.5227758100461</v>
      </c>
      <c r="AN29" s="32">
        <f t="array" ref="AN29">IF(COLUMN() - ($E29 + 5) &lt; 0, 0,
  IF(COLUMN() - ($E29 + 5) = 0, $F29,
    AM29 * (1 - IFERROR(INDEX('Inputs &amp; Assuptions'!$D$13:$D$72, COLUMN() - ($E29 + 5)), 0))
  )
)</f>
        <v>1004.0205144221412</v>
      </c>
      <c r="AO29" s="32">
        <f t="array" ref="AO29">IF(COLUMN() - ($E29 + 5) &lt; 0, 0,
  IF(COLUMN() - ($E29 + 5) = 0, $F29,
    AN29 * (1 - IFERROR(INDEX('Inputs &amp; Assuptions'!$D$13:$D$72, COLUMN() - ($E29 + 5)), 0))
  )
)</f>
        <v>1003.5185041649302</v>
      </c>
      <c r="AP29" s="32">
        <f t="array" ref="AP29">IF(COLUMN() - ($E29 + 5) &lt; 0, 0,
  IF(COLUMN() - ($E29 + 5) = 0, $F29,
    AO29 * (1 - IFERROR(INDEX('Inputs &amp; Assuptions'!$D$13:$D$72, COLUMN() - ($E29 + 5)), 0))
  )
)</f>
        <v>1003.0167449128478</v>
      </c>
      <c r="AQ29" s="32">
        <f t="array" ref="AQ29">IF(COLUMN() - ($E29 + 5) &lt; 0, 0,
  IF(COLUMN() - ($E29 + 5) = 0, $F29,
    AP29 * (1 - IFERROR(INDEX('Inputs &amp; Assuptions'!$D$13:$D$72, COLUMN() - ($E29 + 5)), 0))
  )
)</f>
        <v>1002.5152365403915</v>
      </c>
      <c r="AR29" s="32">
        <f t="array" ref="AR29">IF(COLUMN() - ($E29 + 5) &lt; 0, 0,
  IF(COLUMN() - ($E29 + 5) = 0, $F29,
    AQ29 * (1 - IFERROR(INDEX('Inputs &amp; Assuptions'!$D$13:$D$72, COLUMN() - ($E29 + 5)), 0))
  )
)</f>
        <v>1002.0139789221213</v>
      </c>
      <c r="AS29" s="32">
        <f t="array" ref="AS29">IF(COLUMN() - ($E29 + 5) &lt; 0, 0,
  IF(COLUMN() - ($E29 + 5) = 0, $F29,
    AR29 * (1 - IFERROR(INDEX('Inputs &amp; Assuptions'!$D$13:$D$72, COLUMN() - ($E29 + 5)), 0))
  )
)</f>
        <v>1001.5129719326603</v>
      </c>
      <c r="AT29" s="32">
        <f t="array" ref="AT29">IF(COLUMN() - ($E29 + 5) &lt; 0, 0,
  IF(COLUMN() - ($E29 + 5) = 0, $F29,
    AS29 * (1 - IFERROR(INDEX('Inputs &amp; Assuptions'!$D$13:$D$72, COLUMN() - ($E29 + 5)), 0))
  )
)</f>
        <v>1001.0122154466941</v>
      </c>
      <c r="AU29" s="32">
        <f t="array" ref="AU29">IF(COLUMN() - ($E29 + 5) &lt; 0, 0,
  IF(COLUMN() - ($E29 + 5) = 0, $F29,
    AT29 * (1 - IFERROR(INDEX('Inputs &amp; Assuptions'!$D$13:$D$72, COLUMN() - ($E29 + 5)), 0))
  )
)</f>
        <v>1000.5117093389708</v>
      </c>
      <c r="AV29" s="32">
        <f t="array" ref="AV29">IF(COLUMN() - ($E29 + 5) &lt; 0, 0,
  IF(COLUMN() - ($E29 + 5) = 0, $F29,
    AU29 * (1 - IFERROR(INDEX('Inputs &amp; Assuptions'!$D$13:$D$72, COLUMN() - ($E29 + 5)), 0))
  )
)</f>
        <v>1000.0114534843015</v>
      </c>
      <c r="AW29" s="32">
        <f t="array" ref="AW29">IF(COLUMN() - ($E29 + 5) &lt; 0, 0,
  IF(COLUMN() - ($E29 + 5) = 0, $F29,
    AV29 * (1 - IFERROR(INDEX('Inputs &amp; Assuptions'!$D$13:$D$72, COLUMN() - ($E29 + 5)), 0))
  )
)</f>
        <v>999.51144775755938</v>
      </c>
      <c r="AX29" s="32">
        <f t="array" ref="AX29">IF(COLUMN() - ($E29 + 5) &lt; 0, 0,
  IF(COLUMN() - ($E29 + 5) = 0, $F29,
    AW29 * (1 - IFERROR(INDEX('Inputs &amp; Assuptions'!$D$13:$D$72, COLUMN() - ($E29 + 5)), 0))
  )
)</f>
        <v>999.01169203368067</v>
      </c>
      <c r="AY29" s="32">
        <f t="array" ref="AY29">IF(COLUMN() - ($E29 + 5) &lt; 0, 0,
  IF(COLUMN() - ($E29 + 5) = 0, $F29,
    AX29 * (1 - IFERROR(INDEX('Inputs &amp; Assuptions'!$D$13:$D$72, COLUMN() - ($E29 + 5)), 0))
  )
)</f>
        <v>998.51218618766393</v>
      </c>
      <c r="AZ29" s="32">
        <f t="array" ref="AZ29">IF(COLUMN() - ($E29 + 5) &lt; 0, 0,
  IF(COLUMN() - ($E29 + 5) = 0, $F29,
    AY29 * (1 - IFERROR(INDEX('Inputs &amp; Assuptions'!$D$13:$D$72, COLUMN() - ($E29 + 5)), 0))
  )
)</f>
        <v>998.01293009457015</v>
      </c>
      <c r="BA29" s="32">
        <f t="array" ref="BA29">IF(COLUMN() - ($E29 + 5) &lt; 0, 0,
  IF(COLUMN() - ($E29 + 5) = 0, $F29,
    AZ29 * (1 - IFERROR(INDEX('Inputs &amp; Assuptions'!$D$13:$D$72, COLUMN() - ($E29 + 5)), 0))
  )
)</f>
        <v>997.51392362952288</v>
      </c>
      <c r="BB29" s="32">
        <f t="array" ref="BB29">IF(COLUMN() - ($E29 + 5) &lt; 0, 0,
  IF(COLUMN() - ($E29 + 5) = 0, $F29,
    BA29 * (1 - IFERROR(INDEX('Inputs &amp; Assuptions'!$D$13:$D$72, COLUMN() - ($E29 + 5)), 0))
  )
)</f>
        <v>997.01516666770817</v>
      </c>
      <c r="BC29" s="32">
        <f t="array" ref="BC29">IF(COLUMN() - ($E29 + 5) &lt; 0, 0,
  IF(COLUMN() - ($E29 + 5) = 0, $F29,
    BB29 * (1 - IFERROR(INDEX('Inputs &amp; Assuptions'!$D$13:$D$72, COLUMN() - ($E29 + 5)), 0))
  )
)</f>
        <v>996.5166590843744</v>
      </c>
      <c r="BD29" s="32">
        <f t="array" ref="BD29">IF(COLUMN() - ($E29 + 5) &lt; 0, 0,
  IF(COLUMN() - ($E29 + 5) = 0, $F29,
    BC29 * (1 - IFERROR(INDEX('Inputs &amp; Assuptions'!$D$13:$D$72, COLUMN() - ($E29 + 5)), 0))
  )
)</f>
        <v>996.01840075483221</v>
      </c>
      <c r="BE29" s="32">
        <f t="array" ref="BE29">IF(COLUMN() - ($E29 + 5) &lt; 0, 0,
  IF(COLUMN() - ($E29 + 5) = 0, $F29,
    BD29 * (1 - IFERROR(INDEX('Inputs &amp; Assuptions'!$D$13:$D$72, COLUMN() - ($E29 + 5)), 0))
  )
)</f>
        <v>995.52039155445482</v>
      </c>
      <c r="BF29" s="32">
        <f t="array" ref="BF29">IF(COLUMN() - ($E29 + 5) &lt; 0, 0,
  IF(COLUMN() - ($E29 + 5) = 0, $F29,
    BE29 * (1 - IFERROR(INDEX('Inputs &amp; Assuptions'!$D$13:$D$72, COLUMN() - ($E29 + 5)), 0))
  )
)</f>
        <v>995.0226313586777</v>
      </c>
      <c r="BG29" s="32">
        <f t="array" ref="BG29">IF(COLUMN() - ($E29 + 5) &lt; 0, 0,
  IF(COLUMN() - ($E29 + 5) = 0, $F29,
    BF29 * (1 - IFERROR(INDEX('Inputs &amp; Assuptions'!$D$13:$D$72, COLUMN() - ($E29 + 5)), 0))
  )
)</f>
        <v>994.52512004299842</v>
      </c>
      <c r="BH29" s="32">
        <f t="array" ref="BH29">IF(COLUMN() - ($E29 + 5) &lt; 0, 0,
  IF(COLUMN() - ($E29 + 5) = 0, $F29,
    BG29 * (1 - IFERROR(INDEX('Inputs &amp; Assuptions'!$D$13:$D$72, COLUMN() - ($E29 + 5)), 0))
  )
)</f>
        <v>994.02785748297697</v>
      </c>
      <c r="BI29" s="32">
        <f t="array" ref="BI29">IF(COLUMN() - ($E29 + 5) &lt; 0, 0,
  IF(COLUMN() - ($E29 + 5) = 0, $F29,
    BH29 * (1 - IFERROR(INDEX('Inputs &amp; Assuptions'!$D$13:$D$72, COLUMN() - ($E29 + 5)), 0))
  )
)</f>
        <v>993.5308435542355</v>
      </c>
      <c r="BJ29" s="32">
        <f t="array" ref="BJ29">IF(COLUMN() - ($E29 + 5) &lt; 0, 0,
  IF(COLUMN() - ($E29 + 5) = 0, $F29,
    BI29 * (1 - IFERROR(INDEX('Inputs &amp; Assuptions'!$D$13:$D$72, COLUMN() - ($E29 + 5)), 0))
  )
)</f>
        <v>993.03407813245849</v>
      </c>
      <c r="BK29" s="32">
        <f t="array" ref="BK29">IF(COLUMN() - ($E29 + 5) &lt; 0, 0,
  IF(COLUMN() - ($E29 + 5) = 0, $F29,
    BJ29 * (1 - IFERROR(INDEX('Inputs &amp; Assuptions'!$D$13:$D$72, COLUMN() - ($E29 + 5)), 0))
  )
)</f>
        <v>992.53756109339236</v>
      </c>
      <c r="BL29" s="32">
        <f t="array" ref="BL29">IF(COLUMN() - ($E29 + 5) &lt; 0, 0,
  IF(COLUMN() - ($E29 + 5) = 0, $F29,
    BK29 * (1 - IFERROR(INDEX('Inputs &amp; Assuptions'!$D$13:$D$72, COLUMN() - ($E29 + 5)), 0))
  )
)</f>
        <v>992.04129231284571</v>
      </c>
      <c r="BM29" s="66">
        <f t="array" ref="BM29">IF(COLUMN() - ($E29 + 5) &lt; 0, 0,
  IF(COLUMN() - ($E29 + 5) = 0, $F29,
    BL29 * (1 - IFERROR(INDEX('Inputs &amp; Assuptions'!$D$13:$D$72, COLUMN() - ($E29 + 5)), 0))
  )
)</f>
        <v>991.54527166668936</v>
      </c>
      <c r="BN29" s="33"/>
    </row>
    <row r="30" spans="1:66" x14ac:dyDescent="0.3">
      <c r="A30" s="71">
        <f t="shared" si="2"/>
        <v>25</v>
      </c>
      <c r="B30" s="75">
        <f t="shared" si="4"/>
        <v>1102.5</v>
      </c>
      <c r="C30" s="76">
        <f>$B30*(1-'Inputs &amp; Assuptions'!$D$12)</f>
        <v>1078.2449999999999</v>
      </c>
      <c r="E30" s="71">
        <f t="shared" si="3"/>
        <v>25</v>
      </c>
      <c r="F30" s="65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>
        <f>$C30</f>
        <v>1078.2449999999999</v>
      </c>
      <c r="AE30" s="32">
        <f t="array" ref="AE30">IF(COLUMN() - ($E30 + 5) &lt; 0, 0,
  IF(COLUMN() - ($E30 + 5) = 0, $F30,
    AD30 * (1 - IFERROR(INDEX('Inputs &amp; Assuptions'!$D$13:$D$72, COLUMN() - ($E30 + 5)), 0))
  )
)</f>
        <v>1072.8537749999998</v>
      </c>
      <c r="AF30" s="32">
        <f t="array" ref="AF30">IF(COLUMN() - ($E30 + 5) &lt; 0, 0,
  IF(COLUMN() - ($E30 + 5) = 0, $F30,
    AE30 * (1 - IFERROR(INDEX('Inputs &amp; Assuptions'!$D$13:$D$72, COLUMN() - ($E30 + 5)), 0))
  )
)</f>
        <v>1068.7769306549999</v>
      </c>
      <c r="AG30" s="32">
        <f t="array" ref="AG30">IF(COLUMN() - ($E30 + 5) &lt; 0, 0,
  IF(COLUMN() - ($E30 + 5) = 0, $F30,
    AF30 * (1 - IFERROR(INDEX('Inputs &amp; Assuptions'!$D$13:$D$72, COLUMN() - ($E30 + 5)), 0))
  )
)</f>
        <v>1066.1049883283624</v>
      </c>
      <c r="AH30" s="32">
        <f t="array" ref="AH30">IF(COLUMN() - ($E30 + 5) &lt; 0, 0,
  IF(COLUMN() - ($E30 + 5) = 0, $F30,
    AG30 * (1 - IFERROR(INDEX('Inputs &amp; Assuptions'!$D$13:$D$72, COLUMN() - ($E30 + 5)), 0))
  )
)</f>
        <v>1063.6529468552071</v>
      </c>
      <c r="AI30" s="32">
        <f t="array" ref="AI30">IF(COLUMN() - ($E30 + 5) &lt; 0, 0,
  IF(COLUMN() - ($E30 + 5) = 0, $F30,
    AH30 * (1 - IFERROR(INDEX('Inputs &amp; Assuptions'!$D$13:$D$72, COLUMN() - ($E30 + 5)), 0))
  )
)</f>
        <v>1061.5256409614967</v>
      </c>
      <c r="AJ30" s="32">
        <f t="array" ref="AJ30">IF(COLUMN() - ($E30 + 5) &lt; 0, 0,
  IF(COLUMN() - ($E30 + 5) = 0, $F30,
    AI30 * (1 - IFERROR(INDEX('Inputs &amp; Assuptions'!$D$13:$D$72, COLUMN() - ($E30 + 5)), 0))
  )
)</f>
        <v>1059.6148948077659</v>
      </c>
      <c r="AK30" s="32">
        <f t="array" ref="AK30">IF(COLUMN() - ($E30 + 5) &lt; 0, 0,
  IF(COLUMN() - ($E30 + 5) = 0, $F30,
    AJ30 * (1 - IFERROR(INDEX('Inputs &amp; Assuptions'!$D$13:$D$72, COLUMN() - ($E30 + 5)), 0))
  )
)</f>
        <v>1058.0254724655545</v>
      </c>
      <c r="AL30" s="32">
        <f t="array" ref="AL30">IF(COLUMN() - ($E30 + 5) &lt; 0, 0,
  IF(COLUMN() - ($E30 + 5) = 0, $F30,
    AK30 * (1 - IFERROR(INDEX('Inputs &amp; Assuptions'!$D$13:$D$72, COLUMN() - ($E30 + 5)), 0))
  )
)</f>
        <v>1056.6500393513493</v>
      </c>
      <c r="AM30" s="32">
        <f t="array" ref="AM30">IF(COLUMN() - ($E30 + 5) &lt; 0, 0,
  IF(COLUMN() - ($E30 + 5) = 0, $F30,
    AL30 * (1 - IFERROR(INDEX('Inputs &amp; Assuptions'!$D$13:$D$72, COLUMN() - ($E30 + 5)), 0))
  )
)</f>
        <v>1055.593389311998</v>
      </c>
      <c r="AN30" s="32">
        <f t="array" ref="AN30">IF(COLUMN() - ($E30 + 5) &lt; 0, 0,
  IF(COLUMN() - ($E30 + 5) = 0, $F30,
    AM30 * (1 - IFERROR(INDEX('Inputs &amp; Assuptions'!$D$13:$D$72, COLUMN() - ($E30 + 5)), 0))
  )
)</f>
        <v>1054.7489146005482</v>
      </c>
      <c r="AO30" s="32">
        <f t="array" ref="AO30">IF(COLUMN() - ($E30 + 5) &lt; 0, 0,
  IF(COLUMN() - ($E30 + 5) = 0, $F30,
    AN30 * (1 - IFERROR(INDEX('Inputs &amp; Assuptions'!$D$13:$D$72, COLUMN() - ($E30 + 5)), 0))
  )
)</f>
        <v>1054.2215401432479</v>
      </c>
      <c r="AP30" s="32">
        <f t="array" ref="AP30">IF(COLUMN() - ($E30 + 5) &lt; 0, 0,
  IF(COLUMN() - ($E30 + 5) = 0, $F30,
    AO30 * (1 - IFERROR(INDEX('Inputs &amp; Assuptions'!$D$13:$D$72, COLUMN() - ($E30 + 5)), 0))
  )
)</f>
        <v>1053.6944293731763</v>
      </c>
      <c r="AQ30" s="32">
        <f t="array" ref="AQ30">IF(COLUMN() - ($E30 + 5) &lt; 0, 0,
  IF(COLUMN() - ($E30 + 5) = 0, $F30,
    AP30 * (1 - IFERROR(INDEX('Inputs &amp; Assuptions'!$D$13:$D$72, COLUMN() - ($E30 + 5)), 0))
  )
)</f>
        <v>1053.1675821584897</v>
      </c>
      <c r="AR30" s="32">
        <f t="array" ref="AR30">IF(COLUMN() - ($E30 + 5) &lt; 0, 0,
  IF(COLUMN() - ($E30 + 5) = 0, $F30,
    AQ30 * (1 - IFERROR(INDEX('Inputs &amp; Assuptions'!$D$13:$D$72, COLUMN() - ($E30 + 5)), 0))
  )
)</f>
        <v>1052.6409983674105</v>
      </c>
      <c r="AS30" s="32">
        <f t="array" ref="AS30">IF(COLUMN() - ($E30 + 5) &lt; 0, 0,
  IF(COLUMN() - ($E30 + 5) = 0, $F30,
    AR30 * (1 - IFERROR(INDEX('Inputs &amp; Assuptions'!$D$13:$D$72, COLUMN() - ($E30 + 5)), 0))
  )
)</f>
        <v>1052.1146778682269</v>
      </c>
      <c r="AT30" s="32">
        <f t="array" ref="AT30">IF(COLUMN() - ($E30 + 5) &lt; 0, 0,
  IF(COLUMN() - ($E30 + 5) = 0, $F30,
    AS30 * (1 - IFERROR(INDEX('Inputs &amp; Assuptions'!$D$13:$D$72, COLUMN() - ($E30 + 5)), 0))
  )
)</f>
        <v>1051.5886205292927</v>
      </c>
      <c r="AU30" s="32">
        <f t="array" ref="AU30">IF(COLUMN() - ($E30 + 5) &lt; 0, 0,
  IF(COLUMN() - ($E30 + 5) = 0, $F30,
    AT30 * (1 - IFERROR(INDEX('Inputs &amp; Assuptions'!$D$13:$D$72, COLUMN() - ($E30 + 5)), 0))
  )
)</f>
        <v>1051.062826219028</v>
      </c>
      <c r="AV30" s="32">
        <f t="array" ref="AV30">IF(COLUMN() - ($E30 + 5) &lt; 0, 0,
  IF(COLUMN() - ($E30 + 5) = 0, $F30,
    AU30 * (1 - IFERROR(INDEX('Inputs &amp; Assuptions'!$D$13:$D$72, COLUMN() - ($E30 + 5)), 0))
  )
)</f>
        <v>1050.5372948059185</v>
      </c>
      <c r="AW30" s="32">
        <f t="array" ref="AW30">IF(COLUMN() - ($E30 + 5) &lt; 0, 0,
  IF(COLUMN() - ($E30 + 5) = 0, $F30,
    AV30 * (1 - IFERROR(INDEX('Inputs &amp; Assuptions'!$D$13:$D$72, COLUMN() - ($E30 + 5)), 0))
  )
)</f>
        <v>1050.0120261585155</v>
      </c>
      <c r="AX30" s="32">
        <f t="array" ref="AX30">IF(COLUMN() - ($E30 + 5) &lt; 0, 0,
  IF(COLUMN() - ($E30 + 5) = 0, $F30,
    AW30 * (1 - IFERROR(INDEX('Inputs &amp; Assuptions'!$D$13:$D$72, COLUMN() - ($E30 + 5)), 0))
  )
)</f>
        <v>1049.4870201454362</v>
      </c>
      <c r="AY30" s="32">
        <f t="array" ref="AY30">IF(COLUMN() - ($E30 + 5) &lt; 0, 0,
  IF(COLUMN() - ($E30 + 5) = 0, $F30,
    AX30 * (1 - IFERROR(INDEX('Inputs &amp; Assuptions'!$D$13:$D$72, COLUMN() - ($E30 + 5)), 0))
  )
)</f>
        <v>1048.9622766353634</v>
      </c>
      <c r="AZ30" s="32">
        <f t="array" ref="AZ30">IF(COLUMN() - ($E30 + 5) &lt; 0, 0,
  IF(COLUMN() - ($E30 + 5) = 0, $F30,
    AY30 * (1 - IFERROR(INDEX('Inputs &amp; Assuptions'!$D$13:$D$72, COLUMN() - ($E30 + 5)), 0))
  )
)</f>
        <v>1048.4377954970457</v>
      </c>
      <c r="BA30" s="32">
        <f t="array" ref="BA30">IF(COLUMN() - ($E30 + 5) &lt; 0, 0,
  IF(COLUMN() - ($E30 + 5) = 0, $F30,
    AZ30 * (1 - IFERROR(INDEX('Inputs &amp; Assuptions'!$D$13:$D$72, COLUMN() - ($E30 + 5)), 0))
  )
)</f>
        <v>1047.9135765992974</v>
      </c>
      <c r="BB30" s="32">
        <f t="array" ref="BB30">IF(COLUMN() - ($E30 + 5) &lt; 0, 0,
  IF(COLUMN() - ($E30 + 5) = 0, $F30,
    BA30 * (1 - IFERROR(INDEX('Inputs &amp; Assuptions'!$D$13:$D$72, COLUMN() - ($E30 + 5)), 0))
  )
)</f>
        <v>1047.3896198109978</v>
      </c>
      <c r="BC30" s="32">
        <f t="array" ref="BC30">IF(COLUMN() - ($E30 + 5) &lt; 0, 0,
  IF(COLUMN() - ($E30 + 5) = 0, $F30,
    BB30 * (1 - IFERROR(INDEX('Inputs &amp; Assuptions'!$D$13:$D$72, COLUMN() - ($E30 + 5)), 0))
  )
)</f>
        <v>1046.8659250010924</v>
      </c>
      <c r="BD30" s="32">
        <f t="array" ref="BD30">IF(COLUMN() - ($E30 + 5) &lt; 0, 0,
  IF(COLUMN() - ($E30 + 5) = 0, $F30,
    BC30 * (1 - IFERROR(INDEX('Inputs &amp; Assuptions'!$D$13:$D$72, COLUMN() - ($E30 + 5)), 0))
  )
)</f>
        <v>1046.3424920385919</v>
      </c>
      <c r="BE30" s="32">
        <f t="array" ref="BE30">IF(COLUMN() - ($E30 + 5) &lt; 0, 0,
  IF(COLUMN() - ($E30 + 5) = 0, $F30,
    BD30 * (1 - IFERROR(INDEX('Inputs &amp; Assuptions'!$D$13:$D$72, COLUMN() - ($E30 + 5)), 0))
  )
)</f>
        <v>1045.8193207925726</v>
      </c>
      <c r="BF30" s="32">
        <f t="array" ref="BF30">IF(COLUMN() - ($E30 + 5) &lt; 0, 0,
  IF(COLUMN() - ($E30 + 5) = 0, $F30,
    BE30 * (1 - IFERROR(INDEX('Inputs &amp; Assuptions'!$D$13:$D$72, COLUMN() - ($E30 + 5)), 0))
  )
)</f>
        <v>1045.2964111321764</v>
      </c>
      <c r="BG30" s="32">
        <f t="array" ref="BG30">IF(COLUMN() - ($E30 + 5) &lt; 0, 0,
  IF(COLUMN() - ($E30 + 5) = 0, $F30,
    BF30 * (1 - IFERROR(INDEX('Inputs &amp; Assuptions'!$D$13:$D$72, COLUMN() - ($E30 + 5)), 0))
  )
)</f>
        <v>1044.7737629266105</v>
      </c>
      <c r="BH30" s="32">
        <f t="array" ref="BH30">IF(COLUMN() - ($E30 + 5) &lt; 0, 0,
  IF(COLUMN() - ($E30 + 5) = 0, $F30,
    BG30 * (1 - IFERROR(INDEX('Inputs &amp; Assuptions'!$D$13:$D$72, COLUMN() - ($E30 + 5)), 0))
  )
)</f>
        <v>1044.2513760451473</v>
      </c>
      <c r="BI30" s="32">
        <f t="array" ref="BI30">IF(COLUMN() - ($E30 + 5) &lt; 0, 0,
  IF(COLUMN() - ($E30 + 5) = 0, $F30,
    BH30 * (1 - IFERROR(INDEX('Inputs &amp; Assuptions'!$D$13:$D$72, COLUMN() - ($E30 + 5)), 0))
  )
)</f>
        <v>1043.7292503571248</v>
      </c>
      <c r="BJ30" s="32">
        <f t="array" ref="BJ30">IF(COLUMN() - ($E30 + 5) &lt; 0, 0,
  IF(COLUMN() - ($E30 + 5) = 0, $F30,
    BI30 * (1 - IFERROR(INDEX('Inputs &amp; Assuptions'!$D$13:$D$72, COLUMN() - ($E30 + 5)), 0))
  )
)</f>
        <v>1043.2073857319463</v>
      </c>
      <c r="BK30" s="32">
        <f t="array" ref="BK30">IF(COLUMN() - ($E30 + 5) &lt; 0, 0,
  IF(COLUMN() - ($E30 + 5) = 0, $F30,
    BJ30 * (1 - IFERROR(INDEX('Inputs &amp; Assuptions'!$D$13:$D$72, COLUMN() - ($E30 + 5)), 0))
  )
)</f>
        <v>1042.6857820390803</v>
      </c>
      <c r="BL30" s="32">
        <f t="array" ref="BL30">IF(COLUMN() - ($E30 + 5) &lt; 0, 0,
  IF(COLUMN() - ($E30 + 5) = 0, $F30,
    BK30 * (1 - IFERROR(INDEX('Inputs &amp; Assuptions'!$D$13:$D$72, COLUMN() - ($E30 + 5)), 0))
  )
)</f>
        <v>1042.1644391480609</v>
      </c>
      <c r="BM30" s="66">
        <f t="array" ref="BM30">IF(COLUMN() - ($E30 + 5) &lt; 0, 0,
  IF(COLUMN() - ($E30 + 5) = 0, $F30,
    BL30 * (1 - IFERROR(INDEX('Inputs &amp; Assuptions'!$D$13:$D$72, COLUMN() - ($E30 + 5)), 0))
  )
)</f>
        <v>1041.6433569284868</v>
      </c>
      <c r="BN30" s="33"/>
    </row>
    <row r="31" spans="1:66" x14ac:dyDescent="0.3">
      <c r="A31" s="71">
        <f t="shared" si="2"/>
        <v>26</v>
      </c>
      <c r="B31" s="75">
        <f t="shared" si="4"/>
        <v>1102.5</v>
      </c>
      <c r="C31" s="76">
        <f>$B31*(1-'Inputs &amp; Assuptions'!$D$12)</f>
        <v>1078.2449999999999</v>
      </c>
      <c r="E31" s="71">
        <f t="shared" si="3"/>
        <v>26</v>
      </c>
      <c r="F31" s="65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>
        <f>$C31</f>
        <v>1078.2449999999999</v>
      </c>
      <c r="AF31" s="32">
        <f t="array" ref="AF31">IF(COLUMN() - ($E31 + 5) &lt; 0, 0,
  IF(COLUMN() - ($E31 + 5) = 0, $F31,
    AE31 * (1 - IFERROR(INDEX('Inputs &amp; Assuptions'!$D$13:$D$72, COLUMN() - ($E31 + 5)), 0))
  )
)</f>
        <v>1072.8537749999998</v>
      </c>
      <c r="AG31" s="32">
        <f t="array" ref="AG31">IF(COLUMN() - ($E31 + 5) &lt; 0, 0,
  IF(COLUMN() - ($E31 + 5) = 0, $F31,
    AF31 * (1 - IFERROR(INDEX('Inputs &amp; Assuptions'!$D$13:$D$72, COLUMN() - ($E31 + 5)), 0))
  )
)</f>
        <v>1068.7769306549999</v>
      </c>
      <c r="AH31" s="32">
        <f t="array" ref="AH31">IF(COLUMN() - ($E31 + 5) &lt; 0, 0,
  IF(COLUMN() - ($E31 + 5) = 0, $F31,
    AG31 * (1 - IFERROR(INDEX('Inputs &amp; Assuptions'!$D$13:$D$72, COLUMN() - ($E31 + 5)), 0))
  )
)</f>
        <v>1066.1049883283624</v>
      </c>
      <c r="AI31" s="32">
        <f t="array" ref="AI31">IF(COLUMN() - ($E31 + 5) &lt; 0, 0,
  IF(COLUMN() - ($E31 + 5) = 0, $F31,
    AH31 * (1 - IFERROR(INDEX('Inputs &amp; Assuptions'!$D$13:$D$72, COLUMN() - ($E31 + 5)), 0))
  )
)</f>
        <v>1063.6529468552071</v>
      </c>
      <c r="AJ31" s="32">
        <f t="array" ref="AJ31">IF(COLUMN() - ($E31 + 5) &lt; 0, 0,
  IF(COLUMN() - ($E31 + 5) = 0, $F31,
    AI31 * (1 - IFERROR(INDEX('Inputs &amp; Assuptions'!$D$13:$D$72, COLUMN() - ($E31 + 5)), 0))
  )
)</f>
        <v>1061.5256409614967</v>
      </c>
      <c r="AK31" s="32">
        <f t="array" ref="AK31">IF(COLUMN() - ($E31 + 5) &lt; 0, 0,
  IF(COLUMN() - ($E31 + 5) = 0, $F31,
    AJ31 * (1 - IFERROR(INDEX('Inputs &amp; Assuptions'!$D$13:$D$72, COLUMN() - ($E31 + 5)), 0))
  )
)</f>
        <v>1059.6148948077659</v>
      </c>
      <c r="AL31" s="32">
        <f t="array" ref="AL31">IF(COLUMN() - ($E31 + 5) &lt; 0, 0,
  IF(COLUMN() - ($E31 + 5) = 0, $F31,
    AK31 * (1 - IFERROR(INDEX('Inputs &amp; Assuptions'!$D$13:$D$72, COLUMN() - ($E31 + 5)), 0))
  )
)</f>
        <v>1058.0254724655545</v>
      </c>
      <c r="AM31" s="32">
        <f t="array" ref="AM31">IF(COLUMN() - ($E31 + 5) &lt; 0, 0,
  IF(COLUMN() - ($E31 + 5) = 0, $F31,
    AL31 * (1 - IFERROR(INDEX('Inputs &amp; Assuptions'!$D$13:$D$72, COLUMN() - ($E31 + 5)), 0))
  )
)</f>
        <v>1056.6500393513493</v>
      </c>
      <c r="AN31" s="32">
        <f t="array" ref="AN31">IF(COLUMN() - ($E31 + 5) &lt; 0, 0,
  IF(COLUMN() - ($E31 + 5) = 0, $F31,
    AM31 * (1 - IFERROR(INDEX('Inputs &amp; Assuptions'!$D$13:$D$72, COLUMN() - ($E31 + 5)), 0))
  )
)</f>
        <v>1055.593389311998</v>
      </c>
      <c r="AO31" s="32">
        <f t="array" ref="AO31">IF(COLUMN() - ($E31 + 5) &lt; 0, 0,
  IF(COLUMN() - ($E31 + 5) = 0, $F31,
    AN31 * (1 - IFERROR(INDEX('Inputs &amp; Assuptions'!$D$13:$D$72, COLUMN() - ($E31 + 5)), 0))
  )
)</f>
        <v>1054.7489146005482</v>
      </c>
      <c r="AP31" s="32">
        <f t="array" ref="AP31">IF(COLUMN() - ($E31 + 5) &lt; 0, 0,
  IF(COLUMN() - ($E31 + 5) = 0, $F31,
    AO31 * (1 - IFERROR(INDEX('Inputs &amp; Assuptions'!$D$13:$D$72, COLUMN() - ($E31 + 5)), 0))
  )
)</f>
        <v>1054.2215401432479</v>
      </c>
      <c r="AQ31" s="32">
        <f t="array" ref="AQ31">IF(COLUMN() - ($E31 + 5) &lt; 0, 0,
  IF(COLUMN() - ($E31 + 5) = 0, $F31,
    AP31 * (1 - IFERROR(INDEX('Inputs &amp; Assuptions'!$D$13:$D$72, COLUMN() - ($E31 + 5)), 0))
  )
)</f>
        <v>1053.6944293731763</v>
      </c>
      <c r="AR31" s="32">
        <f t="array" ref="AR31">IF(COLUMN() - ($E31 + 5) &lt; 0, 0,
  IF(COLUMN() - ($E31 + 5) = 0, $F31,
    AQ31 * (1 - IFERROR(INDEX('Inputs &amp; Assuptions'!$D$13:$D$72, COLUMN() - ($E31 + 5)), 0))
  )
)</f>
        <v>1053.1675821584897</v>
      </c>
      <c r="AS31" s="32">
        <f t="array" ref="AS31">IF(COLUMN() - ($E31 + 5) &lt; 0, 0,
  IF(COLUMN() - ($E31 + 5) = 0, $F31,
    AR31 * (1 - IFERROR(INDEX('Inputs &amp; Assuptions'!$D$13:$D$72, COLUMN() - ($E31 + 5)), 0))
  )
)</f>
        <v>1052.6409983674105</v>
      </c>
      <c r="AT31" s="32">
        <f t="array" ref="AT31">IF(COLUMN() - ($E31 + 5) &lt; 0, 0,
  IF(COLUMN() - ($E31 + 5) = 0, $F31,
    AS31 * (1 - IFERROR(INDEX('Inputs &amp; Assuptions'!$D$13:$D$72, COLUMN() - ($E31 + 5)), 0))
  )
)</f>
        <v>1052.1146778682269</v>
      </c>
      <c r="AU31" s="32">
        <f t="array" ref="AU31">IF(COLUMN() - ($E31 + 5) &lt; 0, 0,
  IF(COLUMN() - ($E31 + 5) = 0, $F31,
    AT31 * (1 - IFERROR(INDEX('Inputs &amp; Assuptions'!$D$13:$D$72, COLUMN() - ($E31 + 5)), 0))
  )
)</f>
        <v>1051.5886205292927</v>
      </c>
      <c r="AV31" s="32">
        <f t="array" ref="AV31">IF(COLUMN() - ($E31 + 5) &lt; 0, 0,
  IF(COLUMN() - ($E31 + 5) = 0, $F31,
    AU31 * (1 - IFERROR(INDEX('Inputs &amp; Assuptions'!$D$13:$D$72, COLUMN() - ($E31 + 5)), 0))
  )
)</f>
        <v>1051.062826219028</v>
      </c>
      <c r="AW31" s="32">
        <f t="array" ref="AW31">IF(COLUMN() - ($E31 + 5) &lt; 0, 0,
  IF(COLUMN() - ($E31 + 5) = 0, $F31,
    AV31 * (1 - IFERROR(INDEX('Inputs &amp; Assuptions'!$D$13:$D$72, COLUMN() - ($E31 + 5)), 0))
  )
)</f>
        <v>1050.5372948059185</v>
      </c>
      <c r="AX31" s="32">
        <f t="array" ref="AX31">IF(COLUMN() - ($E31 + 5) &lt; 0, 0,
  IF(COLUMN() - ($E31 + 5) = 0, $F31,
    AW31 * (1 - IFERROR(INDEX('Inputs &amp; Assuptions'!$D$13:$D$72, COLUMN() - ($E31 + 5)), 0))
  )
)</f>
        <v>1050.0120261585155</v>
      </c>
      <c r="AY31" s="32">
        <f t="array" ref="AY31">IF(COLUMN() - ($E31 + 5) &lt; 0, 0,
  IF(COLUMN() - ($E31 + 5) = 0, $F31,
    AX31 * (1 - IFERROR(INDEX('Inputs &amp; Assuptions'!$D$13:$D$72, COLUMN() - ($E31 + 5)), 0))
  )
)</f>
        <v>1049.4870201454362</v>
      </c>
      <c r="AZ31" s="32">
        <f t="array" ref="AZ31">IF(COLUMN() - ($E31 + 5) &lt; 0, 0,
  IF(COLUMN() - ($E31 + 5) = 0, $F31,
    AY31 * (1 - IFERROR(INDEX('Inputs &amp; Assuptions'!$D$13:$D$72, COLUMN() - ($E31 + 5)), 0))
  )
)</f>
        <v>1048.9622766353634</v>
      </c>
      <c r="BA31" s="32">
        <f t="array" ref="BA31">IF(COLUMN() - ($E31 + 5) &lt; 0, 0,
  IF(COLUMN() - ($E31 + 5) = 0, $F31,
    AZ31 * (1 - IFERROR(INDEX('Inputs &amp; Assuptions'!$D$13:$D$72, COLUMN() - ($E31 + 5)), 0))
  )
)</f>
        <v>1048.4377954970457</v>
      </c>
      <c r="BB31" s="32">
        <f t="array" ref="BB31">IF(COLUMN() - ($E31 + 5) &lt; 0, 0,
  IF(COLUMN() - ($E31 + 5) = 0, $F31,
    BA31 * (1 - IFERROR(INDEX('Inputs &amp; Assuptions'!$D$13:$D$72, COLUMN() - ($E31 + 5)), 0))
  )
)</f>
        <v>1047.9135765992974</v>
      </c>
      <c r="BC31" s="32">
        <f t="array" ref="BC31">IF(COLUMN() - ($E31 + 5) &lt; 0, 0,
  IF(COLUMN() - ($E31 + 5) = 0, $F31,
    BB31 * (1 - IFERROR(INDEX('Inputs &amp; Assuptions'!$D$13:$D$72, COLUMN() - ($E31 + 5)), 0))
  )
)</f>
        <v>1047.3896198109978</v>
      </c>
      <c r="BD31" s="32">
        <f t="array" ref="BD31">IF(COLUMN() - ($E31 + 5) &lt; 0, 0,
  IF(COLUMN() - ($E31 + 5) = 0, $F31,
    BC31 * (1 - IFERROR(INDEX('Inputs &amp; Assuptions'!$D$13:$D$72, COLUMN() - ($E31 + 5)), 0))
  )
)</f>
        <v>1046.8659250010924</v>
      </c>
      <c r="BE31" s="32">
        <f t="array" ref="BE31">IF(COLUMN() - ($E31 + 5) &lt; 0, 0,
  IF(COLUMN() - ($E31 + 5) = 0, $F31,
    BD31 * (1 - IFERROR(INDEX('Inputs &amp; Assuptions'!$D$13:$D$72, COLUMN() - ($E31 + 5)), 0))
  )
)</f>
        <v>1046.3424920385919</v>
      </c>
      <c r="BF31" s="32">
        <f t="array" ref="BF31">IF(COLUMN() - ($E31 + 5) &lt; 0, 0,
  IF(COLUMN() - ($E31 + 5) = 0, $F31,
    BE31 * (1 - IFERROR(INDEX('Inputs &amp; Assuptions'!$D$13:$D$72, COLUMN() - ($E31 + 5)), 0))
  )
)</f>
        <v>1045.8193207925726</v>
      </c>
      <c r="BG31" s="32">
        <f t="array" ref="BG31">IF(COLUMN() - ($E31 + 5) &lt; 0, 0,
  IF(COLUMN() - ($E31 + 5) = 0, $F31,
    BF31 * (1 - IFERROR(INDEX('Inputs &amp; Assuptions'!$D$13:$D$72, COLUMN() - ($E31 + 5)), 0))
  )
)</f>
        <v>1045.2964111321764</v>
      </c>
      <c r="BH31" s="32">
        <f t="array" ref="BH31">IF(COLUMN() - ($E31 + 5) &lt; 0, 0,
  IF(COLUMN() - ($E31 + 5) = 0, $F31,
    BG31 * (1 - IFERROR(INDEX('Inputs &amp; Assuptions'!$D$13:$D$72, COLUMN() - ($E31 + 5)), 0))
  )
)</f>
        <v>1044.7737629266105</v>
      </c>
      <c r="BI31" s="32">
        <f t="array" ref="BI31">IF(COLUMN() - ($E31 + 5) &lt; 0, 0,
  IF(COLUMN() - ($E31 + 5) = 0, $F31,
    BH31 * (1 - IFERROR(INDEX('Inputs &amp; Assuptions'!$D$13:$D$72, COLUMN() - ($E31 + 5)), 0))
  )
)</f>
        <v>1044.2513760451473</v>
      </c>
      <c r="BJ31" s="32">
        <f t="array" ref="BJ31">IF(COLUMN() - ($E31 + 5) &lt; 0, 0,
  IF(COLUMN() - ($E31 + 5) = 0, $F31,
    BI31 * (1 - IFERROR(INDEX('Inputs &amp; Assuptions'!$D$13:$D$72, COLUMN() - ($E31 + 5)), 0))
  )
)</f>
        <v>1043.7292503571248</v>
      </c>
      <c r="BK31" s="32">
        <f t="array" ref="BK31">IF(COLUMN() - ($E31 + 5) &lt; 0, 0,
  IF(COLUMN() - ($E31 + 5) = 0, $F31,
    BJ31 * (1 - IFERROR(INDEX('Inputs &amp; Assuptions'!$D$13:$D$72, COLUMN() - ($E31 + 5)), 0))
  )
)</f>
        <v>1043.2073857319463</v>
      </c>
      <c r="BL31" s="32">
        <f t="array" ref="BL31">IF(COLUMN() - ($E31 + 5) &lt; 0, 0,
  IF(COLUMN() - ($E31 + 5) = 0, $F31,
    BK31 * (1 - IFERROR(INDEX('Inputs &amp; Assuptions'!$D$13:$D$72, COLUMN() - ($E31 + 5)), 0))
  )
)</f>
        <v>1042.6857820390803</v>
      </c>
      <c r="BM31" s="66">
        <f t="array" ref="BM31">IF(COLUMN() - ($E31 + 5) &lt; 0, 0,
  IF(COLUMN() - ($E31 + 5) = 0, $F31,
    BL31 * (1 - IFERROR(INDEX('Inputs &amp; Assuptions'!$D$13:$D$72, COLUMN() - ($E31 + 5)), 0))
  )
)</f>
        <v>1042.1644391480609</v>
      </c>
      <c r="BN31" s="33"/>
    </row>
    <row r="32" spans="1:66" x14ac:dyDescent="0.3">
      <c r="A32" s="71">
        <f t="shared" si="2"/>
        <v>27</v>
      </c>
      <c r="B32" s="75">
        <f t="shared" si="4"/>
        <v>1102.5</v>
      </c>
      <c r="C32" s="76">
        <f>$B32*(1-'Inputs &amp; Assuptions'!$D$12)</f>
        <v>1078.2449999999999</v>
      </c>
      <c r="E32" s="71">
        <f t="shared" si="3"/>
        <v>27</v>
      </c>
      <c r="F32" s="65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>
        <f>$C32</f>
        <v>1078.2449999999999</v>
      </c>
      <c r="AG32" s="32">
        <f t="array" ref="AG32">IF(COLUMN() - ($E32 + 5) &lt; 0, 0,
  IF(COLUMN() - ($E32 + 5) = 0, $F32,
    AF32 * (1 - IFERROR(INDEX('Inputs &amp; Assuptions'!$D$13:$D$72, COLUMN() - ($E32 + 5)), 0))
  )
)</f>
        <v>1072.8537749999998</v>
      </c>
      <c r="AH32" s="32">
        <f t="array" ref="AH32">IF(COLUMN() - ($E32 + 5) &lt; 0, 0,
  IF(COLUMN() - ($E32 + 5) = 0, $F32,
    AG32 * (1 - IFERROR(INDEX('Inputs &amp; Assuptions'!$D$13:$D$72, COLUMN() - ($E32 + 5)), 0))
  )
)</f>
        <v>1068.7769306549999</v>
      </c>
      <c r="AI32" s="32">
        <f t="array" ref="AI32">IF(COLUMN() - ($E32 + 5) &lt; 0, 0,
  IF(COLUMN() - ($E32 + 5) = 0, $F32,
    AH32 * (1 - IFERROR(INDEX('Inputs &amp; Assuptions'!$D$13:$D$72, COLUMN() - ($E32 + 5)), 0))
  )
)</f>
        <v>1066.1049883283624</v>
      </c>
      <c r="AJ32" s="32">
        <f t="array" ref="AJ32">IF(COLUMN() - ($E32 + 5) &lt; 0, 0,
  IF(COLUMN() - ($E32 + 5) = 0, $F32,
    AI32 * (1 - IFERROR(INDEX('Inputs &amp; Assuptions'!$D$13:$D$72, COLUMN() - ($E32 + 5)), 0))
  )
)</f>
        <v>1063.6529468552071</v>
      </c>
      <c r="AK32" s="32">
        <f t="array" ref="AK32">IF(COLUMN() - ($E32 + 5) &lt; 0, 0,
  IF(COLUMN() - ($E32 + 5) = 0, $F32,
    AJ32 * (1 - IFERROR(INDEX('Inputs &amp; Assuptions'!$D$13:$D$72, COLUMN() - ($E32 + 5)), 0))
  )
)</f>
        <v>1061.5256409614967</v>
      </c>
      <c r="AL32" s="32">
        <f t="array" ref="AL32">IF(COLUMN() - ($E32 + 5) &lt; 0, 0,
  IF(COLUMN() - ($E32 + 5) = 0, $F32,
    AK32 * (1 - IFERROR(INDEX('Inputs &amp; Assuptions'!$D$13:$D$72, COLUMN() - ($E32 + 5)), 0))
  )
)</f>
        <v>1059.6148948077659</v>
      </c>
      <c r="AM32" s="32">
        <f t="array" ref="AM32">IF(COLUMN() - ($E32 + 5) &lt; 0, 0,
  IF(COLUMN() - ($E32 + 5) = 0, $F32,
    AL32 * (1 - IFERROR(INDEX('Inputs &amp; Assuptions'!$D$13:$D$72, COLUMN() - ($E32 + 5)), 0))
  )
)</f>
        <v>1058.0254724655545</v>
      </c>
      <c r="AN32" s="32">
        <f t="array" ref="AN32">IF(COLUMN() - ($E32 + 5) &lt; 0, 0,
  IF(COLUMN() - ($E32 + 5) = 0, $F32,
    AM32 * (1 - IFERROR(INDEX('Inputs &amp; Assuptions'!$D$13:$D$72, COLUMN() - ($E32 + 5)), 0))
  )
)</f>
        <v>1056.6500393513493</v>
      </c>
      <c r="AO32" s="32">
        <f t="array" ref="AO32">IF(COLUMN() - ($E32 + 5) &lt; 0, 0,
  IF(COLUMN() - ($E32 + 5) = 0, $F32,
    AN32 * (1 - IFERROR(INDEX('Inputs &amp; Assuptions'!$D$13:$D$72, COLUMN() - ($E32 + 5)), 0))
  )
)</f>
        <v>1055.593389311998</v>
      </c>
      <c r="AP32" s="32">
        <f t="array" ref="AP32">IF(COLUMN() - ($E32 + 5) &lt; 0, 0,
  IF(COLUMN() - ($E32 + 5) = 0, $F32,
    AO32 * (1 - IFERROR(INDEX('Inputs &amp; Assuptions'!$D$13:$D$72, COLUMN() - ($E32 + 5)), 0))
  )
)</f>
        <v>1054.7489146005482</v>
      </c>
      <c r="AQ32" s="32">
        <f t="array" ref="AQ32">IF(COLUMN() - ($E32 + 5) &lt; 0, 0,
  IF(COLUMN() - ($E32 + 5) = 0, $F32,
    AP32 * (1 - IFERROR(INDEX('Inputs &amp; Assuptions'!$D$13:$D$72, COLUMN() - ($E32 + 5)), 0))
  )
)</f>
        <v>1054.2215401432479</v>
      </c>
      <c r="AR32" s="32">
        <f t="array" ref="AR32">IF(COLUMN() - ($E32 + 5) &lt; 0, 0,
  IF(COLUMN() - ($E32 + 5) = 0, $F32,
    AQ32 * (1 - IFERROR(INDEX('Inputs &amp; Assuptions'!$D$13:$D$72, COLUMN() - ($E32 + 5)), 0))
  )
)</f>
        <v>1053.6944293731763</v>
      </c>
      <c r="AS32" s="32">
        <f t="array" ref="AS32">IF(COLUMN() - ($E32 + 5) &lt; 0, 0,
  IF(COLUMN() - ($E32 + 5) = 0, $F32,
    AR32 * (1 - IFERROR(INDEX('Inputs &amp; Assuptions'!$D$13:$D$72, COLUMN() - ($E32 + 5)), 0))
  )
)</f>
        <v>1053.1675821584897</v>
      </c>
      <c r="AT32" s="32">
        <f t="array" ref="AT32">IF(COLUMN() - ($E32 + 5) &lt; 0, 0,
  IF(COLUMN() - ($E32 + 5) = 0, $F32,
    AS32 * (1 - IFERROR(INDEX('Inputs &amp; Assuptions'!$D$13:$D$72, COLUMN() - ($E32 + 5)), 0))
  )
)</f>
        <v>1052.6409983674105</v>
      </c>
      <c r="AU32" s="32">
        <f t="array" ref="AU32">IF(COLUMN() - ($E32 + 5) &lt; 0, 0,
  IF(COLUMN() - ($E32 + 5) = 0, $F32,
    AT32 * (1 - IFERROR(INDEX('Inputs &amp; Assuptions'!$D$13:$D$72, COLUMN() - ($E32 + 5)), 0))
  )
)</f>
        <v>1052.1146778682269</v>
      </c>
      <c r="AV32" s="32">
        <f t="array" ref="AV32">IF(COLUMN() - ($E32 + 5) &lt; 0, 0,
  IF(COLUMN() - ($E32 + 5) = 0, $F32,
    AU32 * (1 - IFERROR(INDEX('Inputs &amp; Assuptions'!$D$13:$D$72, COLUMN() - ($E32 + 5)), 0))
  )
)</f>
        <v>1051.5886205292927</v>
      </c>
      <c r="AW32" s="32">
        <f t="array" ref="AW32">IF(COLUMN() - ($E32 + 5) &lt; 0, 0,
  IF(COLUMN() - ($E32 + 5) = 0, $F32,
    AV32 * (1 - IFERROR(INDEX('Inputs &amp; Assuptions'!$D$13:$D$72, COLUMN() - ($E32 + 5)), 0))
  )
)</f>
        <v>1051.062826219028</v>
      </c>
      <c r="AX32" s="32">
        <f t="array" ref="AX32">IF(COLUMN() - ($E32 + 5) &lt; 0, 0,
  IF(COLUMN() - ($E32 + 5) = 0, $F32,
    AW32 * (1 - IFERROR(INDEX('Inputs &amp; Assuptions'!$D$13:$D$72, COLUMN() - ($E32 + 5)), 0))
  )
)</f>
        <v>1050.5372948059185</v>
      </c>
      <c r="AY32" s="32">
        <f t="array" ref="AY32">IF(COLUMN() - ($E32 + 5) &lt; 0, 0,
  IF(COLUMN() - ($E32 + 5) = 0, $F32,
    AX32 * (1 - IFERROR(INDEX('Inputs &amp; Assuptions'!$D$13:$D$72, COLUMN() - ($E32 + 5)), 0))
  )
)</f>
        <v>1050.0120261585155</v>
      </c>
      <c r="AZ32" s="32">
        <f t="array" ref="AZ32">IF(COLUMN() - ($E32 + 5) &lt; 0, 0,
  IF(COLUMN() - ($E32 + 5) = 0, $F32,
    AY32 * (1 - IFERROR(INDEX('Inputs &amp; Assuptions'!$D$13:$D$72, COLUMN() - ($E32 + 5)), 0))
  )
)</f>
        <v>1049.4870201454362</v>
      </c>
      <c r="BA32" s="32">
        <f t="array" ref="BA32">IF(COLUMN() - ($E32 + 5) &lt; 0, 0,
  IF(COLUMN() - ($E32 + 5) = 0, $F32,
    AZ32 * (1 - IFERROR(INDEX('Inputs &amp; Assuptions'!$D$13:$D$72, COLUMN() - ($E32 + 5)), 0))
  )
)</f>
        <v>1048.9622766353634</v>
      </c>
      <c r="BB32" s="32">
        <f t="array" ref="BB32">IF(COLUMN() - ($E32 + 5) &lt; 0, 0,
  IF(COLUMN() - ($E32 + 5) = 0, $F32,
    BA32 * (1 - IFERROR(INDEX('Inputs &amp; Assuptions'!$D$13:$D$72, COLUMN() - ($E32 + 5)), 0))
  )
)</f>
        <v>1048.4377954970457</v>
      </c>
      <c r="BC32" s="32">
        <f t="array" ref="BC32">IF(COLUMN() - ($E32 + 5) &lt; 0, 0,
  IF(COLUMN() - ($E32 + 5) = 0, $F32,
    BB32 * (1 - IFERROR(INDEX('Inputs &amp; Assuptions'!$D$13:$D$72, COLUMN() - ($E32 + 5)), 0))
  )
)</f>
        <v>1047.9135765992974</v>
      </c>
      <c r="BD32" s="32">
        <f t="array" ref="BD32">IF(COLUMN() - ($E32 + 5) &lt; 0, 0,
  IF(COLUMN() - ($E32 + 5) = 0, $F32,
    BC32 * (1 - IFERROR(INDEX('Inputs &amp; Assuptions'!$D$13:$D$72, COLUMN() - ($E32 + 5)), 0))
  )
)</f>
        <v>1047.3896198109978</v>
      </c>
      <c r="BE32" s="32">
        <f t="array" ref="BE32">IF(COLUMN() - ($E32 + 5) &lt; 0, 0,
  IF(COLUMN() - ($E32 + 5) = 0, $F32,
    BD32 * (1 - IFERROR(INDEX('Inputs &amp; Assuptions'!$D$13:$D$72, COLUMN() - ($E32 + 5)), 0))
  )
)</f>
        <v>1046.8659250010924</v>
      </c>
      <c r="BF32" s="32">
        <f t="array" ref="BF32">IF(COLUMN() - ($E32 + 5) &lt; 0, 0,
  IF(COLUMN() - ($E32 + 5) = 0, $F32,
    BE32 * (1 - IFERROR(INDEX('Inputs &amp; Assuptions'!$D$13:$D$72, COLUMN() - ($E32 + 5)), 0))
  )
)</f>
        <v>1046.3424920385919</v>
      </c>
      <c r="BG32" s="32">
        <f t="array" ref="BG32">IF(COLUMN() - ($E32 + 5) &lt; 0, 0,
  IF(COLUMN() - ($E32 + 5) = 0, $F32,
    BF32 * (1 - IFERROR(INDEX('Inputs &amp; Assuptions'!$D$13:$D$72, COLUMN() - ($E32 + 5)), 0))
  )
)</f>
        <v>1045.8193207925726</v>
      </c>
      <c r="BH32" s="32">
        <f t="array" ref="BH32">IF(COLUMN() - ($E32 + 5) &lt; 0, 0,
  IF(COLUMN() - ($E32 + 5) = 0, $F32,
    BG32 * (1 - IFERROR(INDEX('Inputs &amp; Assuptions'!$D$13:$D$72, COLUMN() - ($E32 + 5)), 0))
  )
)</f>
        <v>1045.2964111321764</v>
      </c>
      <c r="BI32" s="32">
        <f t="array" ref="BI32">IF(COLUMN() - ($E32 + 5) &lt; 0, 0,
  IF(COLUMN() - ($E32 + 5) = 0, $F32,
    BH32 * (1 - IFERROR(INDEX('Inputs &amp; Assuptions'!$D$13:$D$72, COLUMN() - ($E32 + 5)), 0))
  )
)</f>
        <v>1044.7737629266105</v>
      </c>
      <c r="BJ32" s="32">
        <f t="array" ref="BJ32">IF(COLUMN() - ($E32 + 5) &lt; 0, 0,
  IF(COLUMN() - ($E32 + 5) = 0, $F32,
    BI32 * (1 - IFERROR(INDEX('Inputs &amp; Assuptions'!$D$13:$D$72, COLUMN() - ($E32 + 5)), 0))
  )
)</f>
        <v>1044.2513760451473</v>
      </c>
      <c r="BK32" s="32">
        <f t="array" ref="BK32">IF(COLUMN() - ($E32 + 5) &lt; 0, 0,
  IF(COLUMN() - ($E32 + 5) = 0, $F32,
    BJ32 * (1 - IFERROR(INDEX('Inputs &amp; Assuptions'!$D$13:$D$72, COLUMN() - ($E32 + 5)), 0))
  )
)</f>
        <v>1043.7292503571248</v>
      </c>
      <c r="BL32" s="32">
        <f t="array" ref="BL32">IF(COLUMN() - ($E32 + 5) &lt; 0, 0,
  IF(COLUMN() - ($E32 + 5) = 0, $F32,
    BK32 * (1 - IFERROR(INDEX('Inputs &amp; Assuptions'!$D$13:$D$72, COLUMN() - ($E32 + 5)), 0))
  )
)</f>
        <v>1043.2073857319463</v>
      </c>
      <c r="BM32" s="66">
        <f t="array" ref="BM32">IF(COLUMN() - ($E32 + 5) &lt; 0, 0,
  IF(COLUMN() - ($E32 + 5) = 0, $F32,
    BL32 * (1 - IFERROR(INDEX('Inputs &amp; Assuptions'!$D$13:$D$72, COLUMN() - ($E32 + 5)), 0))
  )
)</f>
        <v>1042.6857820390803</v>
      </c>
      <c r="BN32" s="33"/>
    </row>
    <row r="33" spans="1:66" x14ac:dyDescent="0.3">
      <c r="A33" s="71">
        <f t="shared" si="2"/>
        <v>28</v>
      </c>
      <c r="B33" s="75">
        <f t="shared" si="4"/>
        <v>1102.5</v>
      </c>
      <c r="C33" s="76">
        <f>$B33*(1-'Inputs &amp; Assuptions'!$D$12)</f>
        <v>1078.2449999999999</v>
      </c>
      <c r="E33" s="71">
        <f t="shared" si="3"/>
        <v>28</v>
      </c>
      <c r="F33" s="65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>
        <f>$C33</f>
        <v>1078.2449999999999</v>
      </c>
      <c r="AH33" s="32">
        <f t="array" ref="AH33">IF(COLUMN() - ($E33 + 5) &lt; 0, 0,
  IF(COLUMN() - ($E33 + 5) = 0, $F33,
    AG33 * (1 - IFERROR(INDEX('Inputs &amp; Assuptions'!$D$13:$D$72, COLUMN() - ($E33 + 5)), 0))
  )
)</f>
        <v>1072.8537749999998</v>
      </c>
      <c r="AI33" s="32">
        <f t="array" ref="AI33">IF(COLUMN() - ($E33 + 5) &lt; 0, 0,
  IF(COLUMN() - ($E33 + 5) = 0, $F33,
    AH33 * (1 - IFERROR(INDEX('Inputs &amp; Assuptions'!$D$13:$D$72, COLUMN() - ($E33 + 5)), 0))
  )
)</f>
        <v>1068.7769306549999</v>
      </c>
      <c r="AJ33" s="32">
        <f t="array" ref="AJ33">IF(COLUMN() - ($E33 + 5) &lt; 0, 0,
  IF(COLUMN() - ($E33 + 5) = 0, $F33,
    AI33 * (1 - IFERROR(INDEX('Inputs &amp; Assuptions'!$D$13:$D$72, COLUMN() - ($E33 + 5)), 0))
  )
)</f>
        <v>1066.1049883283624</v>
      </c>
      <c r="AK33" s="32">
        <f t="array" ref="AK33">IF(COLUMN() - ($E33 + 5) &lt; 0, 0,
  IF(COLUMN() - ($E33 + 5) = 0, $F33,
    AJ33 * (1 - IFERROR(INDEX('Inputs &amp; Assuptions'!$D$13:$D$72, COLUMN() - ($E33 + 5)), 0))
  )
)</f>
        <v>1063.6529468552071</v>
      </c>
      <c r="AL33" s="32">
        <f t="array" ref="AL33">IF(COLUMN() - ($E33 + 5) &lt; 0, 0,
  IF(COLUMN() - ($E33 + 5) = 0, $F33,
    AK33 * (1 - IFERROR(INDEX('Inputs &amp; Assuptions'!$D$13:$D$72, COLUMN() - ($E33 + 5)), 0))
  )
)</f>
        <v>1061.5256409614967</v>
      </c>
      <c r="AM33" s="32">
        <f t="array" ref="AM33">IF(COLUMN() - ($E33 + 5) &lt; 0, 0,
  IF(COLUMN() - ($E33 + 5) = 0, $F33,
    AL33 * (1 - IFERROR(INDEX('Inputs &amp; Assuptions'!$D$13:$D$72, COLUMN() - ($E33 + 5)), 0))
  )
)</f>
        <v>1059.6148948077659</v>
      </c>
      <c r="AN33" s="32">
        <f t="array" ref="AN33">IF(COLUMN() - ($E33 + 5) &lt; 0, 0,
  IF(COLUMN() - ($E33 + 5) = 0, $F33,
    AM33 * (1 - IFERROR(INDEX('Inputs &amp; Assuptions'!$D$13:$D$72, COLUMN() - ($E33 + 5)), 0))
  )
)</f>
        <v>1058.0254724655545</v>
      </c>
      <c r="AO33" s="32">
        <f t="array" ref="AO33">IF(COLUMN() - ($E33 + 5) &lt; 0, 0,
  IF(COLUMN() - ($E33 + 5) = 0, $F33,
    AN33 * (1 - IFERROR(INDEX('Inputs &amp; Assuptions'!$D$13:$D$72, COLUMN() - ($E33 + 5)), 0))
  )
)</f>
        <v>1056.6500393513493</v>
      </c>
      <c r="AP33" s="32">
        <f t="array" ref="AP33">IF(COLUMN() - ($E33 + 5) &lt; 0, 0,
  IF(COLUMN() - ($E33 + 5) = 0, $F33,
    AO33 * (1 - IFERROR(INDEX('Inputs &amp; Assuptions'!$D$13:$D$72, COLUMN() - ($E33 + 5)), 0))
  )
)</f>
        <v>1055.593389311998</v>
      </c>
      <c r="AQ33" s="32">
        <f t="array" ref="AQ33">IF(COLUMN() - ($E33 + 5) &lt; 0, 0,
  IF(COLUMN() - ($E33 + 5) = 0, $F33,
    AP33 * (1 - IFERROR(INDEX('Inputs &amp; Assuptions'!$D$13:$D$72, COLUMN() - ($E33 + 5)), 0))
  )
)</f>
        <v>1054.7489146005482</v>
      </c>
      <c r="AR33" s="32">
        <f t="array" ref="AR33">IF(COLUMN() - ($E33 + 5) &lt; 0, 0,
  IF(COLUMN() - ($E33 + 5) = 0, $F33,
    AQ33 * (1 - IFERROR(INDEX('Inputs &amp; Assuptions'!$D$13:$D$72, COLUMN() - ($E33 + 5)), 0))
  )
)</f>
        <v>1054.2215401432479</v>
      </c>
      <c r="AS33" s="32">
        <f t="array" ref="AS33">IF(COLUMN() - ($E33 + 5) &lt; 0, 0,
  IF(COLUMN() - ($E33 + 5) = 0, $F33,
    AR33 * (1 - IFERROR(INDEX('Inputs &amp; Assuptions'!$D$13:$D$72, COLUMN() - ($E33 + 5)), 0))
  )
)</f>
        <v>1053.6944293731763</v>
      </c>
      <c r="AT33" s="32">
        <f t="array" ref="AT33">IF(COLUMN() - ($E33 + 5) &lt; 0, 0,
  IF(COLUMN() - ($E33 + 5) = 0, $F33,
    AS33 * (1 - IFERROR(INDEX('Inputs &amp; Assuptions'!$D$13:$D$72, COLUMN() - ($E33 + 5)), 0))
  )
)</f>
        <v>1053.1675821584897</v>
      </c>
      <c r="AU33" s="32">
        <f t="array" ref="AU33">IF(COLUMN() - ($E33 + 5) &lt; 0, 0,
  IF(COLUMN() - ($E33 + 5) = 0, $F33,
    AT33 * (1 - IFERROR(INDEX('Inputs &amp; Assuptions'!$D$13:$D$72, COLUMN() - ($E33 + 5)), 0))
  )
)</f>
        <v>1052.6409983674105</v>
      </c>
      <c r="AV33" s="32">
        <f t="array" ref="AV33">IF(COLUMN() - ($E33 + 5) &lt; 0, 0,
  IF(COLUMN() - ($E33 + 5) = 0, $F33,
    AU33 * (1 - IFERROR(INDEX('Inputs &amp; Assuptions'!$D$13:$D$72, COLUMN() - ($E33 + 5)), 0))
  )
)</f>
        <v>1052.1146778682269</v>
      </c>
      <c r="AW33" s="32">
        <f t="array" ref="AW33">IF(COLUMN() - ($E33 + 5) &lt; 0, 0,
  IF(COLUMN() - ($E33 + 5) = 0, $F33,
    AV33 * (1 - IFERROR(INDEX('Inputs &amp; Assuptions'!$D$13:$D$72, COLUMN() - ($E33 + 5)), 0))
  )
)</f>
        <v>1051.5886205292927</v>
      </c>
      <c r="AX33" s="32">
        <f t="array" ref="AX33">IF(COLUMN() - ($E33 + 5) &lt; 0, 0,
  IF(COLUMN() - ($E33 + 5) = 0, $F33,
    AW33 * (1 - IFERROR(INDEX('Inputs &amp; Assuptions'!$D$13:$D$72, COLUMN() - ($E33 + 5)), 0))
  )
)</f>
        <v>1051.062826219028</v>
      </c>
      <c r="AY33" s="32">
        <f t="array" ref="AY33">IF(COLUMN() - ($E33 + 5) &lt; 0, 0,
  IF(COLUMN() - ($E33 + 5) = 0, $F33,
    AX33 * (1 - IFERROR(INDEX('Inputs &amp; Assuptions'!$D$13:$D$72, COLUMN() - ($E33 + 5)), 0))
  )
)</f>
        <v>1050.5372948059185</v>
      </c>
      <c r="AZ33" s="32">
        <f t="array" ref="AZ33">IF(COLUMN() - ($E33 + 5) &lt; 0, 0,
  IF(COLUMN() - ($E33 + 5) = 0, $F33,
    AY33 * (1 - IFERROR(INDEX('Inputs &amp; Assuptions'!$D$13:$D$72, COLUMN() - ($E33 + 5)), 0))
  )
)</f>
        <v>1050.0120261585155</v>
      </c>
      <c r="BA33" s="32">
        <f t="array" ref="BA33">IF(COLUMN() - ($E33 + 5) &lt; 0, 0,
  IF(COLUMN() - ($E33 + 5) = 0, $F33,
    AZ33 * (1 - IFERROR(INDEX('Inputs &amp; Assuptions'!$D$13:$D$72, COLUMN() - ($E33 + 5)), 0))
  )
)</f>
        <v>1049.4870201454362</v>
      </c>
      <c r="BB33" s="32">
        <f t="array" ref="BB33">IF(COLUMN() - ($E33 + 5) &lt; 0, 0,
  IF(COLUMN() - ($E33 + 5) = 0, $F33,
    BA33 * (1 - IFERROR(INDEX('Inputs &amp; Assuptions'!$D$13:$D$72, COLUMN() - ($E33 + 5)), 0))
  )
)</f>
        <v>1048.9622766353634</v>
      </c>
      <c r="BC33" s="32">
        <f t="array" ref="BC33">IF(COLUMN() - ($E33 + 5) &lt; 0, 0,
  IF(COLUMN() - ($E33 + 5) = 0, $F33,
    BB33 * (1 - IFERROR(INDEX('Inputs &amp; Assuptions'!$D$13:$D$72, COLUMN() - ($E33 + 5)), 0))
  )
)</f>
        <v>1048.4377954970457</v>
      </c>
      <c r="BD33" s="32">
        <f t="array" ref="BD33">IF(COLUMN() - ($E33 + 5) &lt; 0, 0,
  IF(COLUMN() - ($E33 + 5) = 0, $F33,
    BC33 * (1 - IFERROR(INDEX('Inputs &amp; Assuptions'!$D$13:$D$72, COLUMN() - ($E33 + 5)), 0))
  )
)</f>
        <v>1047.9135765992974</v>
      </c>
      <c r="BE33" s="32">
        <f t="array" ref="BE33">IF(COLUMN() - ($E33 + 5) &lt; 0, 0,
  IF(COLUMN() - ($E33 + 5) = 0, $F33,
    BD33 * (1 - IFERROR(INDEX('Inputs &amp; Assuptions'!$D$13:$D$72, COLUMN() - ($E33 + 5)), 0))
  )
)</f>
        <v>1047.3896198109978</v>
      </c>
      <c r="BF33" s="32">
        <f t="array" ref="BF33">IF(COLUMN() - ($E33 + 5) &lt; 0, 0,
  IF(COLUMN() - ($E33 + 5) = 0, $F33,
    BE33 * (1 - IFERROR(INDEX('Inputs &amp; Assuptions'!$D$13:$D$72, COLUMN() - ($E33 + 5)), 0))
  )
)</f>
        <v>1046.8659250010924</v>
      </c>
      <c r="BG33" s="32">
        <f t="array" ref="BG33">IF(COLUMN() - ($E33 + 5) &lt; 0, 0,
  IF(COLUMN() - ($E33 + 5) = 0, $F33,
    BF33 * (1 - IFERROR(INDEX('Inputs &amp; Assuptions'!$D$13:$D$72, COLUMN() - ($E33 + 5)), 0))
  )
)</f>
        <v>1046.3424920385919</v>
      </c>
      <c r="BH33" s="32">
        <f t="array" ref="BH33">IF(COLUMN() - ($E33 + 5) &lt; 0, 0,
  IF(COLUMN() - ($E33 + 5) = 0, $F33,
    BG33 * (1 - IFERROR(INDEX('Inputs &amp; Assuptions'!$D$13:$D$72, COLUMN() - ($E33 + 5)), 0))
  )
)</f>
        <v>1045.8193207925726</v>
      </c>
      <c r="BI33" s="32">
        <f t="array" ref="BI33">IF(COLUMN() - ($E33 + 5) &lt; 0, 0,
  IF(COLUMN() - ($E33 + 5) = 0, $F33,
    BH33 * (1 - IFERROR(INDEX('Inputs &amp; Assuptions'!$D$13:$D$72, COLUMN() - ($E33 + 5)), 0))
  )
)</f>
        <v>1045.2964111321764</v>
      </c>
      <c r="BJ33" s="32">
        <f t="array" ref="BJ33">IF(COLUMN() - ($E33 + 5) &lt; 0, 0,
  IF(COLUMN() - ($E33 + 5) = 0, $F33,
    BI33 * (1 - IFERROR(INDEX('Inputs &amp; Assuptions'!$D$13:$D$72, COLUMN() - ($E33 + 5)), 0))
  )
)</f>
        <v>1044.7737629266105</v>
      </c>
      <c r="BK33" s="32">
        <f t="array" ref="BK33">IF(COLUMN() - ($E33 + 5) &lt; 0, 0,
  IF(COLUMN() - ($E33 + 5) = 0, $F33,
    BJ33 * (1 - IFERROR(INDEX('Inputs &amp; Assuptions'!$D$13:$D$72, COLUMN() - ($E33 + 5)), 0))
  )
)</f>
        <v>1044.2513760451473</v>
      </c>
      <c r="BL33" s="32">
        <f t="array" ref="BL33">IF(COLUMN() - ($E33 + 5) &lt; 0, 0,
  IF(COLUMN() - ($E33 + 5) = 0, $F33,
    BK33 * (1 - IFERROR(INDEX('Inputs &amp; Assuptions'!$D$13:$D$72, COLUMN() - ($E33 + 5)), 0))
  )
)</f>
        <v>1043.7292503571248</v>
      </c>
      <c r="BM33" s="66">
        <f t="array" ref="BM33">IF(COLUMN() - ($E33 + 5) &lt; 0, 0,
  IF(COLUMN() - ($E33 + 5) = 0, $F33,
    BL33 * (1 - IFERROR(INDEX('Inputs &amp; Assuptions'!$D$13:$D$72, COLUMN() - ($E33 + 5)), 0))
  )
)</f>
        <v>1043.2073857319463</v>
      </c>
      <c r="BN33" s="33"/>
    </row>
    <row r="34" spans="1:66" x14ac:dyDescent="0.3">
      <c r="A34" s="71">
        <f t="shared" si="2"/>
        <v>29</v>
      </c>
      <c r="B34" s="75">
        <f t="shared" si="4"/>
        <v>1102.5</v>
      </c>
      <c r="C34" s="76">
        <f>$B34*(1-'Inputs &amp; Assuptions'!$D$12)</f>
        <v>1078.2449999999999</v>
      </c>
      <c r="E34" s="71">
        <f t="shared" si="3"/>
        <v>29</v>
      </c>
      <c r="F34" s="65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>
        <f>$C34</f>
        <v>1078.2449999999999</v>
      </c>
      <c r="AI34" s="32">
        <f t="array" ref="AI34">IF(COLUMN() - ($E34 + 5) &lt; 0, 0,
  IF(COLUMN() - ($E34 + 5) = 0, $F34,
    AH34 * (1 - IFERROR(INDEX('Inputs &amp; Assuptions'!$D$13:$D$72, COLUMN() - ($E34 + 5)), 0))
  )
)</f>
        <v>1072.8537749999998</v>
      </c>
      <c r="AJ34" s="32">
        <f t="array" ref="AJ34">IF(COLUMN() - ($E34 + 5) &lt; 0, 0,
  IF(COLUMN() - ($E34 + 5) = 0, $F34,
    AI34 * (1 - IFERROR(INDEX('Inputs &amp; Assuptions'!$D$13:$D$72, COLUMN() - ($E34 + 5)), 0))
  )
)</f>
        <v>1068.7769306549999</v>
      </c>
      <c r="AK34" s="32">
        <f t="array" ref="AK34">IF(COLUMN() - ($E34 + 5) &lt; 0, 0,
  IF(COLUMN() - ($E34 + 5) = 0, $F34,
    AJ34 * (1 - IFERROR(INDEX('Inputs &amp; Assuptions'!$D$13:$D$72, COLUMN() - ($E34 + 5)), 0))
  )
)</f>
        <v>1066.1049883283624</v>
      </c>
      <c r="AL34" s="32">
        <f t="array" ref="AL34">IF(COLUMN() - ($E34 + 5) &lt; 0, 0,
  IF(COLUMN() - ($E34 + 5) = 0, $F34,
    AK34 * (1 - IFERROR(INDEX('Inputs &amp; Assuptions'!$D$13:$D$72, COLUMN() - ($E34 + 5)), 0))
  )
)</f>
        <v>1063.6529468552071</v>
      </c>
      <c r="AM34" s="32">
        <f t="array" ref="AM34">IF(COLUMN() - ($E34 + 5) &lt; 0, 0,
  IF(COLUMN() - ($E34 + 5) = 0, $F34,
    AL34 * (1 - IFERROR(INDEX('Inputs &amp; Assuptions'!$D$13:$D$72, COLUMN() - ($E34 + 5)), 0))
  )
)</f>
        <v>1061.5256409614967</v>
      </c>
      <c r="AN34" s="32">
        <f t="array" ref="AN34">IF(COLUMN() - ($E34 + 5) &lt; 0, 0,
  IF(COLUMN() - ($E34 + 5) = 0, $F34,
    AM34 * (1 - IFERROR(INDEX('Inputs &amp; Assuptions'!$D$13:$D$72, COLUMN() - ($E34 + 5)), 0))
  )
)</f>
        <v>1059.6148948077659</v>
      </c>
      <c r="AO34" s="32">
        <f t="array" ref="AO34">IF(COLUMN() - ($E34 + 5) &lt; 0, 0,
  IF(COLUMN() - ($E34 + 5) = 0, $F34,
    AN34 * (1 - IFERROR(INDEX('Inputs &amp; Assuptions'!$D$13:$D$72, COLUMN() - ($E34 + 5)), 0))
  )
)</f>
        <v>1058.0254724655545</v>
      </c>
      <c r="AP34" s="32">
        <f t="array" ref="AP34">IF(COLUMN() - ($E34 + 5) &lt; 0, 0,
  IF(COLUMN() - ($E34 + 5) = 0, $F34,
    AO34 * (1 - IFERROR(INDEX('Inputs &amp; Assuptions'!$D$13:$D$72, COLUMN() - ($E34 + 5)), 0))
  )
)</f>
        <v>1056.6500393513493</v>
      </c>
      <c r="AQ34" s="32">
        <f t="array" ref="AQ34">IF(COLUMN() - ($E34 + 5) &lt; 0, 0,
  IF(COLUMN() - ($E34 + 5) = 0, $F34,
    AP34 * (1 - IFERROR(INDEX('Inputs &amp; Assuptions'!$D$13:$D$72, COLUMN() - ($E34 + 5)), 0))
  )
)</f>
        <v>1055.593389311998</v>
      </c>
      <c r="AR34" s="32">
        <f t="array" ref="AR34">IF(COLUMN() - ($E34 + 5) &lt; 0, 0,
  IF(COLUMN() - ($E34 + 5) = 0, $F34,
    AQ34 * (1 - IFERROR(INDEX('Inputs &amp; Assuptions'!$D$13:$D$72, COLUMN() - ($E34 + 5)), 0))
  )
)</f>
        <v>1054.7489146005482</v>
      </c>
      <c r="AS34" s="32">
        <f t="array" ref="AS34">IF(COLUMN() - ($E34 + 5) &lt; 0, 0,
  IF(COLUMN() - ($E34 + 5) = 0, $F34,
    AR34 * (1 - IFERROR(INDEX('Inputs &amp; Assuptions'!$D$13:$D$72, COLUMN() - ($E34 + 5)), 0))
  )
)</f>
        <v>1054.2215401432479</v>
      </c>
      <c r="AT34" s="32">
        <f t="array" ref="AT34">IF(COLUMN() - ($E34 + 5) &lt; 0, 0,
  IF(COLUMN() - ($E34 + 5) = 0, $F34,
    AS34 * (1 - IFERROR(INDEX('Inputs &amp; Assuptions'!$D$13:$D$72, COLUMN() - ($E34 + 5)), 0))
  )
)</f>
        <v>1053.6944293731763</v>
      </c>
      <c r="AU34" s="32">
        <f t="array" ref="AU34">IF(COLUMN() - ($E34 + 5) &lt; 0, 0,
  IF(COLUMN() - ($E34 + 5) = 0, $F34,
    AT34 * (1 - IFERROR(INDEX('Inputs &amp; Assuptions'!$D$13:$D$72, COLUMN() - ($E34 + 5)), 0))
  )
)</f>
        <v>1053.1675821584897</v>
      </c>
      <c r="AV34" s="32">
        <f t="array" ref="AV34">IF(COLUMN() - ($E34 + 5) &lt; 0, 0,
  IF(COLUMN() - ($E34 + 5) = 0, $F34,
    AU34 * (1 - IFERROR(INDEX('Inputs &amp; Assuptions'!$D$13:$D$72, COLUMN() - ($E34 + 5)), 0))
  )
)</f>
        <v>1052.6409983674105</v>
      </c>
      <c r="AW34" s="32">
        <f t="array" ref="AW34">IF(COLUMN() - ($E34 + 5) &lt; 0, 0,
  IF(COLUMN() - ($E34 + 5) = 0, $F34,
    AV34 * (1 - IFERROR(INDEX('Inputs &amp; Assuptions'!$D$13:$D$72, COLUMN() - ($E34 + 5)), 0))
  )
)</f>
        <v>1052.1146778682269</v>
      </c>
      <c r="AX34" s="32">
        <f t="array" ref="AX34">IF(COLUMN() - ($E34 + 5) &lt; 0, 0,
  IF(COLUMN() - ($E34 + 5) = 0, $F34,
    AW34 * (1 - IFERROR(INDEX('Inputs &amp; Assuptions'!$D$13:$D$72, COLUMN() - ($E34 + 5)), 0))
  )
)</f>
        <v>1051.5886205292927</v>
      </c>
      <c r="AY34" s="32">
        <f t="array" ref="AY34">IF(COLUMN() - ($E34 + 5) &lt; 0, 0,
  IF(COLUMN() - ($E34 + 5) = 0, $F34,
    AX34 * (1 - IFERROR(INDEX('Inputs &amp; Assuptions'!$D$13:$D$72, COLUMN() - ($E34 + 5)), 0))
  )
)</f>
        <v>1051.062826219028</v>
      </c>
      <c r="AZ34" s="32">
        <f t="array" ref="AZ34">IF(COLUMN() - ($E34 + 5) &lt; 0, 0,
  IF(COLUMN() - ($E34 + 5) = 0, $F34,
    AY34 * (1 - IFERROR(INDEX('Inputs &amp; Assuptions'!$D$13:$D$72, COLUMN() - ($E34 + 5)), 0))
  )
)</f>
        <v>1050.5372948059185</v>
      </c>
      <c r="BA34" s="32">
        <f t="array" ref="BA34">IF(COLUMN() - ($E34 + 5) &lt; 0, 0,
  IF(COLUMN() - ($E34 + 5) = 0, $F34,
    AZ34 * (1 - IFERROR(INDEX('Inputs &amp; Assuptions'!$D$13:$D$72, COLUMN() - ($E34 + 5)), 0))
  )
)</f>
        <v>1050.0120261585155</v>
      </c>
      <c r="BB34" s="32">
        <f t="array" ref="BB34">IF(COLUMN() - ($E34 + 5) &lt; 0, 0,
  IF(COLUMN() - ($E34 + 5) = 0, $F34,
    BA34 * (1 - IFERROR(INDEX('Inputs &amp; Assuptions'!$D$13:$D$72, COLUMN() - ($E34 + 5)), 0))
  )
)</f>
        <v>1049.4870201454362</v>
      </c>
      <c r="BC34" s="32">
        <f t="array" ref="BC34">IF(COLUMN() - ($E34 + 5) &lt; 0, 0,
  IF(COLUMN() - ($E34 + 5) = 0, $F34,
    BB34 * (1 - IFERROR(INDEX('Inputs &amp; Assuptions'!$D$13:$D$72, COLUMN() - ($E34 + 5)), 0))
  )
)</f>
        <v>1048.9622766353634</v>
      </c>
      <c r="BD34" s="32">
        <f t="array" ref="BD34">IF(COLUMN() - ($E34 + 5) &lt; 0, 0,
  IF(COLUMN() - ($E34 + 5) = 0, $F34,
    BC34 * (1 - IFERROR(INDEX('Inputs &amp; Assuptions'!$D$13:$D$72, COLUMN() - ($E34 + 5)), 0))
  )
)</f>
        <v>1048.4377954970457</v>
      </c>
      <c r="BE34" s="32">
        <f t="array" ref="BE34">IF(COLUMN() - ($E34 + 5) &lt; 0, 0,
  IF(COLUMN() - ($E34 + 5) = 0, $F34,
    BD34 * (1 - IFERROR(INDEX('Inputs &amp; Assuptions'!$D$13:$D$72, COLUMN() - ($E34 + 5)), 0))
  )
)</f>
        <v>1047.9135765992974</v>
      </c>
      <c r="BF34" s="32">
        <f t="array" ref="BF34">IF(COLUMN() - ($E34 + 5) &lt; 0, 0,
  IF(COLUMN() - ($E34 + 5) = 0, $F34,
    BE34 * (1 - IFERROR(INDEX('Inputs &amp; Assuptions'!$D$13:$D$72, COLUMN() - ($E34 + 5)), 0))
  )
)</f>
        <v>1047.3896198109978</v>
      </c>
      <c r="BG34" s="32">
        <f t="array" ref="BG34">IF(COLUMN() - ($E34 + 5) &lt; 0, 0,
  IF(COLUMN() - ($E34 + 5) = 0, $F34,
    BF34 * (1 - IFERROR(INDEX('Inputs &amp; Assuptions'!$D$13:$D$72, COLUMN() - ($E34 + 5)), 0))
  )
)</f>
        <v>1046.8659250010924</v>
      </c>
      <c r="BH34" s="32">
        <f t="array" ref="BH34">IF(COLUMN() - ($E34 + 5) &lt; 0, 0,
  IF(COLUMN() - ($E34 + 5) = 0, $F34,
    BG34 * (1 - IFERROR(INDEX('Inputs &amp; Assuptions'!$D$13:$D$72, COLUMN() - ($E34 + 5)), 0))
  )
)</f>
        <v>1046.3424920385919</v>
      </c>
      <c r="BI34" s="32">
        <f t="array" ref="BI34">IF(COLUMN() - ($E34 + 5) &lt; 0, 0,
  IF(COLUMN() - ($E34 + 5) = 0, $F34,
    BH34 * (1 - IFERROR(INDEX('Inputs &amp; Assuptions'!$D$13:$D$72, COLUMN() - ($E34 + 5)), 0))
  )
)</f>
        <v>1045.8193207925726</v>
      </c>
      <c r="BJ34" s="32">
        <f t="array" ref="BJ34">IF(COLUMN() - ($E34 + 5) &lt; 0, 0,
  IF(COLUMN() - ($E34 + 5) = 0, $F34,
    BI34 * (1 - IFERROR(INDEX('Inputs &amp; Assuptions'!$D$13:$D$72, COLUMN() - ($E34 + 5)), 0))
  )
)</f>
        <v>1045.2964111321764</v>
      </c>
      <c r="BK34" s="32">
        <f t="array" ref="BK34">IF(COLUMN() - ($E34 + 5) &lt; 0, 0,
  IF(COLUMN() - ($E34 + 5) = 0, $F34,
    BJ34 * (1 - IFERROR(INDEX('Inputs &amp; Assuptions'!$D$13:$D$72, COLUMN() - ($E34 + 5)), 0))
  )
)</f>
        <v>1044.7737629266105</v>
      </c>
      <c r="BL34" s="32">
        <f t="array" ref="BL34">IF(COLUMN() - ($E34 + 5) &lt; 0, 0,
  IF(COLUMN() - ($E34 + 5) = 0, $F34,
    BK34 * (1 - IFERROR(INDEX('Inputs &amp; Assuptions'!$D$13:$D$72, COLUMN() - ($E34 + 5)), 0))
  )
)</f>
        <v>1044.2513760451473</v>
      </c>
      <c r="BM34" s="66">
        <f t="array" ref="BM34">IF(COLUMN() - ($E34 + 5) &lt; 0, 0,
  IF(COLUMN() - ($E34 + 5) = 0, $F34,
    BL34 * (1 - IFERROR(INDEX('Inputs &amp; Assuptions'!$D$13:$D$72, COLUMN() - ($E34 + 5)), 0))
  )
)</f>
        <v>1043.7292503571248</v>
      </c>
      <c r="BN34" s="33"/>
    </row>
    <row r="35" spans="1:66" x14ac:dyDescent="0.3">
      <c r="A35" s="71">
        <f t="shared" si="2"/>
        <v>30</v>
      </c>
      <c r="B35" s="75">
        <f t="shared" si="4"/>
        <v>1102.5</v>
      </c>
      <c r="C35" s="76">
        <f>$B35*(1-'Inputs &amp; Assuptions'!$D$12)</f>
        <v>1078.2449999999999</v>
      </c>
      <c r="E35" s="71">
        <f t="shared" si="3"/>
        <v>30</v>
      </c>
      <c r="F35" s="65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>
        <f>$C35</f>
        <v>1078.2449999999999</v>
      </c>
      <c r="AJ35" s="32">
        <f t="array" ref="AJ35">IF(COLUMN() - ($E35 + 5) &lt; 0, 0,
  IF(COLUMN() - ($E35 + 5) = 0, $F35,
    AI35 * (1 - IFERROR(INDEX('Inputs &amp; Assuptions'!$D$13:$D$72, COLUMN() - ($E35 + 5)), 0))
  )
)</f>
        <v>1072.8537749999998</v>
      </c>
      <c r="AK35" s="32">
        <f t="array" ref="AK35">IF(COLUMN() - ($E35 + 5) &lt; 0, 0,
  IF(COLUMN() - ($E35 + 5) = 0, $F35,
    AJ35 * (1 - IFERROR(INDEX('Inputs &amp; Assuptions'!$D$13:$D$72, COLUMN() - ($E35 + 5)), 0))
  )
)</f>
        <v>1068.7769306549999</v>
      </c>
      <c r="AL35" s="32">
        <f t="array" ref="AL35">IF(COLUMN() - ($E35 + 5) &lt; 0, 0,
  IF(COLUMN() - ($E35 + 5) = 0, $F35,
    AK35 * (1 - IFERROR(INDEX('Inputs &amp; Assuptions'!$D$13:$D$72, COLUMN() - ($E35 + 5)), 0))
  )
)</f>
        <v>1066.1049883283624</v>
      </c>
      <c r="AM35" s="32">
        <f t="array" ref="AM35">IF(COLUMN() - ($E35 + 5) &lt; 0, 0,
  IF(COLUMN() - ($E35 + 5) = 0, $F35,
    AL35 * (1 - IFERROR(INDEX('Inputs &amp; Assuptions'!$D$13:$D$72, COLUMN() - ($E35 + 5)), 0))
  )
)</f>
        <v>1063.6529468552071</v>
      </c>
      <c r="AN35" s="32">
        <f t="array" ref="AN35">IF(COLUMN() - ($E35 + 5) &lt; 0, 0,
  IF(COLUMN() - ($E35 + 5) = 0, $F35,
    AM35 * (1 - IFERROR(INDEX('Inputs &amp; Assuptions'!$D$13:$D$72, COLUMN() - ($E35 + 5)), 0))
  )
)</f>
        <v>1061.5256409614967</v>
      </c>
      <c r="AO35" s="32">
        <f t="array" ref="AO35">IF(COLUMN() - ($E35 + 5) &lt; 0, 0,
  IF(COLUMN() - ($E35 + 5) = 0, $F35,
    AN35 * (1 - IFERROR(INDEX('Inputs &amp; Assuptions'!$D$13:$D$72, COLUMN() - ($E35 + 5)), 0))
  )
)</f>
        <v>1059.6148948077659</v>
      </c>
      <c r="AP35" s="32">
        <f t="array" ref="AP35">IF(COLUMN() - ($E35 + 5) &lt; 0, 0,
  IF(COLUMN() - ($E35 + 5) = 0, $F35,
    AO35 * (1 - IFERROR(INDEX('Inputs &amp; Assuptions'!$D$13:$D$72, COLUMN() - ($E35 + 5)), 0))
  )
)</f>
        <v>1058.0254724655545</v>
      </c>
      <c r="AQ35" s="32">
        <f t="array" ref="AQ35">IF(COLUMN() - ($E35 + 5) &lt; 0, 0,
  IF(COLUMN() - ($E35 + 5) = 0, $F35,
    AP35 * (1 - IFERROR(INDEX('Inputs &amp; Assuptions'!$D$13:$D$72, COLUMN() - ($E35 + 5)), 0))
  )
)</f>
        <v>1056.6500393513493</v>
      </c>
      <c r="AR35" s="32">
        <f t="array" ref="AR35">IF(COLUMN() - ($E35 + 5) &lt; 0, 0,
  IF(COLUMN() - ($E35 + 5) = 0, $F35,
    AQ35 * (1 - IFERROR(INDEX('Inputs &amp; Assuptions'!$D$13:$D$72, COLUMN() - ($E35 + 5)), 0))
  )
)</f>
        <v>1055.593389311998</v>
      </c>
      <c r="AS35" s="32">
        <f t="array" ref="AS35">IF(COLUMN() - ($E35 + 5) &lt; 0, 0,
  IF(COLUMN() - ($E35 + 5) = 0, $F35,
    AR35 * (1 - IFERROR(INDEX('Inputs &amp; Assuptions'!$D$13:$D$72, COLUMN() - ($E35 + 5)), 0))
  )
)</f>
        <v>1054.7489146005482</v>
      </c>
      <c r="AT35" s="32">
        <f t="array" ref="AT35">IF(COLUMN() - ($E35 + 5) &lt; 0, 0,
  IF(COLUMN() - ($E35 + 5) = 0, $F35,
    AS35 * (1 - IFERROR(INDEX('Inputs &amp; Assuptions'!$D$13:$D$72, COLUMN() - ($E35 + 5)), 0))
  )
)</f>
        <v>1054.2215401432479</v>
      </c>
      <c r="AU35" s="32">
        <f t="array" ref="AU35">IF(COLUMN() - ($E35 + 5) &lt; 0, 0,
  IF(COLUMN() - ($E35 + 5) = 0, $F35,
    AT35 * (1 - IFERROR(INDEX('Inputs &amp; Assuptions'!$D$13:$D$72, COLUMN() - ($E35 + 5)), 0))
  )
)</f>
        <v>1053.6944293731763</v>
      </c>
      <c r="AV35" s="32">
        <f t="array" ref="AV35">IF(COLUMN() - ($E35 + 5) &lt; 0, 0,
  IF(COLUMN() - ($E35 + 5) = 0, $F35,
    AU35 * (1 - IFERROR(INDEX('Inputs &amp; Assuptions'!$D$13:$D$72, COLUMN() - ($E35 + 5)), 0))
  )
)</f>
        <v>1053.1675821584897</v>
      </c>
      <c r="AW35" s="32">
        <f t="array" ref="AW35">IF(COLUMN() - ($E35 + 5) &lt; 0, 0,
  IF(COLUMN() - ($E35 + 5) = 0, $F35,
    AV35 * (1 - IFERROR(INDEX('Inputs &amp; Assuptions'!$D$13:$D$72, COLUMN() - ($E35 + 5)), 0))
  )
)</f>
        <v>1052.6409983674105</v>
      </c>
      <c r="AX35" s="32">
        <f t="array" ref="AX35">IF(COLUMN() - ($E35 + 5) &lt; 0, 0,
  IF(COLUMN() - ($E35 + 5) = 0, $F35,
    AW35 * (1 - IFERROR(INDEX('Inputs &amp; Assuptions'!$D$13:$D$72, COLUMN() - ($E35 + 5)), 0))
  )
)</f>
        <v>1052.1146778682269</v>
      </c>
      <c r="AY35" s="32">
        <f t="array" ref="AY35">IF(COLUMN() - ($E35 + 5) &lt; 0, 0,
  IF(COLUMN() - ($E35 + 5) = 0, $F35,
    AX35 * (1 - IFERROR(INDEX('Inputs &amp; Assuptions'!$D$13:$D$72, COLUMN() - ($E35 + 5)), 0))
  )
)</f>
        <v>1051.5886205292927</v>
      </c>
      <c r="AZ35" s="32">
        <f t="array" ref="AZ35">IF(COLUMN() - ($E35 + 5) &lt; 0, 0,
  IF(COLUMN() - ($E35 + 5) = 0, $F35,
    AY35 * (1 - IFERROR(INDEX('Inputs &amp; Assuptions'!$D$13:$D$72, COLUMN() - ($E35 + 5)), 0))
  )
)</f>
        <v>1051.062826219028</v>
      </c>
      <c r="BA35" s="32">
        <f t="array" ref="BA35">IF(COLUMN() - ($E35 + 5) &lt; 0, 0,
  IF(COLUMN() - ($E35 + 5) = 0, $F35,
    AZ35 * (1 - IFERROR(INDEX('Inputs &amp; Assuptions'!$D$13:$D$72, COLUMN() - ($E35 + 5)), 0))
  )
)</f>
        <v>1050.5372948059185</v>
      </c>
      <c r="BB35" s="32">
        <f t="array" ref="BB35">IF(COLUMN() - ($E35 + 5) &lt; 0, 0,
  IF(COLUMN() - ($E35 + 5) = 0, $F35,
    BA35 * (1 - IFERROR(INDEX('Inputs &amp; Assuptions'!$D$13:$D$72, COLUMN() - ($E35 + 5)), 0))
  )
)</f>
        <v>1050.0120261585155</v>
      </c>
      <c r="BC35" s="32">
        <f t="array" ref="BC35">IF(COLUMN() - ($E35 + 5) &lt; 0, 0,
  IF(COLUMN() - ($E35 + 5) = 0, $F35,
    BB35 * (1 - IFERROR(INDEX('Inputs &amp; Assuptions'!$D$13:$D$72, COLUMN() - ($E35 + 5)), 0))
  )
)</f>
        <v>1049.4870201454362</v>
      </c>
      <c r="BD35" s="32">
        <f t="array" ref="BD35">IF(COLUMN() - ($E35 + 5) &lt; 0, 0,
  IF(COLUMN() - ($E35 + 5) = 0, $F35,
    BC35 * (1 - IFERROR(INDEX('Inputs &amp; Assuptions'!$D$13:$D$72, COLUMN() - ($E35 + 5)), 0))
  )
)</f>
        <v>1048.9622766353634</v>
      </c>
      <c r="BE35" s="32">
        <f t="array" ref="BE35">IF(COLUMN() - ($E35 + 5) &lt; 0, 0,
  IF(COLUMN() - ($E35 + 5) = 0, $F35,
    BD35 * (1 - IFERROR(INDEX('Inputs &amp; Assuptions'!$D$13:$D$72, COLUMN() - ($E35 + 5)), 0))
  )
)</f>
        <v>1048.4377954970457</v>
      </c>
      <c r="BF35" s="32">
        <f t="array" ref="BF35">IF(COLUMN() - ($E35 + 5) &lt; 0, 0,
  IF(COLUMN() - ($E35 + 5) = 0, $F35,
    BE35 * (1 - IFERROR(INDEX('Inputs &amp; Assuptions'!$D$13:$D$72, COLUMN() - ($E35 + 5)), 0))
  )
)</f>
        <v>1047.9135765992974</v>
      </c>
      <c r="BG35" s="32">
        <f t="array" ref="BG35">IF(COLUMN() - ($E35 + 5) &lt; 0, 0,
  IF(COLUMN() - ($E35 + 5) = 0, $F35,
    BF35 * (1 - IFERROR(INDEX('Inputs &amp; Assuptions'!$D$13:$D$72, COLUMN() - ($E35 + 5)), 0))
  )
)</f>
        <v>1047.3896198109978</v>
      </c>
      <c r="BH35" s="32">
        <f t="array" ref="BH35">IF(COLUMN() - ($E35 + 5) &lt; 0, 0,
  IF(COLUMN() - ($E35 + 5) = 0, $F35,
    BG35 * (1 - IFERROR(INDEX('Inputs &amp; Assuptions'!$D$13:$D$72, COLUMN() - ($E35 + 5)), 0))
  )
)</f>
        <v>1046.8659250010924</v>
      </c>
      <c r="BI35" s="32">
        <f t="array" ref="BI35">IF(COLUMN() - ($E35 + 5) &lt; 0, 0,
  IF(COLUMN() - ($E35 + 5) = 0, $F35,
    BH35 * (1 - IFERROR(INDEX('Inputs &amp; Assuptions'!$D$13:$D$72, COLUMN() - ($E35 + 5)), 0))
  )
)</f>
        <v>1046.3424920385919</v>
      </c>
      <c r="BJ35" s="32">
        <f t="array" ref="BJ35">IF(COLUMN() - ($E35 + 5) &lt; 0, 0,
  IF(COLUMN() - ($E35 + 5) = 0, $F35,
    BI35 * (1 - IFERROR(INDEX('Inputs &amp; Assuptions'!$D$13:$D$72, COLUMN() - ($E35 + 5)), 0))
  )
)</f>
        <v>1045.8193207925726</v>
      </c>
      <c r="BK35" s="32">
        <f t="array" ref="BK35">IF(COLUMN() - ($E35 + 5) &lt; 0, 0,
  IF(COLUMN() - ($E35 + 5) = 0, $F35,
    BJ35 * (1 - IFERROR(INDEX('Inputs &amp; Assuptions'!$D$13:$D$72, COLUMN() - ($E35 + 5)), 0))
  )
)</f>
        <v>1045.2964111321764</v>
      </c>
      <c r="BL35" s="32">
        <f t="array" ref="BL35">IF(COLUMN() - ($E35 + 5) &lt; 0, 0,
  IF(COLUMN() - ($E35 + 5) = 0, $F35,
    BK35 * (1 - IFERROR(INDEX('Inputs &amp; Assuptions'!$D$13:$D$72, COLUMN() - ($E35 + 5)), 0))
  )
)</f>
        <v>1044.7737629266105</v>
      </c>
      <c r="BM35" s="66">
        <f t="array" ref="BM35">IF(COLUMN() - ($E35 + 5) &lt; 0, 0,
  IF(COLUMN() - ($E35 + 5) = 0, $F35,
    BL35 * (1 - IFERROR(INDEX('Inputs &amp; Assuptions'!$D$13:$D$72, COLUMN() - ($E35 + 5)), 0))
  )
)</f>
        <v>1044.2513760451473</v>
      </c>
      <c r="BN35" s="33"/>
    </row>
    <row r="36" spans="1:66" x14ac:dyDescent="0.3">
      <c r="A36" s="71">
        <f t="shared" si="2"/>
        <v>31</v>
      </c>
      <c r="B36" s="75">
        <f t="shared" si="4"/>
        <v>1102.5</v>
      </c>
      <c r="C36" s="76">
        <f>$B36*(1-'Inputs &amp; Assuptions'!$D$12)</f>
        <v>1078.2449999999999</v>
      </c>
      <c r="E36" s="71">
        <f t="shared" si="3"/>
        <v>31</v>
      </c>
      <c r="F36" s="65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>
        <f>$C36</f>
        <v>1078.2449999999999</v>
      </c>
      <c r="AK36" s="32">
        <f t="array" ref="AK36">IF(COLUMN() - ($E36 + 5) &lt; 0, 0,
  IF(COLUMN() - ($E36 + 5) = 0, $F36,
    AJ36 * (1 - IFERROR(INDEX('Inputs &amp; Assuptions'!$D$13:$D$72, COLUMN() - ($E36 + 5)), 0))
  )
)</f>
        <v>1072.8537749999998</v>
      </c>
      <c r="AL36" s="32">
        <f t="array" ref="AL36">IF(COLUMN() - ($E36 + 5) &lt; 0, 0,
  IF(COLUMN() - ($E36 + 5) = 0, $F36,
    AK36 * (1 - IFERROR(INDEX('Inputs &amp; Assuptions'!$D$13:$D$72, COLUMN() - ($E36 + 5)), 0))
  )
)</f>
        <v>1068.7769306549999</v>
      </c>
      <c r="AM36" s="32">
        <f t="array" ref="AM36">IF(COLUMN() - ($E36 + 5) &lt; 0, 0,
  IF(COLUMN() - ($E36 + 5) = 0, $F36,
    AL36 * (1 - IFERROR(INDEX('Inputs &amp; Assuptions'!$D$13:$D$72, COLUMN() - ($E36 + 5)), 0))
  )
)</f>
        <v>1066.1049883283624</v>
      </c>
      <c r="AN36" s="32">
        <f t="array" ref="AN36">IF(COLUMN() - ($E36 + 5) &lt; 0, 0,
  IF(COLUMN() - ($E36 + 5) = 0, $F36,
    AM36 * (1 - IFERROR(INDEX('Inputs &amp; Assuptions'!$D$13:$D$72, COLUMN() - ($E36 + 5)), 0))
  )
)</f>
        <v>1063.6529468552071</v>
      </c>
      <c r="AO36" s="32">
        <f t="array" ref="AO36">IF(COLUMN() - ($E36 + 5) &lt; 0, 0,
  IF(COLUMN() - ($E36 + 5) = 0, $F36,
    AN36 * (1 - IFERROR(INDEX('Inputs &amp; Assuptions'!$D$13:$D$72, COLUMN() - ($E36 + 5)), 0))
  )
)</f>
        <v>1061.5256409614967</v>
      </c>
      <c r="AP36" s="32">
        <f t="array" ref="AP36">IF(COLUMN() - ($E36 + 5) &lt; 0, 0,
  IF(COLUMN() - ($E36 + 5) = 0, $F36,
    AO36 * (1 - IFERROR(INDEX('Inputs &amp; Assuptions'!$D$13:$D$72, COLUMN() - ($E36 + 5)), 0))
  )
)</f>
        <v>1059.6148948077659</v>
      </c>
      <c r="AQ36" s="32">
        <f t="array" ref="AQ36">IF(COLUMN() - ($E36 + 5) &lt; 0, 0,
  IF(COLUMN() - ($E36 + 5) = 0, $F36,
    AP36 * (1 - IFERROR(INDEX('Inputs &amp; Assuptions'!$D$13:$D$72, COLUMN() - ($E36 + 5)), 0))
  )
)</f>
        <v>1058.0254724655545</v>
      </c>
      <c r="AR36" s="32">
        <f t="array" ref="AR36">IF(COLUMN() - ($E36 + 5) &lt; 0, 0,
  IF(COLUMN() - ($E36 + 5) = 0, $F36,
    AQ36 * (1 - IFERROR(INDEX('Inputs &amp; Assuptions'!$D$13:$D$72, COLUMN() - ($E36 + 5)), 0))
  )
)</f>
        <v>1056.6500393513493</v>
      </c>
      <c r="AS36" s="32">
        <f t="array" ref="AS36">IF(COLUMN() - ($E36 + 5) &lt; 0, 0,
  IF(COLUMN() - ($E36 + 5) = 0, $F36,
    AR36 * (1 - IFERROR(INDEX('Inputs &amp; Assuptions'!$D$13:$D$72, COLUMN() - ($E36 + 5)), 0))
  )
)</f>
        <v>1055.593389311998</v>
      </c>
      <c r="AT36" s="32">
        <f t="array" ref="AT36">IF(COLUMN() - ($E36 + 5) &lt; 0, 0,
  IF(COLUMN() - ($E36 + 5) = 0, $F36,
    AS36 * (1 - IFERROR(INDEX('Inputs &amp; Assuptions'!$D$13:$D$72, COLUMN() - ($E36 + 5)), 0))
  )
)</f>
        <v>1054.7489146005482</v>
      </c>
      <c r="AU36" s="32">
        <f t="array" ref="AU36">IF(COLUMN() - ($E36 + 5) &lt; 0, 0,
  IF(COLUMN() - ($E36 + 5) = 0, $F36,
    AT36 * (1 - IFERROR(INDEX('Inputs &amp; Assuptions'!$D$13:$D$72, COLUMN() - ($E36 + 5)), 0))
  )
)</f>
        <v>1054.2215401432479</v>
      </c>
      <c r="AV36" s="32">
        <f t="array" ref="AV36">IF(COLUMN() - ($E36 + 5) &lt; 0, 0,
  IF(COLUMN() - ($E36 + 5) = 0, $F36,
    AU36 * (1 - IFERROR(INDEX('Inputs &amp; Assuptions'!$D$13:$D$72, COLUMN() - ($E36 + 5)), 0))
  )
)</f>
        <v>1053.6944293731763</v>
      </c>
      <c r="AW36" s="32">
        <f t="array" ref="AW36">IF(COLUMN() - ($E36 + 5) &lt; 0, 0,
  IF(COLUMN() - ($E36 + 5) = 0, $F36,
    AV36 * (1 - IFERROR(INDEX('Inputs &amp; Assuptions'!$D$13:$D$72, COLUMN() - ($E36 + 5)), 0))
  )
)</f>
        <v>1053.1675821584897</v>
      </c>
      <c r="AX36" s="32">
        <f t="array" ref="AX36">IF(COLUMN() - ($E36 + 5) &lt; 0, 0,
  IF(COLUMN() - ($E36 + 5) = 0, $F36,
    AW36 * (1 - IFERROR(INDEX('Inputs &amp; Assuptions'!$D$13:$D$72, COLUMN() - ($E36 + 5)), 0))
  )
)</f>
        <v>1052.6409983674105</v>
      </c>
      <c r="AY36" s="32">
        <f t="array" ref="AY36">IF(COLUMN() - ($E36 + 5) &lt; 0, 0,
  IF(COLUMN() - ($E36 + 5) = 0, $F36,
    AX36 * (1 - IFERROR(INDEX('Inputs &amp; Assuptions'!$D$13:$D$72, COLUMN() - ($E36 + 5)), 0))
  )
)</f>
        <v>1052.1146778682269</v>
      </c>
      <c r="AZ36" s="32">
        <f t="array" ref="AZ36">IF(COLUMN() - ($E36 + 5) &lt; 0, 0,
  IF(COLUMN() - ($E36 + 5) = 0, $F36,
    AY36 * (1 - IFERROR(INDEX('Inputs &amp; Assuptions'!$D$13:$D$72, COLUMN() - ($E36 + 5)), 0))
  )
)</f>
        <v>1051.5886205292927</v>
      </c>
      <c r="BA36" s="32">
        <f t="array" ref="BA36">IF(COLUMN() - ($E36 + 5) &lt; 0, 0,
  IF(COLUMN() - ($E36 + 5) = 0, $F36,
    AZ36 * (1 - IFERROR(INDEX('Inputs &amp; Assuptions'!$D$13:$D$72, COLUMN() - ($E36 + 5)), 0))
  )
)</f>
        <v>1051.062826219028</v>
      </c>
      <c r="BB36" s="32">
        <f t="array" ref="BB36">IF(COLUMN() - ($E36 + 5) &lt; 0, 0,
  IF(COLUMN() - ($E36 + 5) = 0, $F36,
    BA36 * (1 - IFERROR(INDEX('Inputs &amp; Assuptions'!$D$13:$D$72, COLUMN() - ($E36 + 5)), 0))
  )
)</f>
        <v>1050.5372948059185</v>
      </c>
      <c r="BC36" s="32">
        <f t="array" ref="BC36">IF(COLUMN() - ($E36 + 5) &lt; 0, 0,
  IF(COLUMN() - ($E36 + 5) = 0, $F36,
    BB36 * (1 - IFERROR(INDEX('Inputs &amp; Assuptions'!$D$13:$D$72, COLUMN() - ($E36 + 5)), 0))
  )
)</f>
        <v>1050.0120261585155</v>
      </c>
      <c r="BD36" s="32">
        <f t="array" ref="BD36">IF(COLUMN() - ($E36 + 5) &lt; 0, 0,
  IF(COLUMN() - ($E36 + 5) = 0, $F36,
    BC36 * (1 - IFERROR(INDEX('Inputs &amp; Assuptions'!$D$13:$D$72, COLUMN() - ($E36 + 5)), 0))
  )
)</f>
        <v>1049.4870201454362</v>
      </c>
      <c r="BE36" s="32">
        <f t="array" ref="BE36">IF(COLUMN() - ($E36 + 5) &lt; 0, 0,
  IF(COLUMN() - ($E36 + 5) = 0, $F36,
    BD36 * (1 - IFERROR(INDEX('Inputs &amp; Assuptions'!$D$13:$D$72, COLUMN() - ($E36 + 5)), 0))
  )
)</f>
        <v>1048.9622766353634</v>
      </c>
      <c r="BF36" s="32">
        <f t="array" ref="BF36">IF(COLUMN() - ($E36 + 5) &lt; 0, 0,
  IF(COLUMN() - ($E36 + 5) = 0, $F36,
    BE36 * (1 - IFERROR(INDEX('Inputs &amp; Assuptions'!$D$13:$D$72, COLUMN() - ($E36 + 5)), 0))
  )
)</f>
        <v>1048.4377954970457</v>
      </c>
      <c r="BG36" s="32">
        <f t="array" ref="BG36">IF(COLUMN() - ($E36 + 5) &lt; 0, 0,
  IF(COLUMN() - ($E36 + 5) = 0, $F36,
    BF36 * (1 - IFERROR(INDEX('Inputs &amp; Assuptions'!$D$13:$D$72, COLUMN() - ($E36 + 5)), 0))
  )
)</f>
        <v>1047.9135765992974</v>
      </c>
      <c r="BH36" s="32">
        <f t="array" ref="BH36">IF(COLUMN() - ($E36 + 5) &lt; 0, 0,
  IF(COLUMN() - ($E36 + 5) = 0, $F36,
    BG36 * (1 - IFERROR(INDEX('Inputs &amp; Assuptions'!$D$13:$D$72, COLUMN() - ($E36 + 5)), 0))
  )
)</f>
        <v>1047.3896198109978</v>
      </c>
      <c r="BI36" s="32">
        <f t="array" ref="BI36">IF(COLUMN() - ($E36 + 5) &lt; 0, 0,
  IF(COLUMN() - ($E36 + 5) = 0, $F36,
    BH36 * (1 - IFERROR(INDEX('Inputs &amp; Assuptions'!$D$13:$D$72, COLUMN() - ($E36 + 5)), 0))
  )
)</f>
        <v>1046.8659250010924</v>
      </c>
      <c r="BJ36" s="32">
        <f t="array" ref="BJ36">IF(COLUMN() - ($E36 + 5) &lt; 0, 0,
  IF(COLUMN() - ($E36 + 5) = 0, $F36,
    BI36 * (1 - IFERROR(INDEX('Inputs &amp; Assuptions'!$D$13:$D$72, COLUMN() - ($E36 + 5)), 0))
  )
)</f>
        <v>1046.3424920385919</v>
      </c>
      <c r="BK36" s="32">
        <f t="array" ref="BK36">IF(COLUMN() - ($E36 + 5) &lt; 0, 0,
  IF(COLUMN() - ($E36 + 5) = 0, $F36,
    BJ36 * (1 - IFERROR(INDEX('Inputs &amp; Assuptions'!$D$13:$D$72, COLUMN() - ($E36 + 5)), 0))
  )
)</f>
        <v>1045.8193207925726</v>
      </c>
      <c r="BL36" s="32">
        <f t="array" ref="BL36">IF(COLUMN() - ($E36 + 5) &lt; 0, 0,
  IF(COLUMN() - ($E36 + 5) = 0, $F36,
    BK36 * (1 - IFERROR(INDEX('Inputs &amp; Assuptions'!$D$13:$D$72, COLUMN() - ($E36 + 5)), 0))
  )
)</f>
        <v>1045.2964111321764</v>
      </c>
      <c r="BM36" s="66">
        <f t="array" ref="BM36">IF(COLUMN() - ($E36 + 5) &lt; 0, 0,
  IF(COLUMN() - ($E36 + 5) = 0, $F36,
    BL36 * (1 - IFERROR(INDEX('Inputs &amp; Assuptions'!$D$13:$D$72, COLUMN() - ($E36 + 5)), 0))
  )
)</f>
        <v>1044.7737629266105</v>
      </c>
      <c r="BN36" s="33"/>
    </row>
    <row r="37" spans="1:66" x14ac:dyDescent="0.3">
      <c r="A37" s="71">
        <f t="shared" si="2"/>
        <v>32</v>
      </c>
      <c r="B37" s="75">
        <f t="shared" si="4"/>
        <v>1102.5</v>
      </c>
      <c r="C37" s="76">
        <f>$B37*(1-'Inputs &amp; Assuptions'!$D$12)</f>
        <v>1078.2449999999999</v>
      </c>
      <c r="E37" s="71">
        <f t="shared" si="3"/>
        <v>32</v>
      </c>
      <c r="F37" s="65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>
        <f>$C37</f>
        <v>1078.2449999999999</v>
      </c>
      <c r="AL37" s="32">
        <f t="array" ref="AL37">IF(COLUMN() - ($E37 + 5) &lt; 0, 0,
  IF(COLUMN() - ($E37 + 5) = 0, $F37,
    AK37 * (1 - IFERROR(INDEX('Inputs &amp; Assuptions'!$D$13:$D$72, COLUMN() - ($E37 + 5)), 0))
  )
)</f>
        <v>1072.8537749999998</v>
      </c>
      <c r="AM37" s="32">
        <f t="array" ref="AM37">IF(COLUMN() - ($E37 + 5) &lt; 0, 0,
  IF(COLUMN() - ($E37 + 5) = 0, $F37,
    AL37 * (1 - IFERROR(INDEX('Inputs &amp; Assuptions'!$D$13:$D$72, COLUMN() - ($E37 + 5)), 0))
  )
)</f>
        <v>1068.7769306549999</v>
      </c>
      <c r="AN37" s="32">
        <f t="array" ref="AN37">IF(COLUMN() - ($E37 + 5) &lt; 0, 0,
  IF(COLUMN() - ($E37 + 5) = 0, $F37,
    AM37 * (1 - IFERROR(INDEX('Inputs &amp; Assuptions'!$D$13:$D$72, COLUMN() - ($E37 + 5)), 0))
  )
)</f>
        <v>1066.1049883283624</v>
      </c>
      <c r="AO37" s="32">
        <f t="array" ref="AO37">IF(COLUMN() - ($E37 + 5) &lt; 0, 0,
  IF(COLUMN() - ($E37 + 5) = 0, $F37,
    AN37 * (1 - IFERROR(INDEX('Inputs &amp; Assuptions'!$D$13:$D$72, COLUMN() - ($E37 + 5)), 0))
  )
)</f>
        <v>1063.6529468552071</v>
      </c>
      <c r="AP37" s="32">
        <f t="array" ref="AP37">IF(COLUMN() - ($E37 + 5) &lt; 0, 0,
  IF(COLUMN() - ($E37 + 5) = 0, $F37,
    AO37 * (1 - IFERROR(INDEX('Inputs &amp; Assuptions'!$D$13:$D$72, COLUMN() - ($E37 + 5)), 0))
  )
)</f>
        <v>1061.5256409614967</v>
      </c>
      <c r="AQ37" s="32">
        <f t="array" ref="AQ37">IF(COLUMN() - ($E37 + 5) &lt; 0, 0,
  IF(COLUMN() - ($E37 + 5) = 0, $F37,
    AP37 * (1 - IFERROR(INDEX('Inputs &amp; Assuptions'!$D$13:$D$72, COLUMN() - ($E37 + 5)), 0))
  )
)</f>
        <v>1059.6148948077659</v>
      </c>
      <c r="AR37" s="32">
        <f t="array" ref="AR37">IF(COLUMN() - ($E37 + 5) &lt; 0, 0,
  IF(COLUMN() - ($E37 + 5) = 0, $F37,
    AQ37 * (1 - IFERROR(INDEX('Inputs &amp; Assuptions'!$D$13:$D$72, COLUMN() - ($E37 + 5)), 0))
  )
)</f>
        <v>1058.0254724655545</v>
      </c>
      <c r="AS37" s="32">
        <f t="array" ref="AS37">IF(COLUMN() - ($E37 + 5) &lt; 0, 0,
  IF(COLUMN() - ($E37 + 5) = 0, $F37,
    AR37 * (1 - IFERROR(INDEX('Inputs &amp; Assuptions'!$D$13:$D$72, COLUMN() - ($E37 + 5)), 0))
  )
)</f>
        <v>1056.6500393513493</v>
      </c>
      <c r="AT37" s="32">
        <f t="array" ref="AT37">IF(COLUMN() - ($E37 + 5) &lt; 0, 0,
  IF(COLUMN() - ($E37 + 5) = 0, $F37,
    AS37 * (1 - IFERROR(INDEX('Inputs &amp; Assuptions'!$D$13:$D$72, COLUMN() - ($E37 + 5)), 0))
  )
)</f>
        <v>1055.593389311998</v>
      </c>
      <c r="AU37" s="32">
        <f t="array" ref="AU37">IF(COLUMN() - ($E37 + 5) &lt; 0, 0,
  IF(COLUMN() - ($E37 + 5) = 0, $F37,
    AT37 * (1 - IFERROR(INDEX('Inputs &amp; Assuptions'!$D$13:$D$72, COLUMN() - ($E37 + 5)), 0))
  )
)</f>
        <v>1054.7489146005482</v>
      </c>
      <c r="AV37" s="32">
        <f t="array" ref="AV37">IF(COLUMN() - ($E37 + 5) &lt; 0, 0,
  IF(COLUMN() - ($E37 + 5) = 0, $F37,
    AU37 * (1 - IFERROR(INDEX('Inputs &amp; Assuptions'!$D$13:$D$72, COLUMN() - ($E37 + 5)), 0))
  )
)</f>
        <v>1054.2215401432479</v>
      </c>
      <c r="AW37" s="32">
        <f t="array" ref="AW37">IF(COLUMN() - ($E37 + 5) &lt; 0, 0,
  IF(COLUMN() - ($E37 + 5) = 0, $F37,
    AV37 * (1 - IFERROR(INDEX('Inputs &amp; Assuptions'!$D$13:$D$72, COLUMN() - ($E37 + 5)), 0))
  )
)</f>
        <v>1053.6944293731763</v>
      </c>
      <c r="AX37" s="32">
        <f t="array" ref="AX37">IF(COLUMN() - ($E37 + 5) &lt; 0, 0,
  IF(COLUMN() - ($E37 + 5) = 0, $F37,
    AW37 * (1 - IFERROR(INDEX('Inputs &amp; Assuptions'!$D$13:$D$72, COLUMN() - ($E37 + 5)), 0))
  )
)</f>
        <v>1053.1675821584897</v>
      </c>
      <c r="AY37" s="32">
        <f t="array" ref="AY37">IF(COLUMN() - ($E37 + 5) &lt; 0, 0,
  IF(COLUMN() - ($E37 + 5) = 0, $F37,
    AX37 * (1 - IFERROR(INDEX('Inputs &amp; Assuptions'!$D$13:$D$72, COLUMN() - ($E37 + 5)), 0))
  )
)</f>
        <v>1052.6409983674105</v>
      </c>
      <c r="AZ37" s="32">
        <f t="array" ref="AZ37">IF(COLUMN() - ($E37 + 5) &lt; 0, 0,
  IF(COLUMN() - ($E37 + 5) = 0, $F37,
    AY37 * (1 - IFERROR(INDEX('Inputs &amp; Assuptions'!$D$13:$D$72, COLUMN() - ($E37 + 5)), 0))
  )
)</f>
        <v>1052.1146778682269</v>
      </c>
      <c r="BA37" s="32">
        <f t="array" ref="BA37">IF(COLUMN() - ($E37 + 5) &lt; 0, 0,
  IF(COLUMN() - ($E37 + 5) = 0, $F37,
    AZ37 * (1 - IFERROR(INDEX('Inputs &amp; Assuptions'!$D$13:$D$72, COLUMN() - ($E37 + 5)), 0))
  )
)</f>
        <v>1051.5886205292927</v>
      </c>
      <c r="BB37" s="32">
        <f t="array" ref="BB37">IF(COLUMN() - ($E37 + 5) &lt; 0, 0,
  IF(COLUMN() - ($E37 + 5) = 0, $F37,
    BA37 * (1 - IFERROR(INDEX('Inputs &amp; Assuptions'!$D$13:$D$72, COLUMN() - ($E37 + 5)), 0))
  )
)</f>
        <v>1051.062826219028</v>
      </c>
      <c r="BC37" s="32">
        <f t="array" ref="BC37">IF(COLUMN() - ($E37 + 5) &lt; 0, 0,
  IF(COLUMN() - ($E37 + 5) = 0, $F37,
    BB37 * (1 - IFERROR(INDEX('Inputs &amp; Assuptions'!$D$13:$D$72, COLUMN() - ($E37 + 5)), 0))
  )
)</f>
        <v>1050.5372948059185</v>
      </c>
      <c r="BD37" s="32">
        <f t="array" ref="BD37">IF(COLUMN() - ($E37 + 5) &lt; 0, 0,
  IF(COLUMN() - ($E37 + 5) = 0, $F37,
    BC37 * (1 - IFERROR(INDEX('Inputs &amp; Assuptions'!$D$13:$D$72, COLUMN() - ($E37 + 5)), 0))
  )
)</f>
        <v>1050.0120261585155</v>
      </c>
      <c r="BE37" s="32">
        <f t="array" ref="BE37">IF(COLUMN() - ($E37 + 5) &lt; 0, 0,
  IF(COLUMN() - ($E37 + 5) = 0, $F37,
    BD37 * (1 - IFERROR(INDEX('Inputs &amp; Assuptions'!$D$13:$D$72, COLUMN() - ($E37 + 5)), 0))
  )
)</f>
        <v>1049.4870201454362</v>
      </c>
      <c r="BF37" s="32">
        <f t="array" ref="BF37">IF(COLUMN() - ($E37 + 5) &lt; 0, 0,
  IF(COLUMN() - ($E37 + 5) = 0, $F37,
    BE37 * (1 - IFERROR(INDEX('Inputs &amp; Assuptions'!$D$13:$D$72, COLUMN() - ($E37 + 5)), 0))
  )
)</f>
        <v>1048.9622766353634</v>
      </c>
      <c r="BG37" s="32">
        <f t="array" ref="BG37">IF(COLUMN() - ($E37 + 5) &lt; 0, 0,
  IF(COLUMN() - ($E37 + 5) = 0, $F37,
    BF37 * (1 - IFERROR(INDEX('Inputs &amp; Assuptions'!$D$13:$D$72, COLUMN() - ($E37 + 5)), 0))
  )
)</f>
        <v>1048.4377954970457</v>
      </c>
      <c r="BH37" s="32">
        <f t="array" ref="BH37">IF(COLUMN() - ($E37 + 5) &lt; 0, 0,
  IF(COLUMN() - ($E37 + 5) = 0, $F37,
    BG37 * (1 - IFERROR(INDEX('Inputs &amp; Assuptions'!$D$13:$D$72, COLUMN() - ($E37 + 5)), 0))
  )
)</f>
        <v>1047.9135765992974</v>
      </c>
      <c r="BI37" s="32">
        <f t="array" ref="BI37">IF(COLUMN() - ($E37 + 5) &lt; 0, 0,
  IF(COLUMN() - ($E37 + 5) = 0, $F37,
    BH37 * (1 - IFERROR(INDEX('Inputs &amp; Assuptions'!$D$13:$D$72, COLUMN() - ($E37 + 5)), 0))
  )
)</f>
        <v>1047.3896198109978</v>
      </c>
      <c r="BJ37" s="32">
        <f t="array" ref="BJ37">IF(COLUMN() - ($E37 + 5) &lt; 0, 0,
  IF(COLUMN() - ($E37 + 5) = 0, $F37,
    BI37 * (1 - IFERROR(INDEX('Inputs &amp; Assuptions'!$D$13:$D$72, COLUMN() - ($E37 + 5)), 0))
  )
)</f>
        <v>1046.8659250010924</v>
      </c>
      <c r="BK37" s="32">
        <f t="array" ref="BK37">IF(COLUMN() - ($E37 + 5) &lt; 0, 0,
  IF(COLUMN() - ($E37 + 5) = 0, $F37,
    BJ37 * (1 - IFERROR(INDEX('Inputs &amp; Assuptions'!$D$13:$D$72, COLUMN() - ($E37 + 5)), 0))
  )
)</f>
        <v>1046.3424920385919</v>
      </c>
      <c r="BL37" s="32">
        <f t="array" ref="BL37">IF(COLUMN() - ($E37 + 5) &lt; 0, 0,
  IF(COLUMN() - ($E37 + 5) = 0, $F37,
    BK37 * (1 - IFERROR(INDEX('Inputs &amp; Assuptions'!$D$13:$D$72, COLUMN() - ($E37 + 5)), 0))
  )
)</f>
        <v>1045.8193207925726</v>
      </c>
      <c r="BM37" s="66">
        <f t="array" ref="BM37">IF(COLUMN() - ($E37 + 5) &lt; 0, 0,
  IF(COLUMN() - ($E37 + 5) = 0, $F37,
    BL37 * (1 - IFERROR(INDEX('Inputs &amp; Assuptions'!$D$13:$D$72, COLUMN() - ($E37 + 5)), 0))
  )
)</f>
        <v>1045.2964111321764</v>
      </c>
      <c r="BN37" s="33"/>
    </row>
    <row r="38" spans="1:66" x14ac:dyDescent="0.3">
      <c r="A38" s="71">
        <f t="shared" si="2"/>
        <v>33</v>
      </c>
      <c r="B38" s="75">
        <f t="shared" si="4"/>
        <v>1102.5</v>
      </c>
      <c r="C38" s="76">
        <f>$B38*(1-'Inputs &amp; Assuptions'!$D$12)</f>
        <v>1078.2449999999999</v>
      </c>
      <c r="E38" s="71">
        <f t="shared" si="3"/>
        <v>33</v>
      </c>
      <c r="F38" s="65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>
        <f>$C38</f>
        <v>1078.2449999999999</v>
      </c>
      <c r="AM38" s="32">
        <f t="array" ref="AM38">IF(COLUMN() - ($E38 + 5) &lt; 0, 0,
  IF(COLUMN() - ($E38 + 5) = 0, $F38,
    AL38 * (1 - IFERROR(INDEX('Inputs &amp; Assuptions'!$D$13:$D$72, COLUMN() - ($E38 + 5)), 0))
  )
)</f>
        <v>1072.8537749999998</v>
      </c>
      <c r="AN38" s="32">
        <f t="array" ref="AN38">IF(COLUMN() - ($E38 + 5) &lt; 0, 0,
  IF(COLUMN() - ($E38 + 5) = 0, $F38,
    AM38 * (1 - IFERROR(INDEX('Inputs &amp; Assuptions'!$D$13:$D$72, COLUMN() - ($E38 + 5)), 0))
  )
)</f>
        <v>1068.7769306549999</v>
      </c>
      <c r="AO38" s="32">
        <f t="array" ref="AO38">IF(COLUMN() - ($E38 + 5) &lt; 0, 0,
  IF(COLUMN() - ($E38 + 5) = 0, $F38,
    AN38 * (1 - IFERROR(INDEX('Inputs &amp; Assuptions'!$D$13:$D$72, COLUMN() - ($E38 + 5)), 0))
  )
)</f>
        <v>1066.1049883283624</v>
      </c>
      <c r="AP38" s="32">
        <f t="array" ref="AP38">IF(COLUMN() - ($E38 + 5) &lt; 0, 0,
  IF(COLUMN() - ($E38 + 5) = 0, $F38,
    AO38 * (1 - IFERROR(INDEX('Inputs &amp; Assuptions'!$D$13:$D$72, COLUMN() - ($E38 + 5)), 0))
  )
)</f>
        <v>1063.6529468552071</v>
      </c>
      <c r="AQ38" s="32">
        <f t="array" ref="AQ38">IF(COLUMN() - ($E38 + 5) &lt; 0, 0,
  IF(COLUMN() - ($E38 + 5) = 0, $F38,
    AP38 * (1 - IFERROR(INDEX('Inputs &amp; Assuptions'!$D$13:$D$72, COLUMN() - ($E38 + 5)), 0))
  )
)</f>
        <v>1061.5256409614967</v>
      </c>
      <c r="AR38" s="32">
        <f t="array" ref="AR38">IF(COLUMN() - ($E38 + 5) &lt; 0, 0,
  IF(COLUMN() - ($E38 + 5) = 0, $F38,
    AQ38 * (1 - IFERROR(INDEX('Inputs &amp; Assuptions'!$D$13:$D$72, COLUMN() - ($E38 + 5)), 0))
  )
)</f>
        <v>1059.6148948077659</v>
      </c>
      <c r="AS38" s="32">
        <f t="array" ref="AS38">IF(COLUMN() - ($E38 + 5) &lt; 0, 0,
  IF(COLUMN() - ($E38 + 5) = 0, $F38,
    AR38 * (1 - IFERROR(INDEX('Inputs &amp; Assuptions'!$D$13:$D$72, COLUMN() - ($E38 + 5)), 0))
  )
)</f>
        <v>1058.0254724655545</v>
      </c>
      <c r="AT38" s="32">
        <f t="array" ref="AT38">IF(COLUMN() - ($E38 + 5) &lt; 0, 0,
  IF(COLUMN() - ($E38 + 5) = 0, $F38,
    AS38 * (1 - IFERROR(INDEX('Inputs &amp; Assuptions'!$D$13:$D$72, COLUMN() - ($E38 + 5)), 0))
  )
)</f>
        <v>1056.6500393513493</v>
      </c>
      <c r="AU38" s="32">
        <f t="array" ref="AU38">IF(COLUMN() - ($E38 + 5) &lt; 0, 0,
  IF(COLUMN() - ($E38 + 5) = 0, $F38,
    AT38 * (1 - IFERROR(INDEX('Inputs &amp; Assuptions'!$D$13:$D$72, COLUMN() - ($E38 + 5)), 0))
  )
)</f>
        <v>1055.593389311998</v>
      </c>
      <c r="AV38" s="32">
        <f t="array" ref="AV38">IF(COLUMN() - ($E38 + 5) &lt; 0, 0,
  IF(COLUMN() - ($E38 + 5) = 0, $F38,
    AU38 * (1 - IFERROR(INDEX('Inputs &amp; Assuptions'!$D$13:$D$72, COLUMN() - ($E38 + 5)), 0))
  )
)</f>
        <v>1054.7489146005482</v>
      </c>
      <c r="AW38" s="32">
        <f t="array" ref="AW38">IF(COLUMN() - ($E38 + 5) &lt; 0, 0,
  IF(COLUMN() - ($E38 + 5) = 0, $F38,
    AV38 * (1 - IFERROR(INDEX('Inputs &amp; Assuptions'!$D$13:$D$72, COLUMN() - ($E38 + 5)), 0))
  )
)</f>
        <v>1054.2215401432479</v>
      </c>
      <c r="AX38" s="32">
        <f t="array" ref="AX38">IF(COLUMN() - ($E38 + 5) &lt; 0, 0,
  IF(COLUMN() - ($E38 + 5) = 0, $F38,
    AW38 * (1 - IFERROR(INDEX('Inputs &amp; Assuptions'!$D$13:$D$72, COLUMN() - ($E38 + 5)), 0))
  )
)</f>
        <v>1053.6944293731763</v>
      </c>
      <c r="AY38" s="32">
        <f t="array" ref="AY38">IF(COLUMN() - ($E38 + 5) &lt; 0, 0,
  IF(COLUMN() - ($E38 + 5) = 0, $F38,
    AX38 * (1 - IFERROR(INDEX('Inputs &amp; Assuptions'!$D$13:$D$72, COLUMN() - ($E38 + 5)), 0))
  )
)</f>
        <v>1053.1675821584897</v>
      </c>
      <c r="AZ38" s="32">
        <f t="array" ref="AZ38">IF(COLUMN() - ($E38 + 5) &lt; 0, 0,
  IF(COLUMN() - ($E38 + 5) = 0, $F38,
    AY38 * (1 - IFERROR(INDEX('Inputs &amp; Assuptions'!$D$13:$D$72, COLUMN() - ($E38 + 5)), 0))
  )
)</f>
        <v>1052.6409983674105</v>
      </c>
      <c r="BA38" s="32">
        <f t="array" ref="BA38">IF(COLUMN() - ($E38 + 5) &lt; 0, 0,
  IF(COLUMN() - ($E38 + 5) = 0, $F38,
    AZ38 * (1 - IFERROR(INDEX('Inputs &amp; Assuptions'!$D$13:$D$72, COLUMN() - ($E38 + 5)), 0))
  )
)</f>
        <v>1052.1146778682269</v>
      </c>
      <c r="BB38" s="32">
        <f t="array" ref="BB38">IF(COLUMN() - ($E38 + 5) &lt; 0, 0,
  IF(COLUMN() - ($E38 + 5) = 0, $F38,
    BA38 * (1 - IFERROR(INDEX('Inputs &amp; Assuptions'!$D$13:$D$72, COLUMN() - ($E38 + 5)), 0))
  )
)</f>
        <v>1051.5886205292927</v>
      </c>
      <c r="BC38" s="32">
        <f t="array" ref="BC38">IF(COLUMN() - ($E38 + 5) &lt; 0, 0,
  IF(COLUMN() - ($E38 + 5) = 0, $F38,
    BB38 * (1 - IFERROR(INDEX('Inputs &amp; Assuptions'!$D$13:$D$72, COLUMN() - ($E38 + 5)), 0))
  )
)</f>
        <v>1051.062826219028</v>
      </c>
      <c r="BD38" s="32">
        <f t="array" ref="BD38">IF(COLUMN() - ($E38 + 5) &lt; 0, 0,
  IF(COLUMN() - ($E38 + 5) = 0, $F38,
    BC38 * (1 - IFERROR(INDEX('Inputs &amp; Assuptions'!$D$13:$D$72, COLUMN() - ($E38 + 5)), 0))
  )
)</f>
        <v>1050.5372948059185</v>
      </c>
      <c r="BE38" s="32">
        <f t="array" ref="BE38">IF(COLUMN() - ($E38 + 5) &lt; 0, 0,
  IF(COLUMN() - ($E38 + 5) = 0, $F38,
    BD38 * (1 - IFERROR(INDEX('Inputs &amp; Assuptions'!$D$13:$D$72, COLUMN() - ($E38 + 5)), 0))
  )
)</f>
        <v>1050.0120261585155</v>
      </c>
      <c r="BF38" s="32">
        <f t="array" ref="BF38">IF(COLUMN() - ($E38 + 5) &lt; 0, 0,
  IF(COLUMN() - ($E38 + 5) = 0, $F38,
    BE38 * (1 - IFERROR(INDEX('Inputs &amp; Assuptions'!$D$13:$D$72, COLUMN() - ($E38 + 5)), 0))
  )
)</f>
        <v>1049.4870201454362</v>
      </c>
      <c r="BG38" s="32">
        <f t="array" ref="BG38">IF(COLUMN() - ($E38 + 5) &lt; 0, 0,
  IF(COLUMN() - ($E38 + 5) = 0, $F38,
    BF38 * (1 - IFERROR(INDEX('Inputs &amp; Assuptions'!$D$13:$D$72, COLUMN() - ($E38 + 5)), 0))
  )
)</f>
        <v>1048.9622766353634</v>
      </c>
      <c r="BH38" s="32">
        <f t="array" ref="BH38">IF(COLUMN() - ($E38 + 5) &lt; 0, 0,
  IF(COLUMN() - ($E38 + 5) = 0, $F38,
    BG38 * (1 - IFERROR(INDEX('Inputs &amp; Assuptions'!$D$13:$D$72, COLUMN() - ($E38 + 5)), 0))
  )
)</f>
        <v>1048.4377954970457</v>
      </c>
      <c r="BI38" s="32">
        <f t="array" ref="BI38">IF(COLUMN() - ($E38 + 5) &lt; 0, 0,
  IF(COLUMN() - ($E38 + 5) = 0, $F38,
    BH38 * (1 - IFERROR(INDEX('Inputs &amp; Assuptions'!$D$13:$D$72, COLUMN() - ($E38 + 5)), 0))
  )
)</f>
        <v>1047.9135765992974</v>
      </c>
      <c r="BJ38" s="32">
        <f t="array" ref="BJ38">IF(COLUMN() - ($E38 + 5) &lt; 0, 0,
  IF(COLUMN() - ($E38 + 5) = 0, $F38,
    BI38 * (1 - IFERROR(INDEX('Inputs &amp; Assuptions'!$D$13:$D$72, COLUMN() - ($E38 + 5)), 0))
  )
)</f>
        <v>1047.3896198109978</v>
      </c>
      <c r="BK38" s="32">
        <f t="array" ref="BK38">IF(COLUMN() - ($E38 + 5) &lt; 0, 0,
  IF(COLUMN() - ($E38 + 5) = 0, $F38,
    BJ38 * (1 - IFERROR(INDEX('Inputs &amp; Assuptions'!$D$13:$D$72, COLUMN() - ($E38 + 5)), 0))
  )
)</f>
        <v>1046.8659250010924</v>
      </c>
      <c r="BL38" s="32">
        <f t="array" ref="BL38">IF(COLUMN() - ($E38 + 5) &lt; 0, 0,
  IF(COLUMN() - ($E38 + 5) = 0, $F38,
    BK38 * (1 - IFERROR(INDEX('Inputs &amp; Assuptions'!$D$13:$D$72, COLUMN() - ($E38 + 5)), 0))
  )
)</f>
        <v>1046.3424920385919</v>
      </c>
      <c r="BM38" s="66">
        <f t="array" ref="BM38">IF(COLUMN() - ($E38 + 5) &lt; 0, 0,
  IF(COLUMN() - ($E38 + 5) = 0, $F38,
    BL38 * (1 - IFERROR(INDEX('Inputs &amp; Assuptions'!$D$13:$D$72, COLUMN() - ($E38 + 5)), 0))
  )
)</f>
        <v>1045.8193207925726</v>
      </c>
      <c r="BN38" s="33"/>
    </row>
    <row r="39" spans="1:66" x14ac:dyDescent="0.3">
      <c r="A39" s="71">
        <f t="shared" ref="A39:A65" si="6">A38+1</f>
        <v>34</v>
      </c>
      <c r="B39" s="75">
        <f t="shared" si="4"/>
        <v>1102.5</v>
      </c>
      <c r="C39" s="76">
        <f>$B39*(1-'Inputs &amp; Assuptions'!$D$12)</f>
        <v>1078.2449999999999</v>
      </c>
      <c r="E39" s="71">
        <f t="shared" ref="E39:E65" si="7">E38+1</f>
        <v>34</v>
      </c>
      <c r="F39" s="65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>
        <f>$C39</f>
        <v>1078.2449999999999</v>
      </c>
      <c r="AN39" s="32">
        <f t="array" ref="AN39">IF(COLUMN() - ($E39 + 5) &lt; 0, 0,
  IF(COLUMN() - ($E39 + 5) = 0, $F39,
    AM39 * (1 - IFERROR(INDEX('Inputs &amp; Assuptions'!$D$13:$D$72, COLUMN() - ($E39 + 5)), 0))
  )
)</f>
        <v>1072.8537749999998</v>
      </c>
      <c r="AO39" s="32">
        <f t="array" ref="AO39">IF(COLUMN() - ($E39 + 5) &lt; 0, 0,
  IF(COLUMN() - ($E39 + 5) = 0, $F39,
    AN39 * (1 - IFERROR(INDEX('Inputs &amp; Assuptions'!$D$13:$D$72, COLUMN() - ($E39 + 5)), 0))
  )
)</f>
        <v>1068.7769306549999</v>
      </c>
      <c r="AP39" s="32">
        <f t="array" ref="AP39">IF(COLUMN() - ($E39 + 5) &lt; 0, 0,
  IF(COLUMN() - ($E39 + 5) = 0, $F39,
    AO39 * (1 - IFERROR(INDEX('Inputs &amp; Assuptions'!$D$13:$D$72, COLUMN() - ($E39 + 5)), 0))
  )
)</f>
        <v>1066.1049883283624</v>
      </c>
      <c r="AQ39" s="32">
        <f t="array" ref="AQ39">IF(COLUMN() - ($E39 + 5) &lt; 0, 0,
  IF(COLUMN() - ($E39 + 5) = 0, $F39,
    AP39 * (1 - IFERROR(INDEX('Inputs &amp; Assuptions'!$D$13:$D$72, COLUMN() - ($E39 + 5)), 0))
  )
)</f>
        <v>1063.6529468552071</v>
      </c>
      <c r="AR39" s="32">
        <f t="array" ref="AR39">IF(COLUMN() - ($E39 + 5) &lt; 0, 0,
  IF(COLUMN() - ($E39 + 5) = 0, $F39,
    AQ39 * (1 - IFERROR(INDEX('Inputs &amp; Assuptions'!$D$13:$D$72, COLUMN() - ($E39 + 5)), 0))
  )
)</f>
        <v>1061.5256409614967</v>
      </c>
      <c r="AS39" s="32">
        <f t="array" ref="AS39">IF(COLUMN() - ($E39 + 5) &lt; 0, 0,
  IF(COLUMN() - ($E39 + 5) = 0, $F39,
    AR39 * (1 - IFERROR(INDEX('Inputs &amp; Assuptions'!$D$13:$D$72, COLUMN() - ($E39 + 5)), 0))
  )
)</f>
        <v>1059.6148948077659</v>
      </c>
      <c r="AT39" s="32">
        <f t="array" ref="AT39">IF(COLUMN() - ($E39 + 5) &lt; 0, 0,
  IF(COLUMN() - ($E39 + 5) = 0, $F39,
    AS39 * (1 - IFERROR(INDEX('Inputs &amp; Assuptions'!$D$13:$D$72, COLUMN() - ($E39 + 5)), 0))
  )
)</f>
        <v>1058.0254724655545</v>
      </c>
      <c r="AU39" s="32">
        <f t="array" ref="AU39">IF(COLUMN() - ($E39 + 5) &lt; 0, 0,
  IF(COLUMN() - ($E39 + 5) = 0, $F39,
    AT39 * (1 - IFERROR(INDEX('Inputs &amp; Assuptions'!$D$13:$D$72, COLUMN() - ($E39 + 5)), 0))
  )
)</f>
        <v>1056.6500393513493</v>
      </c>
      <c r="AV39" s="32">
        <f t="array" ref="AV39">IF(COLUMN() - ($E39 + 5) &lt; 0, 0,
  IF(COLUMN() - ($E39 + 5) = 0, $F39,
    AU39 * (1 - IFERROR(INDEX('Inputs &amp; Assuptions'!$D$13:$D$72, COLUMN() - ($E39 + 5)), 0))
  )
)</f>
        <v>1055.593389311998</v>
      </c>
      <c r="AW39" s="32">
        <f t="array" ref="AW39">IF(COLUMN() - ($E39 + 5) &lt; 0, 0,
  IF(COLUMN() - ($E39 + 5) = 0, $F39,
    AV39 * (1 - IFERROR(INDEX('Inputs &amp; Assuptions'!$D$13:$D$72, COLUMN() - ($E39 + 5)), 0))
  )
)</f>
        <v>1054.7489146005482</v>
      </c>
      <c r="AX39" s="32">
        <f t="array" ref="AX39">IF(COLUMN() - ($E39 + 5) &lt; 0, 0,
  IF(COLUMN() - ($E39 + 5) = 0, $F39,
    AW39 * (1 - IFERROR(INDEX('Inputs &amp; Assuptions'!$D$13:$D$72, COLUMN() - ($E39 + 5)), 0))
  )
)</f>
        <v>1054.2215401432479</v>
      </c>
      <c r="AY39" s="32">
        <f t="array" ref="AY39">IF(COLUMN() - ($E39 + 5) &lt; 0, 0,
  IF(COLUMN() - ($E39 + 5) = 0, $F39,
    AX39 * (1 - IFERROR(INDEX('Inputs &amp; Assuptions'!$D$13:$D$72, COLUMN() - ($E39 + 5)), 0))
  )
)</f>
        <v>1053.6944293731763</v>
      </c>
      <c r="AZ39" s="32">
        <f t="array" ref="AZ39">IF(COLUMN() - ($E39 + 5) &lt; 0, 0,
  IF(COLUMN() - ($E39 + 5) = 0, $F39,
    AY39 * (1 - IFERROR(INDEX('Inputs &amp; Assuptions'!$D$13:$D$72, COLUMN() - ($E39 + 5)), 0))
  )
)</f>
        <v>1053.1675821584897</v>
      </c>
      <c r="BA39" s="32">
        <f t="array" ref="BA39">IF(COLUMN() - ($E39 + 5) &lt; 0, 0,
  IF(COLUMN() - ($E39 + 5) = 0, $F39,
    AZ39 * (1 - IFERROR(INDEX('Inputs &amp; Assuptions'!$D$13:$D$72, COLUMN() - ($E39 + 5)), 0))
  )
)</f>
        <v>1052.6409983674105</v>
      </c>
      <c r="BB39" s="32">
        <f t="array" ref="BB39">IF(COLUMN() - ($E39 + 5) &lt; 0, 0,
  IF(COLUMN() - ($E39 + 5) = 0, $F39,
    BA39 * (1 - IFERROR(INDEX('Inputs &amp; Assuptions'!$D$13:$D$72, COLUMN() - ($E39 + 5)), 0))
  )
)</f>
        <v>1052.1146778682269</v>
      </c>
      <c r="BC39" s="32">
        <f t="array" ref="BC39">IF(COLUMN() - ($E39 + 5) &lt; 0, 0,
  IF(COLUMN() - ($E39 + 5) = 0, $F39,
    BB39 * (1 - IFERROR(INDEX('Inputs &amp; Assuptions'!$D$13:$D$72, COLUMN() - ($E39 + 5)), 0))
  )
)</f>
        <v>1051.5886205292927</v>
      </c>
      <c r="BD39" s="32">
        <f t="array" ref="BD39">IF(COLUMN() - ($E39 + 5) &lt; 0, 0,
  IF(COLUMN() - ($E39 + 5) = 0, $F39,
    BC39 * (1 - IFERROR(INDEX('Inputs &amp; Assuptions'!$D$13:$D$72, COLUMN() - ($E39 + 5)), 0))
  )
)</f>
        <v>1051.062826219028</v>
      </c>
      <c r="BE39" s="32">
        <f t="array" ref="BE39">IF(COLUMN() - ($E39 + 5) &lt; 0, 0,
  IF(COLUMN() - ($E39 + 5) = 0, $F39,
    BD39 * (1 - IFERROR(INDEX('Inputs &amp; Assuptions'!$D$13:$D$72, COLUMN() - ($E39 + 5)), 0))
  )
)</f>
        <v>1050.5372948059185</v>
      </c>
      <c r="BF39" s="32">
        <f t="array" ref="BF39">IF(COLUMN() - ($E39 + 5) &lt; 0, 0,
  IF(COLUMN() - ($E39 + 5) = 0, $F39,
    BE39 * (1 - IFERROR(INDEX('Inputs &amp; Assuptions'!$D$13:$D$72, COLUMN() - ($E39 + 5)), 0))
  )
)</f>
        <v>1050.0120261585155</v>
      </c>
      <c r="BG39" s="32">
        <f t="array" ref="BG39">IF(COLUMN() - ($E39 + 5) &lt; 0, 0,
  IF(COLUMN() - ($E39 + 5) = 0, $F39,
    BF39 * (1 - IFERROR(INDEX('Inputs &amp; Assuptions'!$D$13:$D$72, COLUMN() - ($E39 + 5)), 0))
  )
)</f>
        <v>1049.4870201454362</v>
      </c>
      <c r="BH39" s="32">
        <f t="array" ref="BH39">IF(COLUMN() - ($E39 + 5) &lt; 0, 0,
  IF(COLUMN() - ($E39 + 5) = 0, $F39,
    BG39 * (1 - IFERROR(INDEX('Inputs &amp; Assuptions'!$D$13:$D$72, COLUMN() - ($E39 + 5)), 0))
  )
)</f>
        <v>1048.9622766353634</v>
      </c>
      <c r="BI39" s="32">
        <f t="array" ref="BI39">IF(COLUMN() - ($E39 + 5) &lt; 0, 0,
  IF(COLUMN() - ($E39 + 5) = 0, $F39,
    BH39 * (1 - IFERROR(INDEX('Inputs &amp; Assuptions'!$D$13:$D$72, COLUMN() - ($E39 + 5)), 0))
  )
)</f>
        <v>1048.4377954970457</v>
      </c>
      <c r="BJ39" s="32">
        <f t="array" ref="BJ39">IF(COLUMN() - ($E39 + 5) &lt; 0, 0,
  IF(COLUMN() - ($E39 + 5) = 0, $F39,
    BI39 * (1 - IFERROR(INDEX('Inputs &amp; Assuptions'!$D$13:$D$72, COLUMN() - ($E39 + 5)), 0))
  )
)</f>
        <v>1047.9135765992974</v>
      </c>
      <c r="BK39" s="32">
        <f t="array" ref="BK39">IF(COLUMN() - ($E39 + 5) &lt; 0, 0,
  IF(COLUMN() - ($E39 + 5) = 0, $F39,
    BJ39 * (1 - IFERROR(INDEX('Inputs &amp; Assuptions'!$D$13:$D$72, COLUMN() - ($E39 + 5)), 0))
  )
)</f>
        <v>1047.3896198109978</v>
      </c>
      <c r="BL39" s="32">
        <f t="array" ref="BL39">IF(COLUMN() - ($E39 + 5) &lt; 0, 0,
  IF(COLUMN() - ($E39 + 5) = 0, $F39,
    BK39 * (1 - IFERROR(INDEX('Inputs &amp; Assuptions'!$D$13:$D$72, COLUMN() - ($E39 + 5)), 0))
  )
)</f>
        <v>1046.8659250010924</v>
      </c>
      <c r="BM39" s="66">
        <f t="array" ref="BM39">IF(COLUMN() - ($E39 + 5) &lt; 0, 0,
  IF(COLUMN() - ($E39 + 5) = 0, $F39,
    BL39 * (1 - IFERROR(INDEX('Inputs &amp; Assuptions'!$D$13:$D$72, COLUMN() - ($E39 + 5)), 0))
  )
)</f>
        <v>1046.3424920385919</v>
      </c>
      <c r="BN39" s="33"/>
    </row>
    <row r="40" spans="1:66" x14ac:dyDescent="0.3">
      <c r="A40" s="71">
        <f t="shared" si="6"/>
        <v>35</v>
      </c>
      <c r="B40" s="75">
        <f t="shared" si="4"/>
        <v>1102.5</v>
      </c>
      <c r="C40" s="76">
        <f>$B40*(1-'Inputs &amp; Assuptions'!$D$12)</f>
        <v>1078.2449999999999</v>
      </c>
      <c r="E40" s="71">
        <f t="shared" si="7"/>
        <v>35</v>
      </c>
      <c r="F40" s="65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>
        <f>$C40</f>
        <v>1078.2449999999999</v>
      </c>
      <c r="AO40" s="32">
        <f t="array" ref="AO40">IF(COLUMN() - ($E40 + 5) &lt; 0, 0,
  IF(COLUMN() - ($E40 + 5) = 0, $F40,
    AN40 * (1 - IFERROR(INDEX('Inputs &amp; Assuptions'!$D$13:$D$72, COLUMN() - ($E40 + 5)), 0))
  )
)</f>
        <v>1072.8537749999998</v>
      </c>
      <c r="AP40" s="32">
        <f t="array" ref="AP40">IF(COLUMN() - ($E40 + 5) &lt; 0, 0,
  IF(COLUMN() - ($E40 + 5) = 0, $F40,
    AO40 * (1 - IFERROR(INDEX('Inputs &amp; Assuptions'!$D$13:$D$72, COLUMN() - ($E40 + 5)), 0))
  )
)</f>
        <v>1068.7769306549999</v>
      </c>
      <c r="AQ40" s="32">
        <f t="array" ref="AQ40">IF(COLUMN() - ($E40 + 5) &lt; 0, 0,
  IF(COLUMN() - ($E40 + 5) = 0, $F40,
    AP40 * (1 - IFERROR(INDEX('Inputs &amp; Assuptions'!$D$13:$D$72, COLUMN() - ($E40 + 5)), 0))
  )
)</f>
        <v>1066.1049883283624</v>
      </c>
      <c r="AR40" s="32">
        <f t="array" ref="AR40">IF(COLUMN() - ($E40 + 5) &lt; 0, 0,
  IF(COLUMN() - ($E40 + 5) = 0, $F40,
    AQ40 * (1 - IFERROR(INDEX('Inputs &amp; Assuptions'!$D$13:$D$72, COLUMN() - ($E40 + 5)), 0))
  )
)</f>
        <v>1063.6529468552071</v>
      </c>
      <c r="AS40" s="32">
        <f t="array" ref="AS40">IF(COLUMN() - ($E40 + 5) &lt; 0, 0,
  IF(COLUMN() - ($E40 + 5) = 0, $F40,
    AR40 * (1 - IFERROR(INDEX('Inputs &amp; Assuptions'!$D$13:$D$72, COLUMN() - ($E40 + 5)), 0))
  )
)</f>
        <v>1061.5256409614967</v>
      </c>
      <c r="AT40" s="32">
        <f t="array" ref="AT40">IF(COLUMN() - ($E40 + 5) &lt; 0, 0,
  IF(COLUMN() - ($E40 + 5) = 0, $F40,
    AS40 * (1 - IFERROR(INDEX('Inputs &amp; Assuptions'!$D$13:$D$72, COLUMN() - ($E40 + 5)), 0))
  )
)</f>
        <v>1059.6148948077659</v>
      </c>
      <c r="AU40" s="32">
        <f t="array" ref="AU40">IF(COLUMN() - ($E40 + 5) &lt; 0, 0,
  IF(COLUMN() - ($E40 + 5) = 0, $F40,
    AT40 * (1 - IFERROR(INDEX('Inputs &amp; Assuptions'!$D$13:$D$72, COLUMN() - ($E40 + 5)), 0))
  )
)</f>
        <v>1058.0254724655545</v>
      </c>
      <c r="AV40" s="32">
        <f t="array" ref="AV40">IF(COLUMN() - ($E40 + 5) &lt; 0, 0,
  IF(COLUMN() - ($E40 + 5) = 0, $F40,
    AU40 * (1 - IFERROR(INDEX('Inputs &amp; Assuptions'!$D$13:$D$72, COLUMN() - ($E40 + 5)), 0))
  )
)</f>
        <v>1056.6500393513493</v>
      </c>
      <c r="AW40" s="32">
        <f t="array" ref="AW40">IF(COLUMN() - ($E40 + 5) &lt; 0, 0,
  IF(COLUMN() - ($E40 + 5) = 0, $F40,
    AV40 * (1 - IFERROR(INDEX('Inputs &amp; Assuptions'!$D$13:$D$72, COLUMN() - ($E40 + 5)), 0))
  )
)</f>
        <v>1055.593389311998</v>
      </c>
      <c r="AX40" s="32">
        <f t="array" ref="AX40">IF(COLUMN() - ($E40 + 5) &lt; 0, 0,
  IF(COLUMN() - ($E40 + 5) = 0, $F40,
    AW40 * (1 - IFERROR(INDEX('Inputs &amp; Assuptions'!$D$13:$D$72, COLUMN() - ($E40 + 5)), 0))
  )
)</f>
        <v>1054.7489146005482</v>
      </c>
      <c r="AY40" s="32">
        <f t="array" ref="AY40">IF(COLUMN() - ($E40 + 5) &lt; 0, 0,
  IF(COLUMN() - ($E40 + 5) = 0, $F40,
    AX40 * (1 - IFERROR(INDEX('Inputs &amp; Assuptions'!$D$13:$D$72, COLUMN() - ($E40 + 5)), 0))
  )
)</f>
        <v>1054.2215401432479</v>
      </c>
      <c r="AZ40" s="32">
        <f t="array" ref="AZ40">IF(COLUMN() - ($E40 + 5) &lt; 0, 0,
  IF(COLUMN() - ($E40 + 5) = 0, $F40,
    AY40 * (1 - IFERROR(INDEX('Inputs &amp; Assuptions'!$D$13:$D$72, COLUMN() - ($E40 + 5)), 0))
  )
)</f>
        <v>1053.6944293731763</v>
      </c>
      <c r="BA40" s="32">
        <f t="array" ref="BA40">IF(COLUMN() - ($E40 + 5) &lt; 0, 0,
  IF(COLUMN() - ($E40 + 5) = 0, $F40,
    AZ40 * (1 - IFERROR(INDEX('Inputs &amp; Assuptions'!$D$13:$D$72, COLUMN() - ($E40 + 5)), 0))
  )
)</f>
        <v>1053.1675821584897</v>
      </c>
      <c r="BB40" s="32">
        <f t="array" ref="BB40">IF(COLUMN() - ($E40 + 5) &lt; 0, 0,
  IF(COLUMN() - ($E40 + 5) = 0, $F40,
    BA40 * (1 - IFERROR(INDEX('Inputs &amp; Assuptions'!$D$13:$D$72, COLUMN() - ($E40 + 5)), 0))
  )
)</f>
        <v>1052.6409983674105</v>
      </c>
      <c r="BC40" s="32">
        <f t="array" ref="BC40">IF(COLUMN() - ($E40 + 5) &lt; 0, 0,
  IF(COLUMN() - ($E40 + 5) = 0, $F40,
    BB40 * (1 - IFERROR(INDEX('Inputs &amp; Assuptions'!$D$13:$D$72, COLUMN() - ($E40 + 5)), 0))
  )
)</f>
        <v>1052.1146778682269</v>
      </c>
      <c r="BD40" s="32">
        <f t="array" ref="BD40">IF(COLUMN() - ($E40 + 5) &lt; 0, 0,
  IF(COLUMN() - ($E40 + 5) = 0, $F40,
    BC40 * (1 - IFERROR(INDEX('Inputs &amp; Assuptions'!$D$13:$D$72, COLUMN() - ($E40 + 5)), 0))
  )
)</f>
        <v>1051.5886205292927</v>
      </c>
      <c r="BE40" s="32">
        <f t="array" ref="BE40">IF(COLUMN() - ($E40 + 5) &lt; 0, 0,
  IF(COLUMN() - ($E40 + 5) = 0, $F40,
    BD40 * (1 - IFERROR(INDEX('Inputs &amp; Assuptions'!$D$13:$D$72, COLUMN() - ($E40 + 5)), 0))
  )
)</f>
        <v>1051.062826219028</v>
      </c>
      <c r="BF40" s="32">
        <f t="array" ref="BF40">IF(COLUMN() - ($E40 + 5) &lt; 0, 0,
  IF(COLUMN() - ($E40 + 5) = 0, $F40,
    BE40 * (1 - IFERROR(INDEX('Inputs &amp; Assuptions'!$D$13:$D$72, COLUMN() - ($E40 + 5)), 0))
  )
)</f>
        <v>1050.5372948059185</v>
      </c>
      <c r="BG40" s="32">
        <f t="array" ref="BG40">IF(COLUMN() - ($E40 + 5) &lt; 0, 0,
  IF(COLUMN() - ($E40 + 5) = 0, $F40,
    BF40 * (1 - IFERROR(INDEX('Inputs &amp; Assuptions'!$D$13:$D$72, COLUMN() - ($E40 + 5)), 0))
  )
)</f>
        <v>1050.0120261585155</v>
      </c>
      <c r="BH40" s="32">
        <f t="array" ref="BH40">IF(COLUMN() - ($E40 + 5) &lt; 0, 0,
  IF(COLUMN() - ($E40 + 5) = 0, $F40,
    BG40 * (1 - IFERROR(INDEX('Inputs &amp; Assuptions'!$D$13:$D$72, COLUMN() - ($E40 + 5)), 0))
  )
)</f>
        <v>1049.4870201454362</v>
      </c>
      <c r="BI40" s="32">
        <f t="array" ref="BI40">IF(COLUMN() - ($E40 + 5) &lt; 0, 0,
  IF(COLUMN() - ($E40 + 5) = 0, $F40,
    BH40 * (1 - IFERROR(INDEX('Inputs &amp; Assuptions'!$D$13:$D$72, COLUMN() - ($E40 + 5)), 0))
  )
)</f>
        <v>1048.9622766353634</v>
      </c>
      <c r="BJ40" s="32">
        <f t="array" ref="BJ40">IF(COLUMN() - ($E40 + 5) &lt; 0, 0,
  IF(COLUMN() - ($E40 + 5) = 0, $F40,
    BI40 * (1 - IFERROR(INDEX('Inputs &amp; Assuptions'!$D$13:$D$72, COLUMN() - ($E40 + 5)), 0))
  )
)</f>
        <v>1048.4377954970457</v>
      </c>
      <c r="BK40" s="32">
        <f t="array" ref="BK40">IF(COLUMN() - ($E40 + 5) &lt; 0, 0,
  IF(COLUMN() - ($E40 + 5) = 0, $F40,
    BJ40 * (1 - IFERROR(INDEX('Inputs &amp; Assuptions'!$D$13:$D$72, COLUMN() - ($E40 + 5)), 0))
  )
)</f>
        <v>1047.9135765992974</v>
      </c>
      <c r="BL40" s="32">
        <f t="array" ref="BL40">IF(COLUMN() - ($E40 + 5) &lt; 0, 0,
  IF(COLUMN() - ($E40 + 5) = 0, $F40,
    BK40 * (1 - IFERROR(INDEX('Inputs &amp; Assuptions'!$D$13:$D$72, COLUMN() - ($E40 + 5)), 0))
  )
)</f>
        <v>1047.3896198109978</v>
      </c>
      <c r="BM40" s="66">
        <f t="array" ref="BM40">IF(COLUMN() - ($E40 + 5) &lt; 0, 0,
  IF(COLUMN() - ($E40 + 5) = 0, $F40,
    BL40 * (1 - IFERROR(INDEX('Inputs &amp; Assuptions'!$D$13:$D$72, COLUMN() - ($E40 + 5)), 0))
  )
)</f>
        <v>1046.8659250010924</v>
      </c>
      <c r="BN40" s="33"/>
    </row>
    <row r="41" spans="1:66" x14ac:dyDescent="0.3">
      <c r="A41" s="71">
        <f t="shared" si="6"/>
        <v>36</v>
      </c>
      <c r="B41" s="75">
        <f t="shared" si="4"/>
        <v>1102.5</v>
      </c>
      <c r="C41" s="76">
        <f>$B41*(1-'Inputs &amp; Assuptions'!$D$12)</f>
        <v>1078.2449999999999</v>
      </c>
      <c r="E41" s="71">
        <f t="shared" si="7"/>
        <v>36</v>
      </c>
      <c r="F41" s="65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>
        <f>$C41</f>
        <v>1078.2449999999999</v>
      </c>
      <c r="AP41" s="32">
        <f t="array" ref="AP41">IF(COLUMN() - ($E41 + 5) &lt; 0, 0,
  IF(COLUMN() - ($E41 + 5) = 0, $F41,
    AO41 * (1 - IFERROR(INDEX('Inputs &amp; Assuptions'!$D$13:$D$72, COLUMN() - ($E41 + 5)), 0))
  )
)</f>
        <v>1072.8537749999998</v>
      </c>
      <c r="AQ41" s="32">
        <f t="array" ref="AQ41">IF(COLUMN() - ($E41 + 5) &lt; 0, 0,
  IF(COLUMN() - ($E41 + 5) = 0, $F41,
    AP41 * (1 - IFERROR(INDEX('Inputs &amp; Assuptions'!$D$13:$D$72, COLUMN() - ($E41 + 5)), 0))
  )
)</f>
        <v>1068.7769306549999</v>
      </c>
      <c r="AR41" s="32">
        <f t="array" ref="AR41">IF(COLUMN() - ($E41 + 5) &lt; 0, 0,
  IF(COLUMN() - ($E41 + 5) = 0, $F41,
    AQ41 * (1 - IFERROR(INDEX('Inputs &amp; Assuptions'!$D$13:$D$72, COLUMN() - ($E41 + 5)), 0))
  )
)</f>
        <v>1066.1049883283624</v>
      </c>
      <c r="AS41" s="32">
        <f t="array" ref="AS41">IF(COLUMN() - ($E41 + 5) &lt; 0, 0,
  IF(COLUMN() - ($E41 + 5) = 0, $F41,
    AR41 * (1 - IFERROR(INDEX('Inputs &amp; Assuptions'!$D$13:$D$72, COLUMN() - ($E41 + 5)), 0))
  )
)</f>
        <v>1063.6529468552071</v>
      </c>
      <c r="AT41" s="32">
        <f t="array" ref="AT41">IF(COLUMN() - ($E41 + 5) &lt; 0, 0,
  IF(COLUMN() - ($E41 + 5) = 0, $F41,
    AS41 * (1 - IFERROR(INDEX('Inputs &amp; Assuptions'!$D$13:$D$72, COLUMN() - ($E41 + 5)), 0))
  )
)</f>
        <v>1061.5256409614967</v>
      </c>
      <c r="AU41" s="32">
        <f t="array" ref="AU41">IF(COLUMN() - ($E41 + 5) &lt; 0, 0,
  IF(COLUMN() - ($E41 + 5) = 0, $F41,
    AT41 * (1 - IFERROR(INDEX('Inputs &amp; Assuptions'!$D$13:$D$72, COLUMN() - ($E41 + 5)), 0))
  )
)</f>
        <v>1059.6148948077659</v>
      </c>
      <c r="AV41" s="32">
        <f t="array" ref="AV41">IF(COLUMN() - ($E41 + 5) &lt; 0, 0,
  IF(COLUMN() - ($E41 + 5) = 0, $F41,
    AU41 * (1 - IFERROR(INDEX('Inputs &amp; Assuptions'!$D$13:$D$72, COLUMN() - ($E41 + 5)), 0))
  )
)</f>
        <v>1058.0254724655545</v>
      </c>
      <c r="AW41" s="32">
        <f t="array" ref="AW41">IF(COLUMN() - ($E41 + 5) &lt; 0, 0,
  IF(COLUMN() - ($E41 + 5) = 0, $F41,
    AV41 * (1 - IFERROR(INDEX('Inputs &amp; Assuptions'!$D$13:$D$72, COLUMN() - ($E41 + 5)), 0))
  )
)</f>
        <v>1056.6500393513493</v>
      </c>
      <c r="AX41" s="32">
        <f t="array" ref="AX41">IF(COLUMN() - ($E41 + 5) &lt; 0, 0,
  IF(COLUMN() - ($E41 + 5) = 0, $F41,
    AW41 * (1 - IFERROR(INDEX('Inputs &amp; Assuptions'!$D$13:$D$72, COLUMN() - ($E41 + 5)), 0))
  )
)</f>
        <v>1055.593389311998</v>
      </c>
      <c r="AY41" s="32">
        <f t="array" ref="AY41">IF(COLUMN() - ($E41 + 5) &lt; 0, 0,
  IF(COLUMN() - ($E41 + 5) = 0, $F41,
    AX41 * (1 - IFERROR(INDEX('Inputs &amp; Assuptions'!$D$13:$D$72, COLUMN() - ($E41 + 5)), 0))
  )
)</f>
        <v>1054.7489146005482</v>
      </c>
      <c r="AZ41" s="32">
        <f t="array" ref="AZ41">IF(COLUMN() - ($E41 + 5) &lt; 0, 0,
  IF(COLUMN() - ($E41 + 5) = 0, $F41,
    AY41 * (1 - IFERROR(INDEX('Inputs &amp; Assuptions'!$D$13:$D$72, COLUMN() - ($E41 + 5)), 0))
  )
)</f>
        <v>1054.2215401432479</v>
      </c>
      <c r="BA41" s="32">
        <f t="array" ref="BA41">IF(COLUMN() - ($E41 + 5) &lt; 0, 0,
  IF(COLUMN() - ($E41 + 5) = 0, $F41,
    AZ41 * (1 - IFERROR(INDEX('Inputs &amp; Assuptions'!$D$13:$D$72, COLUMN() - ($E41 + 5)), 0))
  )
)</f>
        <v>1053.6944293731763</v>
      </c>
      <c r="BB41" s="32">
        <f t="array" ref="BB41">IF(COLUMN() - ($E41 + 5) &lt; 0, 0,
  IF(COLUMN() - ($E41 + 5) = 0, $F41,
    BA41 * (1 - IFERROR(INDEX('Inputs &amp; Assuptions'!$D$13:$D$72, COLUMN() - ($E41 + 5)), 0))
  )
)</f>
        <v>1053.1675821584897</v>
      </c>
      <c r="BC41" s="32">
        <f t="array" ref="BC41">IF(COLUMN() - ($E41 + 5) &lt; 0, 0,
  IF(COLUMN() - ($E41 + 5) = 0, $F41,
    BB41 * (1 - IFERROR(INDEX('Inputs &amp; Assuptions'!$D$13:$D$72, COLUMN() - ($E41 + 5)), 0))
  )
)</f>
        <v>1052.6409983674105</v>
      </c>
      <c r="BD41" s="32">
        <f t="array" ref="BD41">IF(COLUMN() - ($E41 + 5) &lt; 0, 0,
  IF(COLUMN() - ($E41 + 5) = 0, $F41,
    BC41 * (1 - IFERROR(INDEX('Inputs &amp; Assuptions'!$D$13:$D$72, COLUMN() - ($E41 + 5)), 0))
  )
)</f>
        <v>1052.1146778682269</v>
      </c>
      <c r="BE41" s="32">
        <f t="array" ref="BE41">IF(COLUMN() - ($E41 + 5) &lt; 0, 0,
  IF(COLUMN() - ($E41 + 5) = 0, $F41,
    BD41 * (1 - IFERROR(INDEX('Inputs &amp; Assuptions'!$D$13:$D$72, COLUMN() - ($E41 + 5)), 0))
  )
)</f>
        <v>1051.5886205292927</v>
      </c>
      <c r="BF41" s="32">
        <f t="array" ref="BF41">IF(COLUMN() - ($E41 + 5) &lt; 0, 0,
  IF(COLUMN() - ($E41 + 5) = 0, $F41,
    BE41 * (1 - IFERROR(INDEX('Inputs &amp; Assuptions'!$D$13:$D$72, COLUMN() - ($E41 + 5)), 0))
  )
)</f>
        <v>1051.062826219028</v>
      </c>
      <c r="BG41" s="32">
        <f t="array" ref="BG41">IF(COLUMN() - ($E41 + 5) &lt; 0, 0,
  IF(COLUMN() - ($E41 + 5) = 0, $F41,
    BF41 * (1 - IFERROR(INDEX('Inputs &amp; Assuptions'!$D$13:$D$72, COLUMN() - ($E41 + 5)), 0))
  )
)</f>
        <v>1050.5372948059185</v>
      </c>
      <c r="BH41" s="32">
        <f t="array" ref="BH41">IF(COLUMN() - ($E41 + 5) &lt; 0, 0,
  IF(COLUMN() - ($E41 + 5) = 0, $F41,
    BG41 * (1 - IFERROR(INDEX('Inputs &amp; Assuptions'!$D$13:$D$72, COLUMN() - ($E41 + 5)), 0))
  )
)</f>
        <v>1050.0120261585155</v>
      </c>
      <c r="BI41" s="32">
        <f t="array" ref="BI41">IF(COLUMN() - ($E41 + 5) &lt; 0, 0,
  IF(COLUMN() - ($E41 + 5) = 0, $F41,
    BH41 * (1 - IFERROR(INDEX('Inputs &amp; Assuptions'!$D$13:$D$72, COLUMN() - ($E41 + 5)), 0))
  )
)</f>
        <v>1049.4870201454362</v>
      </c>
      <c r="BJ41" s="32">
        <f t="array" ref="BJ41">IF(COLUMN() - ($E41 + 5) &lt; 0, 0,
  IF(COLUMN() - ($E41 + 5) = 0, $F41,
    BI41 * (1 - IFERROR(INDEX('Inputs &amp; Assuptions'!$D$13:$D$72, COLUMN() - ($E41 + 5)), 0))
  )
)</f>
        <v>1048.9622766353634</v>
      </c>
      <c r="BK41" s="32">
        <f t="array" ref="BK41">IF(COLUMN() - ($E41 + 5) &lt; 0, 0,
  IF(COLUMN() - ($E41 + 5) = 0, $F41,
    BJ41 * (1 - IFERROR(INDEX('Inputs &amp; Assuptions'!$D$13:$D$72, COLUMN() - ($E41 + 5)), 0))
  )
)</f>
        <v>1048.4377954970457</v>
      </c>
      <c r="BL41" s="32">
        <f t="array" ref="BL41">IF(COLUMN() - ($E41 + 5) &lt; 0, 0,
  IF(COLUMN() - ($E41 + 5) = 0, $F41,
    BK41 * (1 - IFERROR(INDEX('Inputs &amp; Assuptions'!$D$13:$D$72, COLUMN() - ($E41 + 5)), 0))
  )
)</f>
        <v>1047.9135765992974</v>
      </c>
      <c r="BM41" s="66">
        <f t="array" ref="BM41">IF(COLUMN() - ($E41 + 5) &lt; 0, 0,
  IF(COLUMN() - ($E41 + 5) = 0, $F41,
    BL41 * (1 - IFERROR(INDEX('Inputs &amp; Assuptions'!$D$13:$D$72, COLUMN() - ($E41 + 5)), 0))
  )
)</f>
        <v>1047.3896198109978</v>
      </c>
      <c r="BN41" s="33"/>
    </row>
    <row r="42" spans="1:66" x14ac:dyDescent="0.3">
      <c r="A42" s="71">
        <f t="shared" si="6"/>
        <v>37</v>
      </c>
      <c r="B42" s="75">
        <f t="shared" si="4"/>
        <v>1157.625</v>
      </c>
      <c r="C42" s="76">
        <f>$B42*(1-'Inputs &amp; Assuptions'!$D$12)</f>
        <v>1132.15725</v>
      </c>
      <c r="E42" s="71">
        <f t="shared" si="7"/>
        <v>37</v>
      </c>
      <c r="F42" s="65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>
        <f>$C42</f>
        <v>1132.15725</v>
      </c>
      <c r="AQ42" s="32">
        <f t="array" ref="AQ42">IF(COLUMN() - ($E42 + 5) &lt; 0, 0,
  IF(COLUMN() - ($E42 + 5) = 0, $F42,
    AP42 * (1 - IFERROR(INDEX('Inputs &amp; Assuptions'!$D$13:$D$72, COLUMN() - ($E42 + 5)), 0))
  )
)</f>
        <v>1126.49646375</v>
      </c>
      <c r="AR42" s="32">
        <f t="array" ref="AR42">IF(COLUMN() - ($E42 + 5) &lt; 0, 0,
  IF(COLUMN() - ($E42 + 5) = 0, $F42,
    AQ42 * (1 - IFERROR(INDEX('Inputs &amp; Assuptions'!$D$13:$D$72, COLUMN() - ($E42 + 5)), 0))
  )
)</f>
        <v>1122.2157771877498</v>
      </c>
      <c r="AS42" s="32">
        <f t="array" ref="AS42">IF(COLUMN() - ($E42 + 5) &lt; 0, 0,
  IF(COLUMN() - ($E42 + 5) = 0, $F42,
    AR42 * (1 - IFERROR(INDEX('Inputs &amp; Assuptions'!$D$13:$D$72, COLUMN() - ($E42 + 5)), 0))
  )
)</f>
        <v>1119.4102377447805</v>
      </c>
      <c r="AT42" s="32">
        <f t="array" ref="AT42">IF(COLUMN() - ($E42 + 5) &lt; 0, 0,
  IF(COLUMN() - ($E42 + 5) = 0, $F42,
    AS42 * (1 - IFERROR(INDEX('Inputs &amp; Assuptions'!$D$13:$D$72, COLUMN() - ($E42 + 5)), 0))
  )
)</f>
        <v>1116.8355941979676</v>
      </c>
      <c r="AU42" s="32">
        <f t="array" ref="AU42">IF(COLUMN() - ($E42 + 5) &lt; 0, 0,
  IF(COLUMN() - ($E42 + 5) = 0, $F42,
    AT42 * (1 - IFERROR(INDEX('Inputs &amp; Assuptions'!$D$13:$D$72, COLUMN() - ($E42 + 5)), 0))
  )
)</f>
        <v>1114.6019230095717</v>
      </c>
      <c r="AV42" s="32">
        <f t="array" ref="AV42">IF(COLUMN() - ($E42 + 5) &lt; 0, 0,
  IF(COLUMN() - ($E42 + 5) = 0, $F42,
    AU42 * (1 - IFERROR(INDEX('Inputs &amp; Assuptions'!$D$13:$D$72, COLUMN() - ($E42 + 5)), 0))
  )
)</f>
        <v>1112.5956395481544</v>
      </c>
      <c r="AW42" s="32">
        <f t="array" ref="AW42">IF(COLUMN() - ($E42 + 5) &lt; 0, 0,
  IF(COLUMN() - ($E42 + 5) = 0, $F42,
    AV42 * (1 - IFERROR(INDEX('Inputs &amp; Assuptions'!$D$13:$D$72, COLUMN() - ($E42 + 5)), 0))
  )
)</f>
        <v>1110.9267460888323</v>
      </c>
      <c r="AX42" s="32">
        <f t="array" ref="AX42">IF(COLUMN() - ($E42 + 5) &lt; 0, 0,
  IF(COLUMN() - ($E42 + 5) = 0, $F42,
    AW42 * (1 - IFERROR(INDEX('Inputs &amp; Assuptions'!$D$13:$D$72, COLUMN() - ($E42 + 5)), 0))
  )
)</f>
        <v>1109.4825413189169</v>
      </c>
      <c r="AY42" s="32">
        <f t="array" ref="AY42">IF(COLUMN() - ($E42 + 5) &lt; 0, 0,
  IF(COLUMN() - ($E42 + 5) = 0, $F42,
    AX42 * (1 - IFERROR(INDEX('Inputs &amp; Assuptions'!$D$13:$D$72, COLUMN() - ($E42 + 5)), 0))
  )
)</f>
        <v>1108.3730587775981</v>
      </c>
      <c r="AZ42" s="32">
        <f t="array" ref="AZ42">IF(COLUMN() - ($E42 + 5) &lt; 0, 0,
  IF(COLUMN() - ($E42 + 5) = 0, $F42,
    AY42 * (1 - IFERROR(INDEX('Inputs &amp; Assuptions'!$D$13:$D$72, COLUMN() - ($E42 + 5)), 0))
  )
)</f>
        <v>1107.486360330576</v>
      </c>
      <c r="BA42" s="32">
        <f t="array" ref="BA42">IF(COLUMN() - ($E42 + 5) &lt; 0, 0,
  IF(COLUMN() - ($E42 + 5) = 0, $F42,
    AZ42 * (1 - IFERROR(INDEX('Inputs &amp; Assuptions'!$D$13:$D$72, COLUMN() - ($E42 + 5)), 0))
  )
)</f>
        <v>1106.9326171504108</v>
      </c>
      <c r="BB42" s="32">
        <f t="array" ref="BB42">IF(COLUMN() - ($E42 + 5) &lt; 0, 0,
  IF(COLUMN() - ($E42 + 5) = 0, $F42,
    BA42 * (1 - IFERROR(INDEX('Inputs &amp; Assuptions'!$D$13:$D$72, COLUMN() - ($E42 + 5)), 0))
  )
)</f>
        <v>1106.3791508418356</v>
      </c>
      <c r="BC42" s="32">
        <f t="array" ref="BC42">IF(COLUMN() - ($E42 + 5) &lt; 0, 0,
  IF(COLUMN() - ($E42 + 5) = 0, $F42,
    BB42 * (1 - IFERROR(INDEX('Inputs &amp; Assuptions'!$D$13:$D$72, COLUMN() - ($E42 + 5)), 0))
  )
)</f>
        <v>1105.8259612664147</v>
      </c>
      <c r="BD42" s="32">
        <f t="array" ref="BD42">IF(COLUMN() - ($E42 + 5) &lt; 0, 0,
  IF(COLUMN() - ($E42 + 5) = 0, $F42,
    BC42 * (1 - IFERROR(INDEX('Inputs &amp; Assuptions'!$D$13:$D$72, COLUMN() - ($E42 + 5)), 0))
  )
)</f>
        <v>1105.2730482857814</v>
      </c>
      <c r="BE42" s="32">
        <f t="array" ref="BE42">IF(COLUMN() - ($E42 + 5) &lt; 0, 0,
  IF(COLUMN() - ($E42 + 5) = 0, $F42,
    BD42 * (1 - IFERROR(INDEX('Inputs &amp; Assuptions'!$D$13:$D$72, COLUMN() - ($E42 + 5)), 0))
  )
)</f>
        <v>1104.7204117616386</v>
      </c>
      <c r="BF42" s="32">
        <f t="array" ref="BF42">IF(COLUMN() - ($E42 + 5) &lt; 0, 0,
  IF(COLUMN() - ($E42 + 5) = 0, $F42,
    BE42 * (1 - IFERROR(INDEX('Inputs &amp; Assuptions'!$D$13:$D$72, COLUMN() - ($E42 + 5)), 0))
  )
)</f>
        <v>1104.1680515557578</v>
      </c>
      <c r="BG42" s="32">
        <f t="array" ref="BG42">IF(COLUMN() - ($E42 + 5) &lt; 0, 0,
  IF(COLUMN() - ($E42 + 5) = 0, $F42,
    BF42 * (1 - IFERROR(INDEX('Inputs &amp; Assuptions'!$D$13:$D$72, COLUMN() - ($E42 + 5)), 0))
  )
)</f>
        <v>1103.61596752998</v>
      </c>
      <c r="BH42" s="32">
        <f t="array" ref="BH42">IF(COLUMN() - ($E42 + 5) &lt; 0, 0,
  IF(COLUMN() - ($E42 + 5) = 0, $F42,
    BG42 * (1 - IFERROR(INDEX('Inputs &amp; Assuptions'!$D$13:$D$72, COLUMN() - ($E42 + 5)), 0))
  )
)</f>
        <v>1103.064159546215</v>
      </c>
      <c r="BI42" s="32">
        <f t="array" ref="BI42">IF(COLUMN() - ($E42 + 5) &lt; 0, 0,
  IF(COLUMN() - ($E42 + 5) = 0, $F42,
    BH42 * (1 - IFERROR(INDEX('Inputs &amp; Assuptions'!$D$13:$D$72, COLUMN() - ($E42 + 5)), 0))
  )
)</f>
        <v>1102.5126274664419</v>
      </c>
      <c r="BJ42" s="32">
        <f t="array" ref="BJ42">IF(COLUMN() - ($E42 + 5) &lt; 0, 0,
  IF(COLUMN() - ($E42 + 5) = 0, $F42,
    BI42 * (1 - IFERROR(INDEX('Inputs &amp; Assuptions'!$D$13:$D$72, COLUMN() - ($E42 + 5)), 0))
  )
)</f>
        <v>1101.9613711527088</v>
      </c>
      <c r="BK42" s="32">
        <f t="array" ref="BK42">IF(COLUMN() - ($E42 + 5) &lt; 0, 0,
  IF(COLUMN() - ($E42 + 5) = 0, $F42,
    BJ42 * (1 - IFERROR(INDEX('Inputs &amp; Assuptions'!$D$13:$D$72, COLUMN() - ($E42 + 5)), 0))
  )
)</f>
        <v>1101.4103904671324</v>
      </c>
      <c r="BL42" s="32">
        <f t="array" ref="BL42">IF(COLUMN() - ($E42 + 5) &lt; 0, 0,
  IF(COLUMN() - ($E42 + 5) = 0, $F42,
    BK42 * (1 - IFERROR(INDEX('Inputs &amp; Assuptions'!$D$13:$D$72, COLUMN() - ($E42 + 5)), 0))
  )
)</f>
        <v>1100.8596852718988</v>
      </c>
      <c r="BM42" s="66">
        <f t="array" ref="BM42">IF(COLUMN() - ($E42 + 5) &lt; 0, 0,
  IF(COLUMN() - ($E42 + 5) = 0, $F42,
    BL42 * (1 - IFERROR(INDEX('Inputs &amp; Assuptions'!$D$13:$D$72, COLUMN() - ($E42 + 5)), 0))
  )
)</f>
        <v>1100.309255429263</v>
      </c>
      <c r="BN42" s="33"/>
    </row>
    <row r="43" spans="1:66" x14ac:dyDescent="0.3">
      <c r="A43" s="71">
        <f t="shared" si="6"/>
        <v>38</v>
      </c>
      <c r="B43" s="75">
        <f t="shared" si="4"/>
        <v>1157.625</v>
      </c>
      <c r="C43" s="76">
        <f>$B43*(1-'Inputs &amp; Assuptions'!$D$12)</f>
        <v>1132.15725</v>
      </c>
      <c r="E43" s="71">
        <f t="shared" si="7"/>
        <v>38</v>
      </c>
      <c r="F43" s="65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>
        <f>$C43</f>
        <v>1132.15725</v>
      </c>
      <c r="AR43" s="32">
        <f t="array" ref="AR43">IF(COLUMN() - ($E43 + 5) &lt; 0, 0,
  IF(COLUMN() - ($E43 + 5) = 0, $F43,
    AQ43 * (1 - IFERROR(INDEX('Inputs &amp; Assuptions'!$D$13:$D$72, COLUMN() - ($E43 + 5)), 0))
  )
)</f>
        <v>1126.49646375</v>
      </c>
      <c r="AS43" s="32">
        <f t="array" ref="AS43">IF(COLUMN() - ($E43 + 5) &lt; 0, 0,
  IF(COLUMN() - ($E43 + 5) = 0, $F43,
    AR43 * (1 - IFERROR(INDEX('Inputs &amp; Assuptions'!$D$13:$D$72, COLUMN() - ($E43 + 5)), 0))
  )
)</f>
        <v>1122.2157771877498</v>
      </c>
      <c r="AT43" s="32">
        <f t="array" ref="AT43">IF(COLUMN() - ($E43 + 5) &lt; 0, 0,
  IF(COLUMN() - ($E43 + 5) = 0, $F43,
    AS43 * (1 - IFERROR(INDEX('Inputs &amp; Assuptions'!$D$13:$D$72, COLUMN() - ($E43 + 5)), 0))
  )
)</f>
        <v>1119.4102377447805</v>
      </c>
      <c r="AU43" s="32">
        <f t="array" ref="AU43">IF(COLUMN() - ($E43 + 5) &lt; 0, 0,
  IF(COLUMN() - ($E43 + 5) = 0, $F43,
    AT43 * (1 - IFERROR(INDEX('Inputs &amp; Assuptions'!$D$13:$D$72, COLUMN() - ($E43 + 5)), 0))
  )
)</f>
        <v>1116.8355941979676</v>
      </c>
      <c r="AV43" s="32">
        <f t="array" ref="AV43">IF(COLUMN() - ($E43 + 5) &lt; 0, 0,
  IF(COLUMN() - ($E43 + 5) = 0, $F43,
    AU43 * (1 - IFERROR(INDEX('Inputs &amp; Assuptions'!$D$13:$D$72, COLUMN() - ($E43 + 5)), 0))
  )
)</f>
        <v>1114.6019230095717</v>
      </c>
      <c r="AW43" s="32">
        <f t="array" ref="AW43">IF(COLUMN() - ($E43 + 5) &lt; 0, 0,
  IF(COLUMN() - ($E43 + 5) = 0, $F43,
    AV43 * (1 - IFERROR(INDEX('Inputs &amp; Assuptions'!$D$13:$D$72, COLUMN() - ($E43 + 5)), 0))
  )
)</f>
        <v>1112.5956395481544</v>
      </c>
      <c r="AX43" s="32">
        <f t="array" ref="AX43">IF(COLUMN() - ($E43 + 5) &lt; 0, 0,
  IF(COLUMN() - ($E43 + 5) = 0, $F43,
    AW43 * (1 - IFERROR(INDEX('Inputs &amp; Assuptions'!$D$13:$D$72, COLUMN() - ($E43 + 5)), 0))
  )
)</f>
        <v>1110.9267460888323</v>
      </c>
      <c r="AY43" s="32">
        <f t="array" ref="AY43">IF(COLUMN() - ($E43 + 5) &lt; 0, 0,
  IF(COLUMN() - ($E43 + 5) = 0, $F43,
    AX43 * (1 - IFERROR(INDEX('Inputs &amp; Assuptions'!$D$13:$D$72, COLUMN() - ($E43 + 5)), 0))
  )
)</f>
        <v>1109.4825413189169</v>
      </c>
      <c r="AZ43" s="32">
        <f t="array" ref="AZ43">IF(COLUMN() - ($E43 + 5) &lt; 0, 0,
  IF(COLUMN() - ($E43 + 5) = 0, $F43,
    AY43 * (1 - IFERROR(INDEX('Inputs &amp; Assuptions'!$D$13:$D$72, COLUMN() - ($E43 + 5)), 0))
  )
)</f>
        <v>1108.3730587775981</v>
      </c>
      <c r="BA43" s="32">
        <f t="array" ref="BA43">IF(COLUMN() - ($E43 + 5) &lt; 0, 0,
  IF(COLUMN() - ($E43 + 5) = 0, $F43,
    AZ43 * (1 - IFERROR(INDEX('Inputs &amp; Assuptions'!$D$13:$D$72, COLUMN() - ($E43 + 5)), 0))
  )
)</f>
        <v>1107.486360330576</v>
      </c>
      <c r="BB43" s="32">
        <f t="array" ref="BB43">IF(COLUMN() - ($E43 + 5) &lt; 0, 0,
  IF(COLUMN() - ($E43 + 5) = 0, $F43,
    BA43 * (1 - IFERROR(INDEX('Inputs &amp; Assuptions'!$D$13:$D$72, COLUMN() - ($E43 + 5)), 0))
  )
)</f>
        <v>1106.9326171504108</v>
      </c>
      <c r="BC43" s="32">
        <f t="array" ref="BC43">IF(COLUMN() - ($E43 + 5) &lt; 0, 0,
  IF(COLUMN() - ($E43 + 5) = 0, $F43,
    BB43 * (1 - IFERROR(INDEX('Inputs &amp; Assuptions'!$D$13:$D$72, COLUMN() - ($E43 + 5)), 0))
  )
)</f>
        <v>1106.3791508418356</v>
      </c>
      <c r="BD43" s="32">
        <f t="array" ref="BD43">IF(COLUMN() - ($E43 + 5) &lt; 0, 0,
  IF(COLUMN() - ($E43 + 5) = 0, $F43,
    BC43 * (1 - IFERROR(INDEX('Inputs &amp; Assuptions'!$D$13:$D$72, COLUMN() - ($E43 + 5)), 0))
  )
)</f>
        <v>1105.8259612664147</v>
      </c>
      <c r="BE43" s="32">
        <f t="array" ref="BE43">IF(COLUMN() - ($E43 + 5) &lt; 0, 0,
  IF(COLUMN() - ($E43 + 5) = 0, $F43,
    BD43 * (1 - IFERROR(INDEX('Inputs &amp; Assuptions'!$D$13:$D$72, COLUMN() - ($E43 + 5)), 0))
  )
)</f>
        <v>1105.2730482857814</v>
      </c>
      <c r="BF43" s="32">
        <f t="array" ref="BF43">IF(COLUMN() - ($E43 + 5) &lt; 0, 0,
  IF(COLUMN() - ($E43 + 5) = 0, $F43,
    BE43 * (1 - IFERROR(INDEX('Inputs &amp; Assuptions'!$D$13:$D$72, COLUMN() - ($E43 + 5)), 0))
  )
)</f>
        <v>1104.7204117616386</v>
      </c>
      <c r="BG43" s="32">
        <f t="array" ref="BG43">IF(COLUMN() - ($E43 + 5) &lt; 0, 0,
  IF(COLUMN() - ($E43 + 5) = 0, $F43,
    BF43 * (1 - IFERROR(INDEX('Inputs &amp; Assuptions'!$D$13:$D$72, COLUMN() - ($E43 + 5)), 0))
  )
)</f>
        <v>1104.1680515557578</v>
      </c>
      <c r="BH43" s="32">
        <f t="array" ref="BH43">IF(COLUMN() - ($E43 + 5) &lt; 0, 0,
  IF(COLUMN() - ($E43 + 5) = 0, $F43,
    BG43 * (1 - IFERROR(INDEX('Inputs &amp; Assuptions'!$D$13:$D$72, COLUMN() - ($E43 + 5)), 0))
  )
)</f>
        <v>1103.61596752998</v>
      </c>
      <c r="BI43" s="32">
        <f t="array" ref="BI43">IF(COLUMN() - ($E43 + 5) &lt; 0, 0,
  IF(COLUMN() - ($E43 + 5) = 0, $F43,
    BH43 * (1 - IFERROR(INDEX('Inputs &amp; Assuptions'!$D$13:$D$72, COLUMN() - ($E43 + 5)), 0))
  )
)</f>
        <v>1103.064159546215</v>
      </c>
      <c r="BJ43" s="32">
        <f t="array" ref="BJ43">IF(COLUMN() - ($E43 + 5) &lt; 0, 0,
  IF(COLUMN() - ($E43 + 5) = 0, $F43,
    BI43 * (1 - IFERROR(INDEX('Inputs &amp; Assuptions'!$D$13:$D$72, COLUMN() - ($E43 + 5)), 0))
  )
)</f>
        <v>1102.5126274664419</v>
      </c>
      <c r="BK43" s="32">
        <f t="array" ref="BK43">IF(COLUMN() - ($E43 + 5) &lt; 0, 0,
  IF(COLUMN() - ($E43 + 5) = 0, $F43,
    BJ43 * (1 - IFERROR(INDEX('Inputs &amp; Assuptions'!$D$13:$D$72, COLUMN() - ($E43 + 5)), 0))
  )
)</f>
        <v>1101.9613711527088</v>
      </c>
      <c r="BL43" s="32">
        <f t="array" ref="BL43">IF(COLUMN() - ($E43 + 5) &lt; 0, 0,
  IF(COLUMN() - ($E43 + 5) = 0, $F43,
    BK43 * (1 - IFERROR(INDEX('Inputs &amp; Assuptions'!$D$13:$D$72, COLUMN() - ($E43 + 5)), 0))
  )
)</f>
        <v>1101.4103904671324</v>
      </c>
      <c r="BM43" s="66">
        <f t="array" ref="BM43">IF(COLUMN() - ($E43 + 5) &lt; 0, 0,
  IF(COLUMN() - ($E43 + 5) = 0, $F43,
    BL43 * (1 - IFERROR(INDEX('Inputs &amp; Assuptions'!$D$13:$D$72, COLUMN() - ($E43 + 5)), 0))
  )
)</f>
        <v>1100.8596852718988</v>
      </c>
      <c r="BN43" s="33"/>
    </row>
    <row r="44" spans="1:66" x14ac:dyDescent="0.3">
      <c r="A44" s="71">
        <f t="shared" si="6"/>
        <v>39</v>
      </c>
      <c r="B44" s="75">
        <f t="shared" si="4"/>
        <v>1157.625</v>
      </c>
      <c r="C44" s="76">
        <f>$B44*(1-'Inputs &amp; Assuptions'!$D$12)</f>
        <v>1132.15725</v>
      </c>
      <c r="E44" s="71">
        <f t="shared" si="7"/>
        <v>39</v>
      </c>
      <c r="F44" s="65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>
        <f>$C44</f>
        <v>1132.15725</v>
      </c>
      <c r="AS44" s="32">
        <f t="array" ref="AS44">IF(COLUMN() - ($E44 + 5) &lt; 0, 0,
  IF(COLUMN() - ($E44 + 5) = 0, $F44,
    AR44 * (1 - IFERROR(INDEX('Inputs &amp; Assuptions'!$D$13:$D$72, COLUMN() - ($E44 + 5)), 0))
  )
)</f>
        <v>1126.49646375</v>
      </c>
      <c r="AT44" s="32">
        <f t="array" ref="AT44">IF(COLUMN() - ($E44 + 5) &lt; 0, 0,
  IF(COLUMN() - ($E44 + 5) = 0, $F44,
    AS44 * (1 - IFERROR(INDEX('Inputs &amp; Assuptions'!$D$13:$D$72, COLUMN() - ($E44 + 5)), 0))
  )
)</f>
        <v>1122.2157771877498</v>
      </c>
      <c r="AU44" s="32">
        <f t="array" ref="AU44">IF(COLUMN() - ($E44 + 5) &lt; 0, 0,
  IF(COLUMN() - ($E44 + 5) = 0, $F44,
    AT44 * (1 - IFERROR(INDEX('Inputs &amp; Assuptions'!$D$13:$D$72, COLUMN() - ($E44 + 5)), 0))
  )
)</f>
        <v>1119.4102377447805</v>
      </c>
      <c r="AV44" s="32">
        <f t="array" ref="AV44">IF(COLUMN() - ($E44 + 5) &lt; 0, 0,
  IF(COLUMN() - ($E44 + 5) = 0, $F44,
    AU44 * (1 - IFERROR(INDEX('Inputs &amp; Assuptions'!$D$13:$D$72, COLUMN() - ($E44 + 5)), 0))
  )
)</f>
        <v>1116.8355941979676</v>
      </c>
      <c r="AW44" s="32">
        <f t="array" ref="AW44">IF(COLUMN() - ($E44 + 5) &lt; 0, 0,
  IF(COLUMN() - ($E44 + 5) = 0, $F44,
    AV44 * (1 - IFERROR(INDEX('Inputs &amp; Assuptions'!$D$13:$D$72, COLUMN() - ($E44 + 5)), 0))
  )
)</f>
        <v>1114.6019230095717</v>
      </c>
      <c r="AX44" s="32">
        <f t="array" ref="AX44">IF(COLUMN() - ($E44 + 5) &lt; 0, 0,
  IF(COLUMN() - ($E44 + 5) = 0, $F44,
    AW44 * (1 - IFERROR(INDEX('Inputs &amp; Assuptions'!$D$13:$D$72, COLUMN() - ($E44 + 5)), 0))
  )
)</f>
        <v>1112.5956395481544</v>
      </c>
      <c r="AY44" s="32">
        <f t="array" ref="AY44">IF(COLUMN() - ($E44 + 5) &lt; 0, 0,
  IF(COLUMN() - ($E44 + 5) = 0, $F44,
    AX44 * (1 - IFERROR(INDEX('Inputs &amp; Assuptions'!$D$13:$D$72, COLUMN() - ($E44 + 5)), 0))
  )
)</f>
        <v>1110.9267460888323</v>
      </c>
      <c r="AZ44" s="32">
        <f t="array" ref="AZ44">IF(COLUMN() - ($E44 + 5) &lt; 0, 0,
  IF(COLUMN() - ($E44 + 5) = 0, $F44,
    AY44 * (1 - IFERROR(INDEX('Inputs &amp; Assuptions'!$D$13:$D$72, COLUMN() - ($E44 + 5)), 0))
  )
)</f>
        <v>1109.4825413189169</v>
      </c>
      <c r="BA44" s="32">
        <f t="array" ref="BA44">IF(COLUMN() - ($E44 + 5) &lt; 0, 0,
  IF(COLUMN() - ($E44 + 5) = 0, $F44,
    AZ44 * (1 - IFERROR(INDEX('Inputs &amp; Assuptions'!$D$13:$D$72, COLUMN() - ($E44 + 5)), 0))
  )
)</f>
        <v>1108.3730587775981</v>
      </c>
      <c r="BB44" s="32">
        <f t="array" ref="BB44">IF(COLUMN() - ($E44 + 5) &lt; 0, 0,
  IF(COLUMN() - ($E44 + 5) = 0, $F44,
    BA44 * (1 - IFERROR(INDEX('Inputs &amp; Assuptions'!$D$13:$D$72, COLUMN() - ($E44 + 5)), 0))
  )
)</f>
        <v>1107.486360330576</v>
      </c>
      <c r="BC44" s="32">
        <f t="array" ref="BC44">IF(COLUMN() - ($E44 + 5) &lt; 0, 0,
  IF(COLUMN() - ($E44 + 5) = 0, $F44,
    BB44 * (1 - IFERROR(INDEX('Inputs &amp; Assuptions'!$D$13:$D$72, COLUMN() - ($E44 + 5)), 0))
  )
)</f>
        <v>1106.9326171504108</v>
      </c>
      <c r="BD44" s="32">
        <f t="array" ref="BD44">IF(COLUMN() - ($E44 + 5) &lt; 0, 0,
  IF(COLUMN() - ($E44 + 5) = 0, $F44,
    BC44 * (1 - IFERROR(INDEX('Inputs &amp; Assuptions'!$D$13:$D$72, COLUMN() - ($E44 + 5)), 0))
  )
)</f>
        <v>1106.3791508418356</v>
      </c>
      <c r="BE44" s="32">
        <f t="array" ref="BE44">IF(COLUMN() - ($E44 + 5) &lt; 0, 0,
  IF(COLUMN() - ($E44 + 5) = 0, $F44,
    BD44 * (1 - IFERROR(INDEX('Inputs &amp; Assuptions'!$D$13:$D$72, COLUMN() - ($E44 + 5)), 0))
  )
)</f>
        <v>1105.8259612664147</v>
      </c>
      <c r="BF44" s="32">
        <f t="array" ref="BF44">IF(COLUMN() - ($E44 + 5) &lt; 0, 0,
  IF(COLUMN() - ($E44 + 5) = 0, $F44,
    BE44 * (1 - IFERROR(INDEX('Inputs &amp; Assuptions'!$D$13:$D$72, COLUMN() - ($E44 + 5)), 0))
  )
)</f>
        <v>1105.2730482857814</v>
      </c>
      <c r="BG44" s="32">
        <f t="array" ref="BG44">IF(COLUMN() - ($E44 + 5) &lt; 0, 0,
  IF(COLUMN() - ($E44 + 5) = 0, $F44,
    BF44 * (1 - IFERROR(INDEX('Inputs &amp; Assuptions'!$D$13:$D$72, COLUMN() - ($E44 + 5)), 0))
  )
)</f>
        <v>1104.7204117616386</v>
      </c>
      <c r="BH44" s="32">
        <f t="array" ref="BH44">IF(COLUMN() - ($E44 + 5) &lt; 0, 0,
  IF(COLUMN() - ($E44 + 5) = 0, $F44,
    BG44 * (1 - IFERROR(INDEX('Inputs &amp; Assuptions'!$D$13:$D$72, COLUMN() - ($E44 + 5)), 0))
  )
)</f>
        <v>1104.1680515557578</v>
      </c>
      <c r="BI44" s="32">
        <f t="array" ref="BI44">IF(COLUMN() - ($E44 + 5) &lt; 0, 0,
  IF(COLUMN() - ($E44 + 5) = 0, $F44,
    BH44 * (1 - IFERROR(INDEX('Inputs &amp; Assuptions'!$D$13:$D$72, COLUMN() - ($E44 + 5)), 0))
  )
)</f>
        <v>1103.61596752998</v>
      </c>
      <c r="BJ44" s="32">
        <f t="array" ref="BJ44">IF(COLUMN() - ($E44 + 5) &lt; 0, 0,
  IF(COLUMN() - ($E44 + 5) = 0, $F44,
    BI44 * (1 - IFERROR(INDEX('Inputs &amp; Assuptions'!$D$13:$D$72, COLUMN() - ($E44 + 5)), 0))
  )
)</f>
        <v>1103.064159546215</v>
      </c>
      <c r="BK44" s="32">
        <f t="array" ref="BK44">IF(COLUMN() - ($E44 + 5) &lt; 0, 0,
  IF(COLUMN() - ($E44 + 5) = 0, $F44,
    BJ44 * (1 - IFERROR(INDEX('Inputs &amp; Assuptions'!$D$13:$D$72, COLUMN() - ($E44 + 5)), 0))
  )
)</f>
        <v>1102.5126274664419</v>
      </c>
      <c r="BL44" s="32">
        <f t="array" ref="BL44">IF(COLUMN() - ($E44 + 5) &lt; 0, 0,
  IF(COLUMN() - ($E44 + 5) = 0, $F44,
    BK44 * (1 - IFERROR(INDEX('Inputs &amp; Assuptions'!$D$13:$D$72, COLUMN() - ($E44 + 5)), 0))
  )
)</f>
        <v>1101.9613711527088</v>
      </c>
      <c r="BM44" s="66">
        <f t="array" ref="BM44">IF(COLUMN() - ($E44 + 5) &lt; 0, 0,
  IF(COLUMN() - ($E44 + 5) = 0, $F44,
    BL44 * (1 - IFERROR(INDEX('Inputs &amp; Assuptions'!$D$13:$D$72, COLUMN() - ($E44 + 5)), 0))
  )
)</f>
        <v>1101.4103904671324</v>
      </c>
      <c r="BN44" s="33"/>
    </row>
    <row r="45" spans="1:66" x14ac:dyDescent="0.3">
      <c r="A45" s="71">
        <f t="shared" si="6"/>
        <v>40</v>
      </c>
      <c r="B45" s="75">
        <f t="shared" si="4"/>
        <v>1157.625</v>
      </c>
      <c r="C45" s="76">
        <f>$B45*(1-'Inputs &amp; Assuptions'!$D$12)</f>
        <v>1132.15725</v>
      </c>
      <c r="E45" s="71">
        <f t="shared" si="7"/>
        <v>40</v>
      </c>
      <c r="F45" s="65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>
        <f>$C45</f>
        <v>1132.15725</v>
      </c>
      <c r="AT45" s="32">
        <f t="array" ref="AT45">IF(COLUMN() - ($E45 + 5) &lt; 0, 0,
  IF(COLUMN() - ($E45 + 5) = 0, $F45,
    AS45 * (1 - IFERROR(INDEX('Inputs &amp; Assuptions'!$D$13:$D$72, COLUMN() - ($E45 + 5)), 0))
  )
)</f>
        <v>1126.49646375</v>
      </c>
      <c r="AU45" s="32">
        <f t="array" ref="AU45">IF(COLUMN() - ($E45 + 5) &lt; 0, 0,
  IF(COLUMN() - ($E45 + 5) = 0, $F45,
    AT45 * (1 - IFERROR(INDEX('Inputs &amp; Assuptions'!$D$13:$D$72, COLUMN() - ($E45 + 5)), 0))
  )
)</f>
        <v>1122.2157771877498</v>
      </c>
      <c r="AV45" s="32">
        <f t="array" ref="AV45">IF(COLUMN() - ($E45 + 5) &lt; 0, 0,
  IF(COLUMN() - ($E45 + 5) = 0, $F45,
    AU45 * (1 - IFERROR(INDEX('Inputs &amp; Assuptions'!$D$13:$D$72, COLUMN() - ($E45 + 5)), 0))
  )
)</f>
        <v>1119.4102377447805</v>
      </c>
      <c r="AW45" s="32">
        <f t="array" ref="AW45">IF(COLUMN() - ($E45 + 5) &lt; 0, 0,
  IF(COLUMN() - ($E45 + 5) = 0, $F45,
    AV45 * (1 - IFERROR(INDEX('Inputs &amp; Assuptions'!$D$13:$D$72, COLUMN() - ($E45 + 5)), 0))
  )
)</f>
        <v>1116.8355941979676</v>
      </c>
      <c r="AX45" s="32">
        <f t="array" ref="AX45">IF(COLUMN() - ($E45 + 5) &lt; 0, 0,
  IF(COLUMN() - ($E45 + 5) = 0, $F45,
    AW45 * (1 - IFERROR(INDEX('Inputs &amp; Assuptions'!$D$13:$D$72, COLUMN() - ($E45 + 5)), 0))
  )
)</f>
        <v>1114.6019230095717</v>
      </c>
      <c r="AY45" s="32">
        <f t="array" ref="AY45">IF(COLUMN() - ($E45 + 5) &lt; 0, 0,
  IF(COLUMN() - ($E45 + 5) = 0, $F45,
    AX45 * (1 - IFERROR(INDEX('Inputs &amp; Assuptions'!$D$13:$D$72, COLUMN() - ($E45 + 5)), 0))
  )
)</f>
        <v>1112.5956395481544</v>
      </c>
      <c r="AZ45" s="32">
        <f t="array" ref="AZ45">IF(COLUMN() - ($E45 + 5) &lt; 0, 0,
  IF(COLUMN() - ($E45 + 5) = 0, $F45,
    AY45 * (1 - IFERROR(INDEX('Inputs &amp; Assuptions'!$D$13:$D$72, COLUMN() - ($E45 + 5)), 0))
  )
)</f>
        <v>1110.9267460888323</v>
      </c>
      <c r="BA45" s="32">
        <f t="array" ref="BA45">IF(COLUMN() - ($E45 + 5) &lt; 0, 0,
  IF(COLUMN() - ($E45 + 5) = 0, $F45,
    AZ45 * (1 - IFERROR(INDEX('Inputs &amp; Assuptions'!$D$13:$D$72, COLUMN() - ($E45 + 5)), 0))
  )
)</f>
        <v>1109.4825413189169</v>
      </c>
      <c r="BB45" s="32">
        <f t="array" ref="BB45">IF(COLUMN() - ($E45 + 5) &lt; 0, 0,
  IF(COLUMN() - ($E45 + 5) = 0, $F45,
    BA45 * (1 - IFERROR(INDEX('Inputs &amp; Assuptions'!$D$13:$D$72, COLUMN() - ($E45 + 5)), 0))
  )
)</f>
        <v>1108.3730587775981</v>
      </c>
      <c r="BC45" s="32">
        <f t="array" ref="BC45">IF(COLUMN() - ($E45 + 5) &lt; 0, 0,
  IF(COLUMN() - ($E45 + 5) = 0, $F45,
    BB45 * (1 - IFERROR(INDEX('Inputs &amp; Assuptions'!$D$13:$D$72, COLUMN() - ($E45 + 5)), 0))
  )
)</f>
        <v>1107.486360330576</v>
      </c>
      <c r="BD45" s="32">
        <f t="array" ref="BD45">IF(COLUMN() - ($E45 + 5) &lt; 0, 0,
  IF(COLUMN() - ($E45 + 5) = 0, $F45,
    BC45 * (1 - IFERROR(INDEX('Inputs &amp; Assuptions'!$D$13:$D$72, COLUMN() - ($E45 + 5)), 0))
  )
)</f>
        <v>1106.9326171504108</v>
      </c>
      <c r="BE45" s="32">
        <f t="array" ref="BE45">IF(COLUMN() - ($E45 + 5) &lt; 0, 0,
  IF(COLUMN() - ($E45 + 5) = 0, $F45,
    BD45 * (1 - IFERROR(INDEX('Inputs &amp; Assuptions'!$D$13:$D$72, COLUMN() - ($E45 + 5)), 0))
  )
)</f>
        <v>1106.3791508418356</v>
      </c>
      <c r="BF45" s="32">
        <f t="array" ref="BF45">IF(COLUMN() - ($E45 + 5) &lt; 0, 0,
  IF(COLUMN() - ($E45 + 5) = 0, $F45,
    BE45 * (1 - IFERROR(INDEX('Inputs &amp; Assuptions'!$D$13:$D$72, COLUMN() - ($E45 + 5)), 0))
  )
)</f>
        <v>1105.8259612664147</v>
      </c>
      <c r="BG45" s="32">
        <f t="array" ref="BG45">IF(COLUMN() - ($E45 + 5) &lt; 0, 0,
  IF(COLUMN() - ($E45 + 5) = 0, $F45,
    BF45 * (1 - IFERROR(INDEX('Inputs &amp; Assuptions'!$D$13:$D$72, COLUMN() - ($E45 + 5)), 0))
  )
)</f>
        <v>1105.2730482857814</v>
      </c>
      <c r="BH45" s="32">
        <f t="array" ref="BH45">IF(COLUMN() - ($E45 + 5) &lt; 0, 0,
  IF(COLUMN() - ($E45 + 5) = 0, $F45,
    BG45 * (1 - IFERROR(INDEX('Inputs &amp; Assuptions'!$D$13:$D$72, COLUMN() - ($E45 + 5)), 0))
  )
)</f>
        <v>1104.7204117616386</v>
      </c>
      <c r="BI45" s="32">
        <f t="array" ref="BI45">IF(COLUMN() - ($E45 + 5) &lt; 0, 0,
  IF(COLUMN() - ($E45 + 5) = 0, $F45,
    BH45 * (1 - IFERROR(INDEX('Inputs &amp; Assuptions'!$D$13:$D$72, COLUMN() - ($E45 + 5)), 0))
  )
)</f>
        <v>1104.1680515557578</v>
      </c>
      <c r="BJ45" s="32">
        <f t="array" ref="BJ45">IF(COLUMN() - ($E45 + 5) &lt; 0, 0,
  IF(COLUMN() - ($E45 + 5) = 0, $F45,
    BI45 * (1 - IFERROR(INDEX('Inputs &amp; Assuptions'!$D$13:$D$72, COLUMN() - ($E45 + 5)), 0))
  )
)</f>
        <v>1103.61596752998</v>
      </c>
      <c r="BK45" s="32">
        <f t="array" ref="BK45">IF(COLUMN() - ($E45 + 5) &lt; 0, 0,
  IF(COLUMN() - ($E45 + 5) = 0, $F45,
    BJ45 * (1 - IFERROR(INDEX('Inputs &amp; Assuptions'!$D$13:$D$72, COLUMN() - ($E45 + 5)), 0))
  )
)</f>
        <v>1103.064159546215</v>
      </c>
      <c r="BL45" s="32">
        <f t="array" ref="BL45">IF(COLUMN() - ($E45 + 5) &lt; 0, 0,
  IF(COLUMN() - ($E45 + 5) = 0, $F45,
    BK45 * (1 - IFERROR(INDEX('Inputs &amp; Assuptions'!$D$13:$D$72, COLUMN() - ($E45 + 5)), 0))
  )
)</f>
        <v>1102.5126274664419</v>
      </c>
      <c r="BM45" s="66">
        <f t="array" ref="BM45">IF(COLUMN() - ($E45 + 5) &lt; 0, 0,
  IF(COLUMN() - ($E45 + 5) = 0, $F45,
    BL45 * (1 - IFERROR(INDEX('Inputs &amp; Assuptions'!$D$13:$D$72, COLUMN() - ($E45 + 5)), 0))
  )
)</f>
        <v>1101.9613711527088</v>
      </c>
      <c r="BN45" s="33"/>
    </row>
    <row r="46" spans="1:66" x14ac:dyDescent="0.3">
      <c r="A46" s="71">
        <f t="shared" si="6"/>
        <v>41</v>
      </c>
      <c r="B46" s="75">
        <f t="shared" si="4"/>
        <v>1157.625</v>
      </c>
      <c r="C46" s="76">
        <f>$B46*(1-'Inputs &amp; Assuptions'!$D$12)</f>
        <v>1132.15725</v>
      </c>
      <c r="E46" s="71">
        <f t="shared" si="7"/>
        <v>41</v>
      </c>
      <c r="F46" s="65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>
        <f>$C46</f>
        <v>1132.15725</v>
      </c>
      <c r="AU46" s="32">
        <f t="array" ref="AU46">IF(COLUMN() - ($E46 + 5) &lt; 0, 0,
  IF(COLUMN() - ($E46 + 5) = 0, $F46,
    AT46 * (1 - IFERROR(INDEX('Inputs &amp; Assuptions'!$D$13:$D$72, COLUMN() - ($E46 + 5)), 0))
  )
)</f>
        <v>1126.49646375</v>
      </c>
      <c r="AV46" s="32">
        <f t="array" ref="AV46">IF(COLUMN() - ($E46 + 5) &lt; 0, 0,
  IF(COLUMN() - ($E46 + 5) = 0, $F46,
    AU46 * (1 - IFERROR(INDEX('Inputs &amp; Assuptions'!$D$13:$D$72, COLUMN() - ($E46 + 5)), 0))
  )
)</f>
        <v>1122.2157771877498</v>
      </c>
      <c r="AW46" s="32">
        <f t="array" ref="AW46">IF(COLUMN() - ($E46 + 5) &lt; 0, 0,
  IF(COLUMN() - ($E46 + 5) = 0, $F46,
    AV46 * (1 - IFERROR(INDEX('Inputs &amp; Assuptions'!$D$13:$D$72, COLUMN() - ($E46 + 5)), 0))
  )
)</f>
        <v>1119.4102377447805</v>
      </c>
      <c r="AX46" s="32">
        <f t="array" ref="AX46">IF(COLUMN() - ($E46 + 5) &lt; 0, 0,
  IF(COLUMN() - ($E46 + 5) = 0, $F46,
    AW46 * (1 - IFERROR(INDEX('Inputs &amp; Assuptions'!$D$13:$D$72, COLUMN() - ($E46 + 5)), 0))
  )
)</f>
        <v>1116.8355941979676</v>
      </c>
      <c r="AY46" s="32">
        <f t="array" ref="AY46">IF(COLUMN() - ($E46 + 5) &lt; 0, 0,
  IF(COLUMN() - ($E46 + 5) = 0, $F46,
    AX46 * (1 - IFERROR(INDEX('Inputs &amp; Assuptions'!$D$13:$D$72, COLUMN() - ($E46 + 5)), 0))
  )
)</f>
        <v>1114.6019230095717</v>
      </c>
      <c r="AZ46" s="32">
        <f t="array" ref="AZ46">IF(COLUMN() - ($E46 + 5) &lt; 0, 0,
  IF(COLUMN() - ($E46 + 5) = 0, $F46,
    AY46 * (1 - IFERROR(INDEX('Inputs &amp; Assuptions'!$D$13:$D$72, COLUMN() - ($E46 + 5)), 0))
  )
)</f>
        <v>1112.5956395481544</v>
      </c>
      <c r="BA46" s="32">
        <f t="array" ref="BA46">IF(COLUMN() - ($E46 + 5) &lt; 0, 0,
  IF(COLUMN() - ($E46 + 5) = 0, $F46,
    AZ46 * (1 - IFERROR(INDEX('Inputs &amp; Assuptions'!$D$13:$D$72, COLUMN() - ($E46 + 5)), 0))
  )
)</f>
        <v>1110.9267460888323</v>
      </c>
      <c r="BB46" s="32">
        <f t="array" ref="BB46">IF(COLUMN() - ($E46 + 5) &lt; 0, 0,
  IF(COLUMN() - ($E46 + 5) = 0, $F46,
    BA46 * (1 - IFERROR(INDEX('Inputs &amp; Assuptions'!$D$13:$D$72, COLUMN() - ($E46 + 5)), 0))
  )
)</f>
        <v>1109.4825413189169</v>
      </c>
      <c r="BC46" s="32">
        <f t="array" ref="BC46">IF(COLUMN() - ($E46 + 5) &lt; 0, 0,
  IF(COLUMN() - ($E46 + 5) = 0, $F46,
    BB46 * (1 - IFERROR(INDEX('Inputs &amp; Assuptions'!$D$13:$D$72, COLUMN() - ($E46 + 5)), 0))
  )
)</f>
        <v>1108.3730587775981</v>
      </c>
      <c r="BD46" s="32">
        <f t="array" ref="BD46">IF(COLUMN() - ($E46 + 5) &lt; 0, 0,
  IF(COLUMN() - ($E46 + 5) = 0, $F46,
    BC46 * (1 - IFERROR(INDEX('Inputs &amp; Assuptions'!$D$13:$D$72, COLUMN() - ($E46 + 5)), 0))
  )
)</f>
        <v>1107.486360330576</v>
      </c>
      <c r="BE46" s="32">
        <f t="array" ref="BE46">IF(COLUMN() - ($E46 + 5) &lt; 0, 0,
  IF(COLUMN() - ($E46 + 5) = 0, $F46,
    BD46 * (1 - IFERROR(INDEX('Inputs &amp; Assuptions'!$D$13:$D$72, COLUMN() - ($E46 + 5)), 0))
  )
)</f>
        <v>1106.9326171504108</v>
      </c>
      <c r="BF46" s="32">
        <f t="array" ref="BF46">IF(COLUMN() - ($E46 + 5) &lt; 0, 0,
  IF(COLUMN() - ($E46 + 5) = 0, $F46,
    BE46 * (1 - IFERROR(INDEX('Inputs &amp; Assuptions'!$D$13:$D$72, COLUMN() - ($E46 + 5)), 0))
  )
)</f>
        <v>1106.3791508418356</v>
      </c>
      <c r="BG46" s="32">
        <f t="array" ref="BG46">IF(COLUMN() - ($E46 + 5) &lt; 0, 0,
  IF(COLUMN() - ($E46 + 5) = 0, $F46,
    BF46 * (1 - IFERROR(INDEX('Inputs &amp; Assuptions'!$D$13:$D$72, COLUMN() - ($E46 + 5)), 0))
  )
)</f>
        <v>1105.8259612664147</v>
      </c>
      <c r="BH46" s="32">
        <f t="array" ref="BH46">IF(COLUMN() - ($E46 + 5) &lt; 0, 0,
  IF(COLUMN() - ($E46 + 5) = 0, $F46,
    BG46 * (1 - IFERROR(INDEX('Inputs &amp; Assuptions'!$D$13:$D$72, COLUMN() - ($E46 + 5)), 0))
  )
)</f>
        <v>1105.2730482857814</v>
      </c>
      <c r="BI46" s="32">
        <f t="array" ref="BI46">IF(COLUMN() - ($E46 + 5) &lt; 0, 0,
  IF(COLUMN() - ($E46 + 5) = 0, $F46,
    BH46 * (1 - IFERROR(INDEX('Inputs &amp; Assuptions'!$D$13:$D$72, COLUMN() - ($E46 + 5)), 0))
  )
)</f>
        <v>1104.7204117616386</v>
      </c>
      <c r="BJ46" s="32">
        <f t="array" ref="BJ46">IF(COLUMN() - ($E46 + 5) &lt; 0, 0,
  IF(COLUMN() - ($E46 + 5) = 0, $F46,
    BI46 * (1 - IFERROR(INDEX('Inputs &amp; Assuptions'!$D$13:$D$72, COLUMN() - ($E46 + 5)), 0))
  )
)</f>
        <v>1104.1680515557578</v>
      </c>
      <c r="BK46" s="32">
        <f t="array" ref="BK46">IF(COLUMN() - ($E46 + 5) &lt; 0, 0,
  IF(COLUMN() - ($E46 + 5) = 0, $F46,
    BJ46 * (1 - IFERROR(INDEX('Inputs &amp; Assuptions'!$D$13:$D$72, COLUMN() - ($E46 + 5)), 0))
  )
)</f>
        <v>1103.61596752998</v>
      </c>
      <c r="BL46" s="32">
        <f t="array" ref="BL46">IF(COLUMN() - ($E46 + 5) &lt; 0, 0,
  IF(COLUMN() - ($E46 + 5) = 0, $F46,
    BK46 * (1 - IFERROR(INDEX('Inputs &amp; Assuptions'!$D$13:$D$72, COLUMN() - ($E46 + 5)), 0))
  )
)</f>
        <v>1103.064159546215</v>
      </c>
      <c r="BM46" s="66">
        <f t="array" ref="BM46">IF(COLUMN() - ($E46 + 5) &lt; 0, 0,
  IF(COLUMN() - ($E46 + 5) = 0, $F46,
    BL46 * (1 - IFERROR(INDEX('Inputs &amp; Assuptions'!$D$13:$D$72, COLUMN() - ($E46 + 5)), 0))
  )
)</f>
        <v>1102.5126274664419</v>
      </c>
      <c r="BN46" s="33"/>
    </row>
    <row r="47" spans="1:66" x14ac:dyDescent="0.3">
      <c r="A47" s="71">
        <f t="shared" si="6"/>
        <v>42</v>
      </c>
      <c r="B47" s="75">
        <f t="shared" si="4"/>
        <v>1157.625</v>
      </c>
      <c r="C47" s="76">
        <f>$B47*(1-'Inputs &amp; Assuptions'!$D$12)</f>
        <v>1132.15725</v>
      </c>
      <c r="E47" s="71">
        <f t="shared" si="7"/>
        <v>42</v>
      </c>
      <c r="F47" s="65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>
        <f>$C47</f>
        <v>1132.15725</v>
      </c>
      <c r="AV47" s="32">
        <f t="array" ref="AV47">IF(COLUMN() - ($E47 + 5) &lt; 0, 0,
  IF(COLUMN() - ($E47 + 5) = 0, $F47,
    AU47 * (1 - IFERROR(INDEX('Inputs &amp; Assuptions'!$D$13:$D$72, COLUMN() - ($E47 + 5)), 0))
  )
)</f>
        <v>1126.49646375</v>
      </c>
      <c r="AW47" s="32">
        <f t="array" ref="AW47">IF(COLUMN() - ($E47 + 5) &lt; 0, 0,
  IF(COLUMN() - ($E47 + 5) = 0, $F47,
    AV47 * (1 - IFERROR(INDEX('Inputs &amp; Assuptions'!$D$13:$D$72, COLUMN() - ($E47 + 5)), 0))
  )
)</f>
        <v>1122.2157771877498</v>
      </c>
      <c r="AX47" s="32">
        <f t="array" ref="AX47">IF(COLUMN() - ($E47 + 5) &lt; 0, 0,
  IF(COLUMN() - ($E47 + 5) = 0, $F47,
    AW47 * (1 - IFERROR(INDEX('Inputs &amp; Assuptions'!$D$13:$D$72, COLUMN() - ($E47 + 5)), 0))
  )
)</f>
        <v>1119.4102377447805</v>
      </c>
      <c r="AY47" s="32">
        <f t="array" ref="AY47">IF(COLUMN() - ($E47 + 5) &lt; 0, 0,
  IF(COLUMN() - ($E47 + 5) = 0, $F47,
    AX47 * (1 - IFERROR(INDEX('Inputs &amp; Assuptions'!$D$13:$D$72, COLUMN() - ($E47 + 5)), 0))
  )
)</f>
        <v>1116.8355941979676</v>
      </c>
      <c r="AZ47" s="32">
        <f t="array" ref="AZ47">IF(COLUMN() - ($E47 + 5) &lt; 0, 0,
  IF(COLUMN() - ($E47 + 5) = 0, $F47,
    AY47 * (1 - IFERROR(INDEX('Inputs &amp; Assuptions'!$D$13:$D$72, COLUMN() - ($E47 + 5)), 0))
  )
)</f>
        <v>1114.6019230095717</v>
      </c>
      <c r="BA47" s="32">
        <f t="array" ref="BA47">IF(COLUMN() - ($E47 + 5) &lt; 0, 0,
  IF(COLUMN() - ($E47 + 5) = 0, $F47,
    AZ47 * (1 - IFERROR(INDEX('Inputs &amp; Assuptions'!$D$13:$D$72, COLUMN() - ($E47 + 5)), 0))
  )
)</f>
        <v>1112.5956395481544</v>
      </c>
      <c r="BB47" s="32">
        <f t="array" ref="BB47">IF(COLUMN() - ($E47 + 5) &lt; 0, 0,
  IF(COLUMN() - ($E47 + 5) = 0, $F47,
    BA47 * (1 - IFERROR(INDEX('Inputs &amp; Assuptions'!$D$13:$D$72, COLUMN() - ($E47 + 5)), 0))
  )
)</f>
        <v>1110.9267460888323</v>
      </c>
      <c r="BC47" s="32">
        <f t="array" ref="BC47">IF(COLUMN() - ($E47 + 5) &lt; 0, 0,
  IF(COLUMN() - ($E47 + 5) = 0, $F47,
    BB47 * (1 - IFERROR(INDEX('Inputs &amp; Assuptions'!$D$13:$D$72, COLUMN() - ($E47 + 5)), 0))
  )
)</f>
        <v>1109.4825413189169</v>
      </c>
      <c r="BD47" s="32">
        <f t="array" ref="BD47">IF(COLUMN() - ($E47 + 5) &lt; 0, 0,
  IF(COLUMN() - ($E47 + 5) = 0, $F47,
    BC47 * (1 - IFERROR(INDEX('Inputs &amp; Assuptions'!$D$13:$D$72, COLUMN() - ($E47 + 5)), 0))
  )
)</f>
        <v>1108.3730587775981</v>
      </c>
      <c r="BE47" s="32">
        <f t="array" ref="BE47">IF(COLUMN() - ($E47 + 5) &lt; 0, 0,
  IF(COLUMN() - ($E47 + 5) = 0, $F47,
    BD47 * (1 - IFERROR(INDEX('Inputs &amp; Assuptions'!$D$13:$D$72, COLUMN() - ($E47 + 5)), 0))
  )
)</f>
        <v>1107.486360330576</v>
      </c>
      <c r="BF47" s="32">
        <f t="array" ref="BF47">IF(COLUMN() - ($E47 + 5) &lt; 0, 0,
  IF(COLUMN() - ($E47 + 5) = 0, $F47,
    BE47 * (1 - IFERROR(INDEX('Inputs &amp; Assuptions'!$D$13:$D$72, COLUMN() - ($E47 + 5)), 0))
  )
)</f>
        <v>1106.9326171504108</v>
      </c>
      <c r="BG47" s="32">
        <f t="array" ref="BG47">IF(COLUMN() - ($E47 + 5) &lt; 0, 0,
  IF(COLUMN() - ($E47 + 5) = 0, $F47,
    BF47 * (1 - IFERROR(INDEX('Inputs &amp; Assuptions'!$D$13:$D$72, COLUMN() - ($E47 + 5)), 0))
  )
)</f>
        <v>1106.3791508418356</v>
      </c>
      <c r="BH47" s="32">
        <f t="array" ref="BH47">IF(COLUMN() - ($E47 + 5) &lt; 0, 0,
  IF(COLUMN() - ($E47 + 5) = 0, $F47,
    BG47 * (1 - IFERROR(INDEX('Inputs &amp; Assuptions'!$D$13:$D$72, COLUMN() - ($E47 + 5)), 0))
  )
)</f>
        <v>1105.8259612664147</v>
      </c>
      <c r="BI47" s="32">
        <f t="array" ref="BI47">IF(COLUMN() - ($E47 + 5) &lt; 0, 0,
  IF(COLUMN() - ($E47 + 5) = 0, $F47,
    BH47 * (1 - IFERROR(INDEX('Inputs &amp; Assuptions'!$D$13:$D$72, COLUMN() - ($E47 + 5)), 0))
  )
)</f>
        <v>1105.2730482857814</v>
      </c>
      <c r="BJ47" s="32">
        <f t="array" ref="BJ47">IF(COLUMN() - ($E47 + 5) &lt; 0, 0,
  IF(COLUMN() - ($E47 + 5) = 0, $F47,
    BI47 * (1 - IFERROR(INDEX('Inputs &amp; Assuptions'!$D$13:$D$72, COLUMN() - ($E47 + 5)), 0))
  )
)</f>
        <v>1104.7204117616386</v>
      </c>
      <c r="BK47" s="32">
        <f t="array" ref="BK47">IF(COLUMN() - ($E47 + 5) &lt; 0, 0,
  IF(COLUMN() - ($E47 + 5) = 0, $F47,
    BJ47 * (1 - IFERROR(INDEX('Inputs &amp; Assuptions'!$D$13:$D$72, COLUMN() - ($E47 + 5)), 0))
  )
)</f>
        <v>1104.1680515557578</v>
      </c>
      <c r="BL47" s="32">
        <f t="array" ref="BL47">IF(COLUMN() - ($E47 + 5) &lt; 0, 0,
  IF(COLUMN() - ($E47 + 5) = 0, $F47,
    BK47 * (1 - IFERROR(INDEX('Inputs &amp; Assuptions'!$D$13:$D$72, COLUMN() - ($E47 + 5)), 0))
  )
)</f>
        <v>1103.61596752998</v>
      </c>
      <c r="BM47" s="66">
        <f t="array" ref="BM47">IF(COLUMN() - ($E47 + 5) &lt; 0, 0,
  IF(COLUMN() - ($E47 + 5) = 0, $F47,
    BL47 * (1 - IFERROR(INDEX('Inputs &amp; Assuptions'!$D$13:$D$72, COLUMN() - ($E47 + 5)), 0))
  )
)</f>
        <v>1103.064159546215</v>
      </c>
      <c r="BN47" s="33"/>
    </row>
    <row r="48" spans="1:66" x14ac:dyDescent="0.3">
      <c r="A48" s="71">
        <f t="shared" si="6"/>
        <v>43</v>
      </c>
      <c r="B48" s="75">
        <f t="shared" si="4"/>
        <v>1157.625</v>
      </c>
      <c r="C48" s="76">
        <f>$B48*(1-'Inputs &amp; Assuptions'!$D$12)</f>
        <v>1132.15725</v>
      </c>
      <c r="E48" s="71">
        <f t="shared" si="7"/>
        <v>43</v>
      </c>
      <c r="F48" s="65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>
        <f>$C48</f>
        <v>1132.15725</v>
      </c>
      <c r="AW48" s="32">
        <f t="array" ref="AW48">IF(COLUMN() - ($E48 + 5) &lt; 0, 0,
  IF(COLUMN() - ($E48 + 5) = 0, $F48,
    AV48 * (1 - IFERROR(INDEX('Inputs &amp; Assuptions'!$D$13:$D$72, COLUMN() - ($E48 + 5)), 0))
  )
)</f>
        <v>1126.49646375</v>
      </c>
      <c r="AX48" s="32">
        <f t="array" ref="AX48">IF(COLUMN() - ($E48 + 5) &lt; 0, 0,
  IF(COLUMN() - ($E48 + 5) = 0, $F48,
    AW48 * (1 - IFERROR(INDEX('Inputs &amp; Assuptions'!$D$13:$D$72, COLUMN() - ($E48 + 5)), 0))
  )
)</f>
        <v>1122.2157771877498</v>
      </c>
      <c r="AY48" s="32">
        <f t="array" ref="AY48">IF(COLUMN() - ($E48 + 5) &lt; 0, 0,
  IF(COLUMN() - ($E48 + 5) = 0, $F48,
    AX48 * (1 - IFERROR(INDEX('Inputs &amp; Assuptions'!$D$13:$D$72, COLUMN() - ($E48 + 5)), 0))
  )
)</f>
        <v>1119.4102377447805</v>
      </c>
      <c r="AZ48" s="32">
        <f t="array" ref="AZ48">IF(COLUMN() - ($E48 + 5) &lt; 0, 0,
  IF(COLUMN() - ($E48 + 5) = 0, $F48,
    AY48 * (1 - IFERROR(INDEX('Inputs &amp; Assuptions'!$D$13:$D$72, COLUMN() - ($E48 + 5)), 0))
  )
)</f>
        <v>1116.8355941979676</v>
      </c>
      <c r="BA48" s="32">
        <f t="array" ref="BA48">IF(COLUMN() - ($E48 + 5) &lt; 0, 0,
  IF(COLUMN() - ($E48 + 5) = 0, $F48,
    AZ48 * (1 - IFERROR(INDEX('Inputs &amp; Assuptions'!$D$13:$D$72, COLUMN() - ($E48 + 5)), 0))
  )
)</f>
        <v>1114.6019230095717</v>
      </c>
      <c r="BB48" s="32">
        <f t="array" ref="BB48">IF(COLUMN() - ($E48 + 5) &lt; 0, 0,
  IF(COLUMN() - ($E48 + 5) = 0, $F48,
    BA48 * (1 - IFERROR(INDEX('Inputs &amp; Assuptions'!$D$13:$D$72, COLUMN() - ($E48 + 5)), 0))
  )
)</f>
        <v>1112.5956395481544</v>
      </c>
      <c r="BC48" s="32">
        <f t="array" ref="BC48">IF(COLUMN() - ($E48 + 5) &lt; 0, 0,
  IF(COLUMN() - ($E48 + 5) = 0, $F48,
    BB48 * (1 - IFERROR(INDEX('Inputs &amp; Assuptions'!$D$13:$D$72, COLUMN() - ($E48 + 5)), 0))
  )
)</f>
        <v>1110.9267460888323</v>
      </c>
      <c r="BD48" s="32">
        <f t="array" ref="BD48">IF(COLUMN() - ($E48 + 5) &lt; 0, 0,
  IF(COLUMN() - ($E48 + 5) = 0, $F48,
    BC48 * (1 - IFERROR(INDEX('Inputs &amp; Assuptions'!$D$13:$D$72, COLUMN() - ($E48 + 5)), 0))
  )
)</f>
        <v>1109.4825413189169</v>
      </c>
      <c r="BE48" s="32">
        <f t="array" ref="BE48">IF(COLUMN() - ($E48 + 5) &lt; 0, 0,
  IF(COLUMN() - ($E48 + 5) = 0, $F48,
    BD48 * (1 - IFERROR(INDEX('Inputs &amp; Assuptions'!$D$13:$D$72, COLUMN() - ($E48 + 5)), 0))
  )
)</f>
        <v>1108.3730587775981</v>
      </c>
      <c r="BF48" s="32">
        <f t="array" ref="BF48">IF(COLUMN() - ($E48 + 5) &lt; 0, 0,
  IF(COLUMN() - ($E48 + 5) = 0, $F48,
    BE48 * (1 - IFERROR(INDEX('Inputs &amp; Assuptions'!$D$13:$D$72, COLUMN() - ($E48 + 5)), 0))
  )
)</f>
        <v>1107.486360330576</v>
      </c>
      <c r="BG48" s="32">
        <f t="array" ref="BG48">IF(COLUMN() - ($E48 + 5) &lt; 0, 0,
  IF(COLUMN() - ($E48 + 5) = 0, $F48,
    BF48 * (1 - IFERROR(INDEX('Inputs &amp; Assuptions'!$D$13:$D$72, COLUMN() - ($E48 + 5)), 0))
  )
)</f>
        <v>1106.9326171504108</v>
      </c>
      <c r="BH48" s="32">
        <f t="array" ref="BH48">IF(COLUMN() - ($E48 + 5) &lt; 0, 0,
  IF(COLUMN() - ($E48 + 5) = 0, $F48,
    BG48 * (1 - IFERROR(INDEX('Inputs &amp; Assuptions'!$D$13:$D$72, COLUMN() - ($E48 + 5)), 0))
  )
)</f>
        <v>1106.3791508418356</v>
      </c>
      <c r="BI48" s="32">
        <f t="array" ref="BI48">IF(COLUMN() - ($E48 + 5) &lt; 0, 0,
  IF(COLUMN() - ($E48 + 5) = 0, $F48,
    BH48 * (1 - IFERROR(INDEX('Inputs &amp; Assuptions'!$D$13:$D$72, COLUMN() - ($E48 + 5)), 0))
  )
)</f>
        <v>1105.8259612664147</v>
      </c>
      <c r="BJ48" s="32">
        <f t="array" ref="BJ48">IF(COLUMN() - ($E48 + 5) &lt; 0, 0,
  IF(COLUMN() - ($E48 + 5) = 0, $F48,
    BI48 * (1 - IFERROR(INDEX('Inputs &amp; Assuptions'!$D$13:$D$72, COLUMN() - ($E48 + 5)), 0))
  )
)</f>
        <v>1105.2730482857814</v>
      </c>
      <c r="BK48" s="32">
        <f t="array" ref="BK48">IF(COLUMN() - ($E48 + 5) &lt; 0, 0,
  IF(COLUMN() - ($E48 + 5) = 0, $F48,
    BJ48 * (1 - IFERROR(INDEX('Inputs &amp; Assuptions'!$D$13:$D$72, COLUMN() - ($E48 + 5)), 0))
  )
)</f>
        <v>1104.7204117616386</v>
      </c>
      <c r="BL48" s="32">
        <f t="array" ref="BL48">IF(COLUMN() - ($E48 + 5) &lt; 0, 0,
  IF(COLUMN() - ($E48 + 5) = 0, $F48,
    BK48 * (1 - IFERROR(INDEX('Inputs &amp; Assuptions'!$D$13:$D$72, COLUMN() - ($E48 + 5)), 0))
  )
)</f>
        <v>1104.1680515557578</v>
      </c>
      <c r="BM48" s="66">
        <f t="array" ref="BM48">IF(COLUMN() - ($E48 + 5) &lt; 0, 0,
  IF(COLUMN() - ($E48 + 5) = 0, $F48,
    BL48 * (1 - IFERROR(INDEX('Inputs &amp; Assuptions'!$D$13:$D$72, COLUMN() - ($E48 + 5)), 0))
  )
)</f>
        <v>1103.61596752998</v>
      </c>
      <c r="BN48" s="33"/>
    </row>
    <row r="49" spans="1:66" x14ac:dyDescent="0.3">
      <c r="A49" s="71">
        <f t="shared" si="6"/>
        <v>44</v>
      </c>
      <c r="B49" s="75">
        <f t="shared" si="4"/>
        <v>1157.625</v>
      </c>
      <c r="C49" s="76">
        <f>$B49*(1-'Inputs &amp; Assuptions'!$D$12)</f>
        <v>1132.15725</v>
      </c>
      <c r="E49" s="71">
        <f t="shared" si="7"/>
        <v>44</v>
      </c>
      <c r="F49" s="65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>
        <f>$C49</f>
        <v>1132.15725</v>
      </c>
      <c r="AX49" s="32">
        <f t="array" ref="AX49">IF(COLUMN() - ($E49 + 5) &lt; 0, 0,
  IF(COLUMN() - ($E49 + 5) = 0, $F49,
    AW49 * (1 - IFERROR(INDEX('Inputs &amp; Assuptions'!$D$13:$D$72, COLUMN() - ($E49 + 5)), 0))
  )
)</f>
        <v>1126.49646375</v>
      </c>
      <c r="AY49" s="32">
        <f t="array" ref="AY49">IF(COLUMN() - ($E49 + 5) &lt; 0, 0,
  IF(COLUMN() - ($E49 + 5) = 0, $F49,
    AX49 * (1 - IFERROR(INDEX('Inputs &amp; Assuptions'!$D$13:$D$72, COLUMN() - ($E49 + 5)), 0))
  )
)</f>
        <v>1122.2157771877498</v>
      </c>
      <c r="AZ49" s="32">
        <f t="array" ref="AZ49">IF(COLUMN() - ($E49 + 5) &lt; 0, 0,
  IF(COLUMN() - ($E49 + 5) = 0, $F49,
    AY49 * (1 - IFERROR(INDEX('Inputs &amp; Assuptions'!$D$13:$D$72, COLUMN() - ($E49 + 5)), 0))
  )
)</f>
        <v>1119.4102377447805</v>
      </c>
      <c r="BA49" s="32">
        <f t="array" ref="BA49">IF(COLUMN() - ($E49 + 5) &lt; 0, 0,
  IF(COLUMN() - ($E49 + 5) = 0, $F49,
    AZ49 * (1 - IFERROR(INDEX('Inputs &amp; Assuptions'!$D$13:$D$72, COLUMN() - ($E49 + 5)), 0))
  )
)</f>
        <v>1116.8355941979676</v>
      </c>
      <c r="BB49" s="32">
        <f t="array" ref="BB49">IF(COLUMN() - ($E49 + 5) &lt; 0, 0,
  IF(COLUMN() - ($E49 + 5) = 0, $F49,
    BA49 * (1 - IFERROR(INDEX('Inputs &amp; Assuptions'!$D$13:$D$72, COLUMN() - ($E49 + 5)), 0))
  )
)</f>
        <v>1114.6019230095717</v>
      </c>
      <c r="BC49" s="32">
        <f t="array" ref="BC49">IF(COLUMN() - ($E49 + 5) &lt; 0, 0,
  IF(COLUMN() - ($E49 + 5) = 0, $F49,
    BB49 * (1 - IFERROR(INDEX('Inputs &amp; Assuptions'!$D$13:$D$72, COLUMN() - ($E49 + 5)), 0))
  )
)</f>
        <v>1112.5956395481544</v>
      </c>
      <c r="BD49" s="32">
        <f t="array" ref="BD49">IF(COLUMN() - ($E49 + 5) &lt; 0, 0,
  IF(COLUMN() - ($E49 + 5) = 0, $F49,
    BC49 * (1 - IFERROR(INDEX('Inputs &amp; Assuptions'!$D$13:$D$72, COLUMN() - ($E49 + 5)), 0))
  )
)</f>
        <v>1110.9267460888323</v>
      </c>
      <c r="BE49" s="32">
        <f t="array" ref="BE49">IF(COLUMN() - ($E49 + 5) &lt; 0, 0,
  IF(COLUMN() - ($E49 + 5) = 0, $F49,
    BD49 * (1 - IFERROR(INDEX('Inputs &amp; Assuptions'!$D$13:$D$72, COLUMN() - ($E49 + 5)), 0))
  )
)</f>
        <v>1109.4825413189169</v>
      </c>
      <c r="BF49" s="32">
        <f t="array" ref="BF49">IF(COLUMN() - ($E49 + 5) &lt; 0, 0,
  IF(COLUMN() - ($E49 + 5) = 0, $F49,
    BE49 * (1 - IFERROR(INDEX('Inputs &amp; Assuptions'!$D$13:$D$72, COLUMN() - ($E49 + 5)), 0))
  )
)</f>
        <v>1108.3730587775981</v>
      </c>
      <c r="BG49" s="32">
        <f t="array" ref="BG49">IF(COLUMN() - ($E49 + 5) &lt; 0, 0,
  IF(COLUMN() - ($E49 + 5) = 0, $F49,
    BF49 * (1 - IFERROR(INDEX('Inputs &amp; Assuptions'!$D$13:$D$72, COLUMN() - ($E49 + 5)), 0))
  )
)</f>
        <v>1107.486360330576</v>
      </c>
      <c r="BH49" s="32">
        <f t="array" ref="BH49">IF(COLUMN() - ($E49 + 5) &lt; 0, 0,
  IF(COLUMN() - ($E49 + 5) = 0, $F49,
    BG49 * (1 - IFERROR(INDEX('Inputs &amp; Assuptions'!$D$13:$D$72, COLUMN() - ($E49 + 5)), 0))
  )
)</f>
        <v>1106.9326171504108</v>
      </c>
      <c r="BI49" s="32">
        <f t="array" ref="BI49">IF(COLUMN() - ($E49 + 5) &lt; 0, 0,
  IF(COLUMN() - ($E49 + 5) = 0, $F49,
    BH49 * (1 - IFERROR(INDEX('Inputs &amp; Assuptions'!$D$13:$D$72, COLUMN() - ($E49 + 5)), 0))
  )
)</f>
        <v>1106.3791508418356</v>
      </c>
      <c r="BJ49" s="32">
        <f t="array" ref="BJ49">IF(COLUMN() - ($E49 + 5) &lt; 0, 0,
  IF(COLUMN() - ($E49 + 5) = 0, $F49,
    BI49 * (1 - IFERROR(INDEX('Inputs &amp; Assuptions'!$D$13:$D$72, COLUMN() - ($E49 + 5)), 0))
  )
)</f>
        <v>1105.8259612664147</v>
      </c>
      <c r="BK49" s="32">
        <f t="array" ref="BK49">IF(COLUMN() - ($E49 + 5) &lt; 0, 0,
  IF(COLUMN() - ($E49 + 5) = 0, $F49,
    BJ49 * (1 - IFERROR(INDEX('Inputs &amp; Assuptions'!$D$13:$D$72, COLUMN() - ($E49 + 5)), 0))
  )
)</f>
        <v>1105.2730482857814</v>
      </c>
      <c r="BL49" s="32">
        <f t="array" ref="BL49">IF(COLUMN() - ($E49 + 5) &lt; 0, 0,
  IF(COLUMN() - ($E49 + 5) = 0, $F49,
    BK49 * (1 - IFERROR(INDEX('Inputs &amp; Assuptions'!$D$13:$D$72, COLUMN() - ($E49 + 5)), 0))
  )
)</f>
        <v>1104.7204117616386</v>
      </c>
      <c r="BM49" s="66">
        <f t="array" ref="BM49">IF(COLUMN() - ($E49 + 5) &lt; 0, 0,
  IF(COLUMN() - ($E49 + 5) = 0, $F49,
    BL49 * (1 - IFERROR(INDEX('Inputs &amp; Assuptions'!$D$13:$D$72, COLUMN() - ($E49 + 5)), 0))
  )
)</f>
        <v>1104.1680515557578</v>
      </c>
      <c r="BN49" s="33"/>
    </row>
    <row r="50" spans="1:66" x14ac:dyDescent="0.3">
      <c r="A50" s="71">
        <f t="shared" si="6"/>
        <v>45</v>
      </c>
      <c r="B50" s="75">
        <f t="shared" si="4"/>
        <v>1157.625</v>
      </c>
      <c r="C50" s="76">
        <f>$B50*(1-'Inputs &amp; Assuptions'!$D$12)</f>
        <v>1132.15725</v>
      </c>
      <c r="E50" s="71">
        <f t="shared" si="7"/>
        <v>45</v>
      </c>
      <c r="F50" s="65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>
        <f>$C50</f>
        <v>1132.15725</v>
      </c>
      <c r="AY50" s="32">
        <f t="array" ref="AY50">IF(COLUMN() - ($E50 + 5) &lt; 0, 0,
  IF(COLUMN() - ($E50 + 5) = 0, $F50,
    AX50 * (1 - IFERROR(INDEX('Inputs &amp; Assuptions'!$D$13:$D$72, COLUMN() - ($E50 + 5)), 0))
  )
)</f>
        <v>1126.49646375</v>
      </c>
      <c r="AZ50" s="32">
        <f t="array" ref="AZ50">IF(COLUMN() - ($E50 + 5) &lt; 0, 0,
  IF(COLUMN() - ($E50 + 5) = 0, $F50,
    AY50 * (1 - IFERROR(INDEX('Inputs &amp; Assuptions'!$D$13:$D$72, COLUMN() - ($E50 + 5)), 0))
  )
)</f>
        <v>1122.2157771877498</v>
      </c>
      <c r="BA50" s="32">
        <f t="array" ref="BA50">IF(COLUMN() - ($E50 + 5) &lt; 0, 0,
  IF(COLUMN() - ($E50 + 5) = 0, $F50,
    AZ50 * (1 - IFERROR(INDEX('Inputs &amp; Assuptions'!$D$13:$D$72, COLUMN() - ($E50 + 5)), 0))
  )
)</f>
        <v>1119.4102377447805</v>
      </c>
      <c r="BB50" s="32">
        <f t="array" ref="BB50">IF(COLUMN() - ($E50 + 5) &lt; 0, 0,
  IF(COLUMN() - ($E50 + 5) = 0, $F50,
    BA50 * (1 - IFERROR(INDEX('Inputs &amp; Assuptions'!$D$13:$D$72, COLUMN() - ($E50 + 5)), 0))
  )
)</f>
        <v>1116.8355941979676</v>
      </c>
      <c r="BC50" s="32">
        <f t="array" ref="BC50">IF(COLUMN() - ($E50 + 5) &lt; 0, 0,
  IF(COLUMN() - ($E50 + 5) = 0, $F50,
    BB50 * (1 - IFERROR(INDEX('Inputs &amp; Assuptions'!$D$13:$D$72, COLUMN() - ($E50 + 5)), 0))
  )
)</f>
        <v>1114.6019230095717</v>
      </c>
      <c r="BD50" s="32">
        <f t="array" ref="BD50">IF(COLUMN() - ($E50 + 5) &lt; 0, 0,
  IF(COLUMN() - ($E50 + 5) = 0, $F50,
    BC50 * (1 - IFERROR(INDEX('Inputs &amp; Assuptions'!$D$13:$D$72, COLUMN() - ($E50 + 5)), 0))
  )
)</f>
        <v>1112.5956395481544</v>
      </c>
      <c r="BE50" s="32">
        <f t="array" ref="BE50">IF(COLUMN() - ($E50 + 5) &lt; 0, 0,
  IF(COLUMN() - ($E50 + 5) = 0, $F50,
    BD50 * (1 - IFERROR(INDEX('Inputs &amp; Assuptions'!$D$13:$D$72, COLUMN() - ($E50 + 5)), 0))
  )
)</f>
        <v>1110.9267460888323</v>
      </c>
      <c r="BF50" s="32">
        <f t="array" ref="BF50">IF(COLUMN() - ($E50 + 5) &lt; 0, 0,
  IF(COLUMN() - ($E50 + 5) = 0, $F50,
    BE50 * (1 - IFERROR(INDEX('Inputs &amp; Assuptions'!$D$13:$D$72, COLUMN() - ($E50 + 5)), 0))
  )
)</f>
        <v>1109.4825413189169</v>
      </c>
      <c r="BG50" s="32">
        <f t="array" ref="BG50">IF(COLUMN() - ($E50 + 5) &lt; 0, 0,
  IF(COLUMN() - ($E50 + 5) = 0, $F50,
    BF50 * (1 - IFERROR(INDEX('Inputs &amp; Assuptions'!$D$13:$D$72, COLUMN() - ($E50 + 5)), 0))
  )
)</f>
        <v>1108.3730587775981</v>
      </c>
      <c r="BH50" s="32">
        <f t="array" ref="BH50">IF(COLUMN() - ($E50 + 5) &lt; 0, 0,
  IF(COLUMN() - ($E50 + 5) = 0, $F50,
    BG50 * (1 - IFERROR(INDEX('Inputs &amp; Assuptions'!$D$13:$D$72, COLUMN() - ($E50 + 5)), 0))
  )
)</f>
        <v>1107.486360330576</v>
      </c>
      <c r="BI50" s="32">
        <f t="array" ref="BI50">IF(COLUMN() - ($E50 + 5) &lt; 0, 0,
  IF(COLUMN() - ($E50 + 5) = 0, $F50,
    BH50 * (1 - IFERROR(INDEX('Inputs &amp; Assuptions'!$D$13:$D$72, COLUMN() - ($E50 + 5)), 0))
  )
)</f>
        <v>1106.9326171504108</v>
      </c>
      <c r="BJ50" s="32">
        <f t="array" ref="BJ50">IF(COLUMN() - ($E50 + 5) &lt; 0, 0,
  IF(COLUMN() - ($E50 + 5) = 0, $F50,
    BI50 * (1 - IFERROR(INDEX('Inputs &amp; Assuptions'!$D$13:$D$72, COLUMN() - ($E50 + 5)), 0))
  )
)</f>
        <v>1106.3791508418356</v>
      </c>
      <c r="BK50" s="32">
        <f t="array" ref="BK50">IF(COLUMN() - ($E50 + 5) &lt; 0, 0,
  IF(COLUMN() - ($E50 + 5) = 0, $F50,
    BJ50 * (1 - IFERROR(INDEX('Inputs &amp; Assuptions'!$D$13:$D$72, COLUMN() - ($E50 + 5)), 0))
  )
)</f>
        <v>1105.8259612664147</v>
      </c>
      <c r="BL50" s="32">
        <f t="array" ref="BL50">IF(COLUMN() - ($E50 + 5) &lt; 0, 0,
  IF(COLUMN() - ($E50 + 5) = 0, $F50,
    BK50 * (1 - IFERROR(INDEX('Inputs &amp; Assuptions'!$D$13:$D$72, COLUMN() - ($E50 + 5)), 0))
  )
)</f>
        <v>1105.2730482857814</v>
      </c>
      <c r="BM50" s="66">
        <f t="array" ref="BM50">IF(COLUMN() - ($E50 + 5) &lt; 0, 0,
  IF(COLUMN() - ($E50 + 5) = 0, $F50,
    BL50 * (1 - IFERROR(INDEX('Inputs &amp; Assuptions'!$D$13:$D$72, COLUMN() - ($E50 + 5)), 0))
  )
)</f>
        <v>1104.7204117616386</v>
      </c>
      <c r="BN50" s="33"/>
    </row>
    <row r="51" spans="1:66" x14ac:dyDescent="0.3">
      <c r="A51" s="71">
        <f t="shared" si="6"/>
        <v>46</v>
      </c>
      <c r="B51" s="75">
        <f t="shared" si="4"/>
        <v>1157.625</v>
      </c>
      <c r="C51" s="76">
        <f>$B51*(1-'Inputs &amp; Assuptions'!$D$12)</f>
        <v>1132.15725</v>
      </c>
      <c r="E51" s="71">
        <f t="shared" si="7"/>
        <v>46</v>
      </c>
      <c r="F51" s="65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>
        <f>$C51</f>
        <v>1132.15725</v>
      </c>
      <c r="AZ51" s="32">
        <f t="array" ref="AZ51">IF(COLUMN() - ($E51 + 5) &lt; 0, 0,
  IF(COLUMN() - ($E51 + 5) = 0, $F51,
    AY51 * (1 - IFERROR(INDEX('Inputs &amp; Assuptions'!$D$13:$D$72, COLUMN() - ($E51 + 5)), 0))
  )
)</f>
        <v>1126.49646375</v>
      </c>
      <c r="BA51" s="32">
        <f t="array" ref="BA51">IF(COLUMN() - ($E51 + 5) &lt; 0, 0,
  IF(COLUMN() - ($E51 + 5) = 0, $F51,
    AZ51 * (1 - IFERROR(INDEX('Inputs &amp; Assuptions'!$D$13:$D$72, COLUMN() - ($E51 + 5)), 0))
  )
)</f>
        <v>1122.2157771877498</v>
      </c>
      <c r="BB51" s="32">
        <f t="array" ref="BB51">IF(COLUMN() - ($E51 + 5) &lt; 0, 0,
  IF(COLUMN() - ($E51 + 5) = 0, $F51,
    BA51 * (1 - IFERROR(INDEX('Inputs &amp; Assuptions'!$D$13:$D$72, COLUMN() - ($E51 + 5)), 0))
  )
)</f>
        <v>1119.4102377447805</v>
      </c>
      <c r="BC51" s="32">
        <f t="array" ref="BC51">IF(COLUMN() - ($E51 + 5) &lt; 0, 0,
  IF(COLUMN() - ($E51 + 5) = 0, $F51,
    BB51 * (1 - IFERROR(INDEX('Inputs &amp; Assuptions'!$D$13:$D$72, COLUMN() - ($E51 + 5)), 0))
  )
)</f>
        <v>1116.8355941979676</v>
      </c>
      <c r="BD51" s="32">
        <f t="array" ref="BD51">IF(COLUMN() - ($E51 + 5) &lt; 0, 0,
  IF(COLUMN() - ($E51 + 5) = 0, $F51,
    BC51 * (1 - IFERROR(INDEX('Inputs &amp; Assuptions'!$D$13:$D$72, COLUMN() - ($E51 + 5)), 0))
  )
)</f>
        <v>1114.6019230095717</v>
      </c>
      <c r="BE51" s="32">
        <f t="array" ref="BE51">IF(COLUMN() - ($E51 + 5) &lt; 0, 0,
  IF(COLUMN() - ($E51 + 5) = 0, $F51,
    BD51 * (1 - IFERROR(INDEX('Inputs &amp; Assuptions'!$D$13:$D$72, COLUMN() - ($E51 + 5)), 0))
  )
)</f>
        <v>1112.5956395481544</v>
      </c>
      <c r="BF51" s="32">
        <f t="array" ref="BF51">IF(COLUMN() - ($E51 + 5) &lt; 0, 0,
  IF(COLUMN() - ($E51 + 5) = 0, $F51,
    BE51 * (1 - IFERROR(INDEX('Inputs &amp; Assuptions'!$D$13:$D$72, COLUMN() - ($E51 + 5)), 0))
  )
)</f>
        <v>1110.9267460888323</v>
      </c>
      <c r="BG51" s="32">
        <f t="array" ref="BG51">IF(COLUMN() - ($E51 + 5) &lt; 0, 0,
  IF(COLUMN() - ($E51 + 5) = 0, $F51,
    BF51 * (1 - IFERROR(INDEX('Inputs &amp; Assuptions'!$D$13:$D$72, COLUMN() - ($E51 + 5)), 0))
  )
)</f>
        <v>1109.4825413189169</v>
      </c>
      <c r="BH51" s="32">
        <f t="array" ref="BH51">IF(COLUMN() - ($E51 + 5) &lt; 0, 0,
  IF(COLUMN() - ($E51 + 5) = 0, $F51,
    BG51 * (1 - IFERROR(INDEX('Inputs &amp; Assuptions'!$D$13:$D$72, COLUMN() - ($E51 + 5)), 0))
  )
)</f>
        <v>1108.3730587775981</v>
      </c>
      <c r="BI51" s="32">
        <f t="array" ref="BI51">IF(COLUMN() - ($E51 + 5) &lt; 0, 0,
  IF(COLUMN() - ($E51 + 5) = 0, $F51,
    BH51 * (1 - IFERROR(INDEX('Inputs &amp; Assuptions'!$D$13:$D$72, COLUMN() - ($E51 + 5)), 0))
  )
)</f>
        <v>1107.486360330576</v>
      </c>
      <c r="BJ51" s="32">
        <f t="array" ref="BJ51">IF(COLUMN() - ($E51 + 5) &lt; 0, 0,
  IF(COLUMN() - ($E51 + 5) = 0, $F51,
    BI51 * (1 - IFERROR(INDEX('Inputs &amp; Assuptions'!$D$13:$D$72, COLUMN() - ($E51 + 5)), 0))
  )
)</f>
        <v>1106.9326171504108</v>
      </c>
      <c r="BK51" s="32">
        <f t="array" ref="BK51">IF(COLUMN() - ($E51 + 5) &lt; 0, 0,
  IF(COLUMN() - ($E51 + 5) = 0, $F51,
    BJ51 * (1 - IFERROR(INDEX('Inputs &amp; Assuptions'!$D$13:$D$72, COLUMN() - ($E51 + 5)), 0))
  )
)</f>
        <v>1106.3791508418356</v>
      </c>
      <c r="BL51" s="32">
        <f t="array" ref="BL51">IF(COLUMN() - ($E51 + 5) &lt; 0, 0,
  IF(COLUMN() - ($E51 + 5) = 0, $F51,
    BK51 * (1 - IFERROR(INDEX('Inputs &amp; Assuptions'!$D$13:$D$72, COLUMN() - ($E51 + 5)), 0))
  )
)</f>
        <v>1105.8259612664147</v>
      </c>
      <c r="BM51" s="66">
        <f t="array" ref="BM51">IF(COLUMN() - ($E51 + 5) &lt; 0, 0,
  IF(COLUMN() - ($E51 + 5) = 0, $F51,
    BL51 * (1 - IFERROR(INDEX('Inputs &amp; Assuptions'!$D$13:$D$72, COLUMN() - ($E51 + 5)), 0))
  )
)</f>
        <v>1105.2730482857814</v>
      </c>
      <c r="BN51" s="33"/>
    </row>
    <row r="52" spans="1:66" x14ac:dyDescent="0.3">
      <c r="A52" s="71">
        <f t="shared" si="6"/>
        <v>47</v>
      </c>
      <c r="B52" s="75">
        <f t="shared" si="4"/>
        <v>1157.625</v>
      </c>
      <c r="C52" s="76">
        <f>$B52*(1-'Inputs &amp; Assuptions'!$D$12)</f>
        <v>1132.15725</v>
      </c>
      <c r="E52" s="71">
        <f t="shared" si="7"/>
        <v>47</v>
      </c>
      <c r="F52" s="65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>
        <f>$C52</f>
        <v>1132.15725</v>
      </c>
      <c r="BA52" s="32">
        <f t="array" ref="BA52">IF(COLUMN() - ($E52 + 5) &lt; 0, 0,
  IF(COLUMN() - ($E52 + 5) = 0, $F52,
    AZ52 * (1 - IFERROR(INDEX('Inputs &amp; Assuptions'!$D$13:$D$72, COLUMN() - ($E52 + 5)), 0))
  )
)</f>
        <v>1126.49646375</v>
      </c>
      <c r="BB52" s="32">
        <f t="array" ref="BB52">IF(COLUMN() - ($E52 + 5) &lt; 0, 0,
  IF(COLUMN() - ($E52 + 5) = 0, $F52,
    BA52 * (1 - IFERROR(INDEX('Inputs &amp; Assuptions'!$D$13:$D$72, COLUMN() - ($E52 + 5)), 0))
  )
)</f>
        <v>1122.2157771877498</v>
      </c>
      <c r="BC52" s="32">
        <f t="array" ref="BC52">IF(COLUMN() - ($E52 + 5) &lt; 0, 0,
  IF(COLUMN() - ($E52 + 5) = 0, $F52,
    BB52 * (1 - IFERROR(INDEX('Inputs &amp; Assuptions'!$D$13:$D$72, COLUMN() - ($E52 + 5)), 0))
  )
)</f>
        <v>1119.4102377447805</v>
      </c>
      <c r="BD52" s="32">
        <f t="array" ref="BD52">IF(COLUMN() - ($E52 + 5) &lt; 0, 0,
  IF(COLUMN() - ($E52 + 5) = 0, $F52,
    BC52 * (1 - IFERROR(INDEX('Inputs &amp; Assuptions'!$D$13:$D$72, COLUMN() - ($E52 + 5)), 0))
  )
)</f>
        <v>1116.8355941979676</v>
      </c>
      <c r="BE52" s="32">
        <f t="array" ref="BE52">IF(COLUMN() - ($E52 + 5) &lt; 0, 0,
  IF(COLUMN() - ($E52 + 5) = 0, $F52,
    BD52 * (1 - IFERROR(INDEX('Inputs &amp; Assuptions'!$D$13:$D$72, COLUMN() - ($E52 + 5)), 0))
  )
)</f>
        <v>1114.6019230095717</v>
      </c>
      <c r="BF52" s="32">
        <f t="array" ref="BF52">IF(COLUMN() - ($E52 + 5) &lt; 0, 0,
  IF(COLUMN() - ($E52 + 5) = 0, $F52,
    BE52 * (1 - IFERROR(INDEX('Inputs &amp; Assuptions'!$D$13:$D$72, COLUMN() - ($E52 + 5)), 0))
  )
)</f>
        <v>1112.5956395481544</v>
      </c>
      <c r="BG52" s="32">
        <f t="array" ref="BG52">IF(COLUMN() - ($E52 + 5) &lt; 0, 0,
  IF(COLUMN() - ($E52 + 5) = 0, $F52,
    BF52 * (1 - IFERROR(INDEX('Inputs &amp; Assuptions'!$D$13:$D$72, COLUMN() - ($E52 + 5)), 0))
  )
)</f>
        <v>1110.9267460888323</v>
      </c>
      <c r="BH52" s="32">
        <f t="array" ref="BH52">IF(COLUMN() - ($E52 + 5) &lt; 0, 0,
  IF(COLUMN() - ($E52 + 5) = 0, $F52,
    BG52 * (1 - IFERROR(INDEX('Inputs &amp; Assuptions'!$D$13:$D$72, COLUMN() - ($E52 + 5)), 0))
  )
)</f>
        <v>1109.4825413189169</v>
      </c>
      <c r="BI52" s="32">
        <f t="array" ref="BI52">IF(COLUMN() - ($E52 + 5) &lt; 0, 0,
  IF(COLUMN() - ($E52 + 5) = 0, $F52,
    BH52 * (1 - IFERROR(INDEX('Inputs &amp; Assuptions'!$D$13:$D$72, COLUMN() - ($E52 + 5)), 0))
  )
)</f>
        <v>1108.3730587775981</v>
      </c>
      <c r="BJ52" s="32">
        <f t="array" ref="BJ52">IF(COLUMN() - ($E52 + 5) &lt; 0, 0,
  IF(COLUMN() - ($E52 + 5) = 0, $F52,
    BI52 * (1 - IFERROR(INDEX('Inputs &amp; Assuptions'!$D$13:$D$72, COLUMN() - ($E52 + 5)), 0))
  )
)</f>
        <v>1107.486360330576</v>
      </c>
      <c r="BK52" s="32">
        <f t="array" ref="BK52">IF(COLUMN() - ($E52 + 5) &lt; 0, 0,
  IF(COLUMN() - ($E52 + 5) = 0, $F52,
    BJ52 * (1 - IFERROR(INDEX('Inputs &amp; Assuptions'!$D$13:$D$72, COLUMN() - ($E52 + 5)), 0))
  )
)</f>
        <v>1106.9326171504108</v>
      </c>
      <c r="BL52" s="32">
        <f t="array" ref="BL52">IF(COLUMN() - ($E52 + 5) &lt; 0, 0,
  IF(COLUMN() - ($E52 + 5) = 0, $F52,
    BK52 * (1 - IFERROR(INDEX('Inputs &amp; Assuptions'!$D$13:$D$72, COLUMN() - ($E52 + 5)), 0))
  )
)</f>
        <v>1106.3791508418356</v>
      </c>
      <c r="BM52" s="66">
        <f t="array" ref="BM52">IF(COLUMN() - ($E52 + 5) &lt; 0, 0,
  IF(COLUMN() - ($E52 + 5) = 0, $F52,
    BL52 * (1 - IFERROR(INDEX('Inputs &amp; Assuptions'!$D$13:$D$72, COLUMN() - ($E52 + 5)), 0))
  )
)</f>
        <v>1105.8259612664147</v>
      </c>
      <c r="BN52" s="33"/>
    </row>
    <row r="53" spans="1:66" x14ac:dyDescent="0.3">
      <c r="A53" s="71">
        <f t="shared" si="6"/>
        <v>48</v>
      </c>
      <c r="B53" s="75">
        <f t="shared" si="4"/>
        <v>1157.625</v>
      </c>
      <c r="C53" s="76">
        <f>$B53*(1-'Inputs &amp; Assuptions'!$D$12)</f>
        <v>1132.15725</v>
      </c>
      <c r="E53" s="71">
        <f t="shared" si="7"/>
        <v>48</v>
      </c>
      <c r="F53" s="65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>
        <f>$C53</f>
        <v>1132.15725</v>
      </c>
      <c r="BB53" s="32">
        <f t="array" ref="BB53">IF(COLUMN() - ($E53 + 5) &lt; 0, 0,
  IF(COLUMN() - ($E53 + 5) = 0, $F53,
    BA53 * (1 - IFERROR(INDEX('Inputs &amp; Assuptions'!$D$13:$D$72, COLUMN() - ($E53 + 5)), 0))
  )
)</f>
        <v>1126.49646375</v>
      </c>
      <c r="BC53" s="32">
        <f t="array" ref="BC53">IF(COLUMN() - ($E53 + 5) &lt; 0, 0,
  IF(COLUMN() - ($E53 + 5) = 0, $F53,
    BB53 * (1 - IFERROR(INDEX('Inputs &amp; Assuptions'!$D$13:$D$72, COLUMN() - ($E53 + 5)), 0))
  )
)</f>
        <v>1122.2157771877498</v>
      </c>
      <c r="BD53" s="32">
        <f t="array" ref="BD53">IF(COLUMN() - ($E53 + 5) &lt; 0, 0,
  IF(COLUMN() - ($E53 + 5) = 0, $F53,
    BC53 * (1 - IFERROR(INDEX('Inputs &amp; Assuptions'!$D$13:$D$72, COLUMN() - ($E53 + 5)), 0))
  )
)</f>
        <v>1119.4102377447805</v>
      </c>
      <c r="BE53" s="32">
        <f t="array" ref="BE53">IF(COLUMN() - ($E53 + 5) &lt; 0, 0,
  IF(COLUMN() - ($E53 + 5) = 0, $F53,
    BD53 * (1 - IFERROR(INDEX('Inputs &amp; Assuptions'!$D$13:$D$72, COLUMN() - ($E53 + 5)), 0))
  )
)</f>
        <v>1116.8355941979676</v>
      </c>
      <c r="BF53" s="32">
        <f t="array" ref="BF53">IF(COLUMN() - ($E53 + 5) &lt; 0, 0,
  IF(COLUMN() - ($E53 + 5) = 0, $F53,
    BE53 * (1 - IFERROR(INDEX('Inputs &amp; Assuptions'!$D$13:$D$72, COLUMN() - ($E53 + 5)), 0))
  )
)</f>
        <v>1114.6019230095717</v>
      </c>
      <c r="BG53" s="32">
        <f t="array" ref="BG53">IF(COLUMN() - ($E53 + 5) &lt; 0, 0,
  IF(COLUMN() - ($E53 + 5) = 0, $F53,
    BF53 * (1 - IFERROR(INDEX('Inputs &amp; Assuptions'!$D$13:$D$72, COLUMN() - ($E53 + 5)), 0))
  )
)</f>
        <v>1112.5956395481544</v>
      </c>
      <c r="BH53" s="32">
        <f t="array" ref="BH53">IF(COLUMN() - ($E53 + 5) &lt; 0, 0,
  IF(COLUMN() - ($E53 + 5) = 0, $F53,
    BG53 * (1 - IFERROR(INDEX('Inputs &amp; Assuptions'!$D$13:$D$72, COLUMN() - ($E53 + 5)), 0))
  )
)</f>
        <v>1110.9267460888323</v>
      </c>
      <c r="BI53" s="32">
        <f t="array" ref="BI53">IF(COLUMN() - ($E53 + 5) &lt; 0, 0,
  IF(COLUMN() - ($E53 + 5) = 0, $F53,
    BH53 * (1 - IFERROR(INDEX('Inputs &amp; Assuptions'!$D$13:$D$72, COLUMN() - ($E53 + 5)), 0))
  )
)</f>
        <v>1109.4825413189169</v>
      </c>
      <c r="BJ53" s="32">
        <f t="array" ref="BJ53">IF(COLUMN() - ($E53 + 5) &lt; 0, 0,
  IF(COLUMN() - ($E53 + 5) = 0, $F53,
    BI53 * (1 - IFERROR(INDEX('Inputs &amp; Assuptions'!$D$13:$D$72, COLUMN() - ($E53 + 5)), 0))
  )
)</f>
        <v>1108.3730587775981</v>
      </c>
      <c r="BK53" s="32">
        <f t="array" ref="BK53">IF(COLUMN() - ($E53 + 5) &lt; 0, 0,
  IF(COLUMN() - ($E53 + 5) = 0, $F53,
    BJ53 * (1 - IFERROR(INDEX('Inputs &amp; Assuptions'!$D$13:$D$72, COLUMN() - ($E53 + 5)), 0))
  )
)</f>
        <v>1107.486360330576</v>
      </c>
      <c r="BL53" s="32">
        <f t="array" ref="BL53">IF(COLUMN() - ($E53 + 5) &lt; 0, 0,
  IF(COLUMN() - ($E53 + 5) = 0, $F53,
    BK53 * (1 - IFERROR(INDEX('Inputs &amp; Assuptions'!$D$13:$D$72, COLUMN() - ($E53 + 5)), 0))
  )
)</f>
        <v>1106.9326171504108</v>
      </c>
      <c r="BM53" s="66">
        <f t="array" ref="BM53">IF(COLUMN() - ($E53 + 5) &lt; 0, 0,
  IF(COLUMN() - ($E53 + 5) = 0, $F53,
    BL53 * (1 - IFERROR(INDEX('Inputs &amp; Assuptions'!$D$13:$D$72, COLUMN() - ($E53 + 5)), 0))
  )
)</f>
        <v>1106.3791508418356</v>
      </c>
      <c r="BN53" s="33"/>
    </row>
    <row r="54" spans="1:66" x14ac:dyDescent="0.3">
      <c r="A54" s="71">
        <f t="shared" si="6"/>
        <v>49</v>
      </c>
      <c r="B54" s="75">
        <f t="shared" si="4"/>
        <v>1215.5062500000001</v>
      </c>
      <c r="C54" s="76">
        <f>$B54*(1-'Inputs &amp; Assuptions'!$D$12)</f>
        <v>1188.7651125000002</v>
      </c>
      <c r="E54" s="71">
        <f t="shared" si="7"/>
        <v>49</v>
      </c>
      <c r="F54" s="65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>
        <f>$C54</f>
        <v>1188.7651125000002</v>
      </c>
      <c r="BC54" s="32">
        <f t="array" ref="BC54">IF(COLUMN() - ($E54 + 5) &lt; 0, 0,
  IF(COLUMN() - ($E54 + 5) = 0, $F54,
    BB54 * (1 - IFERROR(INDEX('Inputs &amp; Assuptions'!$D$13:$D$72, COLUMN() - ($E54 + 5)), 0))
  )
)</f>
        <v>1182.8212869375002</v>
      </c>
      <c r="BD54" s="32">
        <f t="array" ref="BD54">IF(COLUMN() - ($E54 + 5) &lt; 0, 0,
  IF(COLUMN() - ($E54 + 5) = 0, $F54,
    BC54 * (1 - IFERROR(INDEX('Inputs &amp; Assuptions'!$D$13:$D$72, COLUMN() - ($E54 + 5)), 0))
  )
)</f>
        <v>1178.3265660471377</v>
      </c>
      <c r="BE54" s="32">
        <f t="array" ref="BE54">IF(COLUMN() - ($E54 + 5) &lt; 0, 0,
  IF(COLUMN() - ($E54 + 5) = 0, $F54,
    BD54 * (1 - IFERROR(INDEX('Inputs &amp; Assuptions'!$D$13:$D$72, COLUMN() - ($E54 + 5)), 0))
  )
)</f>
        <v>1175.3807496320198</v>
      </c>
      <c r="BF54" s="32">
        <f t="array" ref="BF54">IF(COLUMN() - ($E54 + 5) &lt; 0, 0,
  IF(COLUMN() - ($E54 + 5) = 0, $F54,
    BE54 * (1 - IFERROR(INDEX('Inputs &amp; Assuptions'!$D$13:$D$72, COLUMN() - ($E54 + 5)), 0))
  )
)</f>
        <v>1172.6773739078662</v>
      </c>
      <c r="BG54" s="32">
        <f t="array" ref="BG54">IF(COLUMN() - ($E54 + 5) &lt; 0, 0,
  IF(COLUMN() - ($E54 + 5) = 0, $F54,
    BF54 * (1 - IFERROR(INDEX('Inputs &amp; Assuptions'!$D$13:$D$72, COLUMN() - ($E54 + 5)), 0))
  )
)</f>
        <v>1170.3320191600505</v>
      </c>
      <c r="BH54" s="32">
        <f t="array" ref="BH54">IF(COLUMN() - ($E54 + 5) &lt; 0, 0,
  IF(COLUMN() - ($E54 + 5) = 0, $F54,
    BG54 * (1 - IFERROR(INDEX('Inputs &amp; Assuptions'!$D$13:$D$72, COLUMN() - ($E54 + 5)), 0))
  )
)</f>
        <v>1168.2254215255625</v>
      </c>
      <c r="BI54" s="32">
        <f t="array" ref="BI54">IF(COLUMN() - ($E54 + 5) &lt; 0, 0,
  IF(COLUMN() - ($E54 + 5) = 0, $F54,
    BH54 * (1 - IFERROR(INDEX('Inputs &amp; Assuptions'!$D$13:$D$72, COLUMN() - ($E54 + 5)), 0))
  )
)</f>
        <v>1166.4730833932742</v>
      </c>
      <c r="BJ54" s="32">
        <f t="array" ref="BJ54">IF(COLUMN() - ($E54 + 5) &lt; 0, 0,
  IF(COLUMN() - ($E54 + 5) = 0, $F54,
    BI54 * (1 - IFERROR(INDEX('Inputs &amp; Assuptions'!$D$13:$D$72, COLUMN() - ($E54 + 5)), 0))
  )
)</f>
        <v>1164.956668384863</v>
      </c>
      <c r="BK54" s="32">
        <f t="array" ref="BK54">IF(COLUMN() - ($E54 + 5) &lt; 0, 0,
  IF(COLUMN() - ($E54 + 5) = 0, $F54,
    BJ54 * (1 - IFERROR(INDEX('Inputs &amp; Assuptions'!$D$13:$D$72, COLUMN() - ($E54 + 5)), 0))
  )
)</f>
        <v>1163.7917117164782</v>
      </c>
      <c r="BL54" s="32">
        <f t="array" ref="BL54">IF(COLUMN() - ($E54 + 5) &lt; 0, 0,
  IF(COLUMN() - ($E54 + 5) = 0, $F54,
    BK54 * (1 - IFERROR(INDEX('Inputs &amp; Assuptions'!$D$13:$D$72, COLUMN() - ($E54 + 5)), 0))
  )
)</f>
        <v>1162.860678347105</v>
      </c>
      <c r="BM54" s="66">
        <f t="array" ref="BM54">IF(COLUMN() - ($E54 + 5) &lt; 0, 0,
  IF(COLUMN() - ($E54 + 5) = 0, $F54,
    BL54 * (1 - IFERROR(INDEX('Inputs &amp; Assuptions'!$D$13:$D$72, COLUMN() - ($E54 + 5)), 0))
  )
)</f>
        <v>1162.2792480079315</v>
      </c>
      <c r="BN54" s="33"/>
    </row>
    <row r="55" spans="1:66" x14ac:dyDescent="0.3">
      <c r="A55" s="71">
        <f t="shared" si="6"/>
        <v>50</v>
      </c>
      <c r="B55" s="75">
        <f t="shared" si="4"/>
        <v>1215.5062500000001</v>
      </c>
      <c r="C55" s="76">
        <f>$B55*(1-'Inputs &amp; Assuptions'!$D$12)</f>
        <v>1188.7651125000002</v>
      </c>
      <c r="E55" s="71">
        <f t="shared" si="7"/>
        <v>50</v>
      </c>
      <c r="F55" s="65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>
        <f>$C55</f>
        <v>1188.7651125000002</v>
      </c>
      <c r="BD55" s="32">
        <f t="array" ref="BD55">IF(COLUMN() - ($E55 + 5) &lt; 0, 0,
  IF(COLUMN() - ($E55 + 5) = 0, $F55,
    BC55 * (1 - IFERROR(INDEX('Inputs &amp; Assuptions'!$D$13:$D$72, COLUMN() - ($E55 + 5)), 0))
  )
)</f>
        <v>1182.8212869375002</v>
      </c>
      <c r="BE55" s="32">
        <f t="array" ref="BE55">IF(COLUMN() - ($E55 + 5) &lt; 0, 0,
  IF(COLUMN() - ($E55 + 5) = 0, $F55,
    BD55 * (1 - IFERROR(INDEX('Inputs &amp; Assuptions'!$D$13:$D$72, COLUMN() - ($E55 + 5)), 0))
  )
)</f>
        <v>1178.3265660471377</v>
      </c>
      <c r="BF55" s="32">
        <f t="array" ref="BF55">IF(COLUMN() - ($E55 + 5) &lt; 0, 0,
  IF(COLUMN() - ($E55 + 5) = 0, $F55,
    BE55 * (1 - IFERROR(INDEX('Inputs &amp; Assuptions'!$D$13:$D$72, COLUMN() - ($E55 + 5)), 0))
  )
)</f>
        <v>1175.3807496320198</v>
      </c>
      <c r="BG55" s="32">
        <f t="array" ref="BG55">IF(COLUMN() - ($E55 + 5) &lt; 0, 0,
  IF(COLUMN() - ($E55 + 5) = 0, $F55,
    BF55 * (1 - IFERROR(INDEX('Inputs &amp; Assuptions'!$D$13:$D$72, COLUMN() - ($E55 + 5)), 0))
  )
)</f>
        <v>1172.6773739078662</v>
      </c>
      <c r="BH55" s="32">
        <f t="array" ref="BH55">IF(COLUMN() - ($E55 + 5) &lt; 0, 0,
  IF(COLUMN() - ($E55 + 5) = 0, $F55,
    BG55 * (1 - IFERROR(INDEX('Inputs &amp; Assuptions'!$D$13:$D$72, COLUMN() - ($E55 + 5)), 0))
  )
)</f>
        <v>1170.3320191600505</v>
      </c>
      <c r="BI55" s="32">
        <f t="array" ref="BI55">IF(COLUMN() - ($E55 + 5) &lt; 0, 0,
  IF(COLUMN() - ($E55 + 5) = 0, $F55,
    BH55 * (1 - IFERROR(INDEX('Inputs &amp; Assuptions'!$D$13:$D$72, COLUMN() - ($E55 + 5)), 0))
  )
)</f>
        <v>1168.2254215255625</v>
      </c>
      <c r="BJ55" s="32">
        <f t="array" ref="BJ55">IF(COLUMN() - ($E55 + 5) &lt; 0, 0,
  IF(COLUMN() - ($E55 + 5) = 0, $F55,
    BI55 * (1 - IFERROR(INDEX('Inputs &amp; Assuptions'!$D$13:$D$72, COLUMN() - ($E55 + 5)), 0))
  )
)</f>
        <v>1166.4730833932742</v>
      </c>
      <c r="BK55" s="32">
        <f t="array" ref="BK55">IF(COLUMN() - ($E55 + 5) &lt; 0, 0,
  IF(COLUMN() - ($E55 + 5) = 0, $F55,
    BJ55 * (1 - IFERROR(INDEX('Inputs &amp; Assuptions'!$D$13:$D$72, COLUMN() - ($E55 + 5)), 0))
  )
)</f>
        <v>1164.956668384863</v>
      </c>
      <c r="BL55" s="32">
        <f t="array" ref="BL55">IF(COLUMN() - ($E55 + 5) &lt; 0, 0,
  IF(COLUMN() - ($E55 + 5) = 0, $F55,
    BK55 * (1 - IFERROR(INDEX('Inputs &amp; Assuptions'!$D$13:$D$72, COLUMN() - ($E55 + 5)), 0))
  )
)</f>
        <v>1163.7917117164782</v>
      </c>
      <c r="BM55" s="66">
        <f t="array" ref="BM55">IF(COLUMN() - ($E55 + 5) &lt; 0, 0,
  IF(COLUMN() - ($E55 + 5) = 0, $F55,
    BL55 * (1 - IFERROR(INDEX('Inputs &amp; Assuptions'!$D$13:$D$72, COLUMN() - ($E55 + 5)), 0))
  )
)</f>
        <v>1162.860678347105</v>
      </c>
      <c r="BN55" s="33"/>
    </row>
    <row r="56" spans="1:66" x14ac:dyDescent="0.3">
      <c r="A56" s="71">
        <f t="shared" si="6"/>
        <v>51</v>
      </c>
      <c r="B56" s="75">
        <f t="shared" si="4"/>
        <v>1215.5062500000001</v>
      </c>
      <c r="C56" s="76">
        <f>$B56*(1-'Inputs &amp; Assuptions'!$D$12)</f>
        <v>1188.7651125000002</v>
      </c>
      <c r="E56" s="71">
        <f t="shared" si="7"/>
        <v>51</v>
      </c>
      <c r="F56" s="65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>
        <f>$C56</f>
        <v>1188.7651125000002</v>
      </c>
      <c r="BE56" s="32">
        <f t="array" ref="BE56">IF(COLUMN() - ($E56 + 5) &lt; 0, 0,
  IF(COLUMN() - ($E56 + 5) = 0, $F56,
    BD56 * (1 - IFERROR(INDEX('Inputs &amp; Assuptions'!$D$13:$D$72, COLUMN() - ($E56 + 5)), 0))
  )
)</f>
        <v>1182.8212869375002</v>
      </c>
      <c r="BF56" s="32">
        <f t="array" ref="BF56">IF(COLUMN() - ($E56 + 5) &lt; 0, 0,
  IF(COLUMN() - ($E56 + 5) = 0, $F56,
    BE56 * (1 - IFERROR(INDEX('Inputs &amp; Assuptions'!$D$13:$D$72, COLUMN() - ($E56 + 5)), 0))
  )
)</f>
        <v>1178.3265660471377</v>
      </c>
      <c r="BG56" s="32">
        <f t="array" ref="BG56">IF(COLUMN() - ($E56 + 5) &lt; 0, 0,
  IF(COLUMN() - ($E56 + 5) = 0, $F56,
    BF56 * (1 - IFERROR(INDEX('Inputs &amp; Assuptions'!$D$13:$D$72, COLUMN() - ($E56 + 5)), 0))
  )
)</f>
        <v>1175.3807496320198</v>
      </c>
      <c r="BH56" s="32">
        <f t="array" ref="BH56">IF(COLUMN() - ($E56 + 5) &lt; 0, 0,
  IF(COLUMN() - ($E56 + 5) = 0, $F56,
    BG56 * (1 - IFERROR(INDEX('Inputs &amp; Assuptions'!$D$13:$D$72, COLUMN() - ($E56 + 5)), 0))
  )
)</f>
        <v>1172.6773739078662</v>
      </c>
      <c r="BI56" s="32">
        <f t="array" ref="BI56">IF(COLUMN() - ($E56 + 5) &lt; 0, 0,
  IF(COLUMN() - ($E56 + 5) = 0, $F56,
    BH56 * (1 - IFERROR(INDEX('Inputs &amp; Assuptions'!$D$13:$D$72, COLUMN() - ($E56 + 5)), 0))
  )
)</f>
        <v>1170.3320191600505</v>
      </c>
      <c r="BJ56" s="32">
        <f t="array" ref="BJ56">IF(COLUMN() - ($E56 + 5) &lt; 0, 0,
  IF(COLUMN() - ($E56 + 5) = 0, $F56,
    BI56 * (1 - IFERROR(INDEX('Inputs &amp; Assuptions'!$D$13:$D$72, COLUMN() - ($E56 + 5)), 0))
  )
)</f>
        <v>1168.2254215255625</v>
      </c>
      <c r="BK56" s="32">
        <f t="array" ref="BK56">IF(COLUMN() - ($E56 + 5) &lt; 0, 0,
  IF(COLUMN() - ($E56 + 5) = 0, $F56,
    BJ56 * (1 - IFERROR(INDEX('Inputs &amp; Assuptions'!$D$13:$D$72, COLUMN() - ($E56 + 5)), 0))
  )
)</f>
        <v>1166.4730833932742</v>
      </c>
      <c r="BL56" s="32">
        <f t="array" ref="BL56">IF(COLUMN() - ($E56 + 5) &lt; 0, 0,
  IF(COLUMN() - ($E56 + 5) = 0, $F56,
    BK56 * (1 - IFERROR(INDEX('Inputs &amp; Assuptions'!$D$13:$D$72, COLUMN() - ($E56 + 5)), 0))
  )
)</f>
        <v>1164.956668384863</v>
      </c>
      <c r="BM56" s="66">
        <f t="array" ref="BM56">IF(COLUMN() - ($E56 + 5) &lt; 0, 0,
  IF(COLUMN() - ($E56 + 5) = 0, $F56,
    BL56 * (1 - IFERROR(INDEX('Inputs &amp; Assuptions'!$D$13:$D$72, COLUMN() - ($E56 + 5)), 0))
  )
)</f>
        <v>1163.7917117164782</v>
      </c>
      <c r="BN56" s="33"/>
    </row>
    <row r="57" spans="1:66" x14ac:dyDescent="0.3">
      <c r="A57" s="71">
        <f t="shared" si="6"/>
        <v>52</v>
      </c>
      <c r="B57" s="75">
        <f t="shared" si="4"/>
        <v>1215.5062500000001</v>
      </c>
      <c r="C57" s="76">
        <f>$B57*(1-'Inputs &amp; Assuptions'!$D$12)</f>
        <v>1188.7651125000002</v>
      </c>
      <c r="E57" s="71">
        <f t="shared" si="7"/>
        <v>52</v>
      </c>
      <c r="F57" s="6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>
        <f>$C57</f>
        <v>1188.7651125000002</v>
      </c>
      <c r="BF57" s="32">
        <f t="array" ref="BF57">IF(COLUMN() - ($E57 + 5) &lt; 0, 0,
  IF(COLUMN() - ($E57 + 5) = 0, $F57,
    BE57 * (1 - IFERROR(INDEX('Inputs &amp; Assuptions'!$D$13:$D$72, COLUMN() - ($E57 + 5)), 0))
  )
)</f>
        <v>1182.8212869375002</v>
      </c>
      <c r="BG57" s="32">
        <f t="array" ref="BG57">IF(COLUMN() - ($E57 + 5) &lt; 0, 0,
  IF(COLUMN() - ($E57 + 5) = 0, $F57,
    BF57 * (1 - IFERROR(INDEX('Inputs &amp; Assuptions'!$D$13:$D$72, COLUMN() - ($E57 + 5)), 0))
  )
)</f>
        <v>1178.3265660471377</v>
      </c>
      <c r="BH57" s="32">
        <f t="array" ref="BH57">IF(COLUMN() - ($E57 + 5) &lt; 0, 0,
  IF(COLUMN() - ($E57 + 5) = 0, $F57,
    BG57 * (1 - IFERROR(INDEX('Inputs &amp; Assuptions'!$D$13:$D$72, COLUMN() - ($E57 + 5)), 0))
  )
)</f>
        <v>1175.3807496320198</v>
      </c>
      <c r="BI57" s="32">
        <f t="array" ref="BI57">IF(COLUMN() - ($E57 + 5) &lt; 0, 0,
  IF(COLUMN() - ($E57 + 5) = 0, $F57,
    BH57 * (1 - IFERROR(INDEX('Inputs &amp; Assuptions'!$D$13:$D$72, COLUMN() - ($E57 + 5)), 0))
  )
)</f>
        <v>1172.6773739078662</v>
      </c>
      <c r="BJ57" s="32">
        <f t="array" ref="BJ57">IF(COLUMN() - ($E57 + 5) &lt; 0, 0,
  IF(COLUMN() - ($E57 + 5) = 0, $F57,
    BI57 * (1 - IFERROR(INDEX('Inputs &amp; Assuptions'!$D$13:$D$72, COLUMN() - ($E57 + 5)), 0))
  )
)</f>
        <v>1170.3320191600505</v>
      </c>
      <c r="BK57" s="32">
        <f t="array" ref="BK57">IF(COLUMN() - ($E57 + 5) &lt; 0, 0,
  IF(COLUMN() - ($E57 + 5) = 0, $F57,
    BJ57 * (1 - IFERROR(INDEX('Inputs &amp; Assuptions'!$D$13:$D$72, COLUMN() - ($E57 + 5)), 0))
  )
)</f>
        <v>1168.2254215255625</v>
      </c>
      <c r="BL57" s="32">
        <f t="array" ref="BL57">IF(COLUMN() - ($E57 + 5) &lt; 0, 0,
  IF(COLUMN() - ($E57 + 5) = 0, $F57,
    BK57 * (1 - IFERROR(INDEX('Inputs &amp; Assuptions'!$D$13:$D$72, COLUMN() - ($E57 + 5)), 0))
  )
)</f>
        <v>1166.4730833932742</v>
      </c>
      <c r="BM57" s="66">
        <f t="array" ref="BM57">IF(COLUMN() - ($E57 + 5) &lt; 0, 0,
  IF(COLUMN() - ($E57 + 5) = 0, $F57,
    BL57 * (1 - IFERROR(INDEX('Inputs &amp; Assuptions'!$D$13:$D$72, COLUMN() - ($E57 + 5)), 0))
  )
)</f>
        <v>1164.956668384863</v>
      </c>
      <c r="BN57" s="33"/>
    </row>
    <row r="58" spans="1:66" x14ac:dyDescent="0.3">
      <c r="A58" s="71">
        <f t="shared" si="6"/>
        <v>53</v>
      </c>
      <c r="B58" s="75">
        <f t="shared" si="4"/>
        <v>1215.5062500000001</v>
      </c>
      <c r="C58" s="76">
        <f>$B58*(1-'Inputs &amp; Assuptions'!$D$12)</f>
        <v>1188.7651125000002</v>
      </c>
      <c r="E58" s="71">
        <f t="shared" si="7"/>
        <v>53</v>
      </c>
      <c r="F58" s="65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>
        <f>$C58</f>
        <v>1188.7651125000002</v>
      </c>
      <c r="BG58" s="32">
        <f t="array" ref="BG58">IF(COLUMN() - ($E58 + 5) &lt; 0, 0,
  IF(COLUMN() - ($E58 + 5) = 0, $F58,
    BF58 * (1 - IFERROR(INDEX('Inputs &amp; Assuptions'!$D$13:$D$72, COLUMN() - ($E58 + 5)), 0))
  )
)</f>
        <v>1182.8212869375002</v>
      </c>
      <c r="BH58" s="32">
        <f t="array" ref="BH58">IF(COLUMN() - ($E58 + 5) &lt; 0, 0,
  IF(COLUMN() - ($E58 + 5) = 0, $F58,
    BG58 * (1 - IFERROR(INDEX('Inputs &amp; Assuptions'!$D$13:$D$72, COLUMN() - ($E58 + 5)), 0))
  )
)</f>
        <v>1178.3265660471377</v>
      </c>
      <c r="BI58" s="32">
        <f t="array" ref="BI58">IF(COLUMN() - ($E58 + 5) &lt; 0, 0,
  IF(COLUMN() - ($E58 + 5) = 0, $F58,
    BH58 * (1 - IFERROR(INDEX('Inputs &amp; Assuptions'!$D$13:$D$72, COLUMN() - ($E58 + 5)), 0))
  )
)</f>
        <v>1175.3807496320198</v>
      </c>
      <c r="BJ58" s="32">
        <f t="array" ref="BJ58">IF(COLUMN() - ($E58 + 5) &lt; 0, 0,
  IF(COLUMN() - ($E58 + 5) = 0, $F58,
    BI58 * (1 - IFERROR(INDEX('Inputs &amp; Assuptions'!$D$13:$D$72, COLUMN() - ($E58 + 5)), 0))
  )
)</f>
        <v>1172.6773739078662</v>
      </c>
      <c r="BK58" s="32">
        <f t="array" ref="BK58">IF(COLUMN() - ($E58 + 5) &lt; 0, 0,
  IF(COLUMN() - ($E58 + 5) = 0, $F58,
    BJ58 * (1 - IFERROR(INDEX('Inputs &amp; Assuptions'!$D$13:$D$72, COLUMN() - ($E58 + 5)), 0))
  )
)</f>
        <v>1170.3320191600505</v>
      </c>
      <c r="BL58" s="32">
        <f t="array" ref="BL58">IF(COLUMN() - ($E58 + 5) &lt; 0, 0,
  IF(COLUMN() - ($E58 + 5) = 0, $F58,
    BK58 * (1 - IFERROR(INDEX('Inputs &amp; Assuptions'!$D$13:$D$72, COLUMN() - ($E58 + 5)), 0))
  )
)</f>
        <v>1168.2254215255625</v>
      </c>
      <c r="BM58" s="66">
        <f t="array" ref="BM58">IF(COLUMN() - ($E58 + 5) &lt; 0, 0,
  IF(COLUMN() - ($E58 + 5) = 0, $F58,
    BL58 * (1 - IFERROR(INDEX('Inputs &amp; Assuptions'!$D$13:$D$72, COLUMN() - ($E58 + 5)), 0))
  )
)</f>
        <v>1166.4730833932742</v>
      </c>
      <c r="BN58" s="33"/>
    </row>
    <row r="59" spans="1:66" x14ac:dyDescent="0.3">
      <c r="A59" s="71">
        <f t="shared" si="6"/>
        <v>54</v>
      </c>
      <c r="B59" s="75">
        <f t="shared" si="4"/>
        <v>1215.5062500000001</v>
      </c>
      <c r="C59" s="76">
        <f>$B59*(1-'Inputs &amp; Assuptions'!$D$12)</f>
        <v>1188.7651125000002</v>
      </c>
      <c r="E59" s="71">
        <f t="shared" si="7"/>
        <v>54</v>
      </c>
      <c r="F59" s="65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>
        <f>$C59</f>
        <v>1188.7651125000002</v>
      </c>
      <c r="BH59" s="32">
        <f t="array" ref="BH59">IF(COLUMN() - ($E59 + 5) &lt; 0, 0,
  IF(COLUMN() - ($E59 + 5) = 0, $F59,
    BG59 * (1 - IFERROR(INDEX('Inputs &amp; Assuptions'!$D$13:$D$72, COLUMN() - ($E59 + 5)), 0))
  )
)</f>
        <v>1182.8212869375002</v>
      </c>
      <c r="BI59" s="32">
        <f t="array" ref="BI59">IF(COLUMN() - ($E59 + 5) &lt; 0, 0,
  IF(COLUMN() - ($E59 + 5) = 0, $F59,
    BH59 * (1 - IFERROR(INDEX('Inputs &amp; Assuptions'!$D$13:$D$72, COLUMN() - ($E59 + 5)), 0))
  )
)</f>
        <v>1178.3265660471377</v>
      </c>
      <c r="BJ59" s="32">
        <f t="array" ref="BJ59">IF(COLUMN() - ($E59 + 5) &lt; 0, 0,
  IF(COLUMN() - ($E59 + 5) = 0, $F59,
    BI59 * (1 - IFERROR(INDEX('Inputs &amp; Assuptions'!$D$13:$D$72, COLUMN() - ($E59 + 5)), 0))
  )
)</f>
        <v>1175.3807496320198</v>
      </c>
      <c r="BK59" s="32">
        <f t="array" ref="BK59">IF(COLUMN() - ($E59 + 5) &lt; 0, 0,
  IF(COLUMN() - ($E59 + 5) = 0, $F59,
    BJ59 * (1 - IFERROR(INDEX('Inputs &amp; Assuptions'!$D$13:$D$72, COLUMN() - ($E59 + 5)), 0))
  )
)</f>
        <v>1172.6773739078662</v>
      </c>
      <c r="BL59" s="32">
        <f t="array" ref="BL59">IF(COLUMN() - ($E59 + 5) &lt; 0, 0,
  IF(COLUMN() - ($E59 + 5) = 0, $F59,
    BK59 * (1 - IFERROR(INDEX('Inputs &amp; Assuptions'!$D$13:$D$72, COLUMN() - ($E59 + 5)), 0))
  )
)</f>
        <v>1170.3320191600505</v>
      </c>
      <c r="BM59" s="66">
        <f t="array" ref="BM59">IF(COLUMN() - ($E59 + 5) &lt; 0, 0,
  IF(COLUMN() - ($E59 + 5) = 0, $F59,
    BL59 * (1 - IFERROR(INDEX('Inputs &amp; Assuptions'!$D$13:$D$72, COLUMN() - ($E59 + 5)), 0))
  )
)</f>
        <v>1168.2254215255625</v>
      </c>
      <c r="BN59" s="33"/>
    </row>
    <row r="60" spans="1:66" x14ac:dyDescent="0.3">
      <c r="A60" s="71">
        <f t="shared" si="6"/>
        <v>55</v>
      </c>
      <c r="B60" s="75">
        <f t="shared" si="4"/>
        <v>1215.5062500000001</v>
      </c>
      <c r="C60" s="76">
        <f>$B60*(1-'Inputs &amp; Assuptions'!$D$12)</f>
        <v>1188.7651125000002</v>
      </c>
      <c r="E60" s="71">
        <f t="shared" si="7"/>
        <v>55</v>
      </c>
      <c r="F60" s="65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>
        <f>$C60</f>
        <v>1188.7651125000002</v>
      </c>
      <c r="BI60" s="32">
        <f t="array" ref="BI60">IF(COLUMN() - ($E60 + 5) &lt; 0, 0,
  IF(COLUMN() - ($E60 + 5) = 0, $F60,
    BH60 * (1 - IFERROR(INDEX('Inputs &amp; Assuptions'!$D$13:$D$72, COLUMN() - ($E60 + 5)), 0))
  )
)</f>
        <v>1182.8212869375002</v>
      </c>
      <c r="BJ60" s="32">
        <f t="array" ref="BJ60">IF(COLUMN() - ($E60 + 5) &lt; 0, 0,
  IF(COLUMN() - ($E60 + 5) = 0, $F60,
    BI60 * (1 - IFERROR(INDEX('Inputs &amp; Assuptions'!$D$13:$D$72, COLUMN() - ($E60 + 5)), 0))
  )
)</f>
        <v>1178.3265660471377</v>
      </c>
      <c r="BK60" s="32">
        <f t="array" ref="BK60">IF(COLUMN() - ($E60 + 5) &lt; 0, 0,
  IF(COLUMN() - ($E60 + 5) = 0, $F60,
    BJ60 * (1 - IFERROR(INDEX('Inputs &amp; Assuptions'!$D$13:$D$72, COLUMN() - ($E60 + 5)), 0))
  )
)</f>
        <v>1175.3807496320198</v>
      </c>
      <c r="BL60" s="32">
        <f t="array" ref="BL60">IF(COLUMN() - ($E60 + 5) &lt; 0, 0,
  IF(COLUMN() - ($E60 + 5) = 0, $F60,
    BK60 * (1 - IFERROR(INDEX('Inputs &amp; Assuptions'!$D$13:$D$72, COLUMN() - ($E60 + 5)), 0))
  )
)</f>
        <v>1172.6773739078662</v>
      </c>
      <c r="BM60" s="66">
        <f t="array" ref="BM60">IF(COLUMN() - ($E60 + 5) &lt; 0, 0,
  IF(COLUMN() - ($E60 + 5) = 0, $F60,
    BL60 * (1 - IFERROR(INDEX('Inputs &amp; Assuptions'!$D$13:$D$72, COLUMN() - ($E60 + 5)), 0))
  )
)</f>
        <v>1170.3320191600505</v>
      </c>
      <c r="BN60" s="33"/>
    </row>
    <row r="61" spans="1:66" x14ac:dyDescent="0.3">
      <c r="A61" s="71">
        <f t="shared" si="6"/>
        <v>56</v>
      </c>
      <c r="B61" s="75">
        <f t="shared" si="4"/>
        <v>1215.5062500000001</v>
      </c>
      <c r="C61" s="76">
        <f>$B61*(1-'Inputs &amp; Assuptions'!$D$12)</f>
        <v>1188.7651125000002</v>
      </c>
      <c r="E61" s="71">
        <f t="shared" si="7"/>
        <v>56</v>
      </c>
      <c r="F61" s="65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>
        <f>$C61</f>
        <v>1188.7651125000002</v>
      </c>
      <c r="BJ61" s="32">
        <f t="array" ref="BJ61">IF(COLUMN() - ($E61 + 5) &lt; 0, 0,
  IF(COLUMN() - ($E61 + 5) = 0, $F61,
    BI61 * (1 - IFERROR(INDEX('Inputs &amp; Assuptions'!$D$13:$D$72, COLUMN() - ($E61 + 5)), 0))
  )
)</f>
        <v>1182.8212869375002</v>
      </c>
      <c r="BK61" s="32">
        <f t="array" ref="BK61">IF(COLUMN() - ($E61 + 5) &lt; 0, 0,
  IF(COLUMN() - ($E61 + 5) = 0, $F61,
    BJ61 * (1 - IFERROR(INDEX('Inputs &amp; Assuptions'!$D$13:$D$72, COLUMN() - ($E61 + 5)), 0))
  )
)</f>
        <v>1178.3265660471377</v>
      </c>
      <c r="BL61" s="32">
        <f t="array" ref="BL61">IF(COLUMN() - ($E61 + 5) &lt; 0, 0,
  IF(COLUMN() - ($E61 + 5) = 0, $F61,
    BK61 * (1 - IFERROR(INDEX('Inputs &amp; Assuptions'!$D$13:$D$72, COLUMN() - ($E61 + 5)), 0))
  )
)</f>
        <v>1175.3807496320198</v>
      </c>
      <c r="BM61" s="66">
        <f t="array" ref="BM61">IF(COLUMN() - ($E61 + 5) &lt; 0, 0,
  IF(COLUMN() - ($E61 + 5) = 0, $F61,
    BL61 * (1 - IFERROR(INDEX('Inputs &amp; Assuptions'!$D$13:$D$72, COLUMN() - ($E61 + 5)), 0))
  )
)</f>
        <v>1172.6773739078662</v>
      </c>
      <c r="BN61" s="33"/>
    </row>
    <row r="62" spans="1:66" x14ac:dyDescent="0.3">
      <c r="A62" s="71">
        <f t="shared" si="6"/>
        <v>57</v>
      </c>
      <c r="B62" s="75">
        <f t="shared" si="4"/>
        <v>1215.5062500000001</v>
      </c>
      <c r="C62" s="76">
        <f>$B62*(1-'Inputs &amp; Assuptions'!$D$12)</f>
        <v>1188.7651125000002</v>
      </c>
      <c r="E62" s="71">
        <f t="shared" si="7"/>
        <v>57</v>
      </c>
      <c r="F62" s="65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>
        <f>$C62</f>
        <v>1188.7651125000002</v>
      </c>
      <c r="BK62" s="32">
        <f t="array" ref="BK62">IF(COLUMN() - ($E62 + 5) &lt; 0, 0,
  IF(COLUMN() - ($E62 + 5) = 0, $F62,
    BJ62 * (1 - IFERROR(INDEX('Inputs &amp; Assuptions'!$D$13:$D$72, COLUMN() - ($E62 + 5)), 0))
  )
)</f>
        <v>1182.8212869375002</v>
      </c>
      <c r="BL62" s="32">
        <f t="array" ref="BL62">IF(COLUMN() - ($E62 + 5) &lt; 0, 0,
  IF(COLUMN() - ($E62 + 5) = 0, $F62,
    BK62 * (1 - IFERROR(INDEX('Inputs &amp; Assuptions'!$D$13:$D$72, COLUMN() - ($E62 + 5)), 0))
  )
)</f>
        <v>1178.3265660471377</v>
      </c>
      <c r="BM62" s="66">
        <f t="array" ref="BM62">IF(COLUMN() - ($E62 + 5) &lt; 0, 0,
  IF(COLUMN() - ($E62 + 5) = 0, $F62,
    BL62 * (1 - IFERROR(INDEX('Inputs &amp; Assuptions'!$D$13:$D$72, COLUMN() - ($E62 + 5)), 0))
  )
)</f>
        <v>1175.3807496320198</v>
      </c>
      <c r="BN62" s="33"/>
    </row>
    <row r="63" spans="1:66" x14ac:dyDescent="0.3">
      <c r="A63" s="71">
        <f t="shared" si="6"/>
        <v>58</v>
      </c>
      <c r="B63" s="75">
        <f t="shared" si="4"/>
        <v>1215.5062500000001</v>
      </c>
      <c r="C63" s="76">
        <f>$B63*(1-'Inputs &amp; Assuptions'!$D$12)</f>
        <v>1188.7651125000002</v>
      </c>
      <c r="E63" s="71">
        <f t="shared" si="7"/>
        <v>58</v>
      </c>
      <c r="F63" s="65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>
        <f>$C63</f>
        <v>1188.7651125000002</v>
      </c>
      <c r="BL63" s="32">
        <f t="array" ref="BL63">IF(COLUMN() - ($E63 + 5) &lt; 0, 0,
  IF(COLUMN() - ($E63 + 5) = 0, $F63,
    BK63 * (1 - IFERROR(INDEX('Inputs &amp; Assuptions'!$D$13:$D$72, COLUMN() - ($E63 + 5)), 0))
  )
)</f>
        <v>1182.8212869375002</v>
      </c>
      <c r="BM63" s="66">
        <f t="array" ref="BM63">IF(COLUMN() - ($E63 + 5) &lt; 0, 0,
  IF(COLUMN() - ($E63 + 5) = 0, $F63,
    BL63 * (1 - IFERROR(INDEX('Inputs &amp; Assuptions'!$D$13:$D$72, COLUMN() - ($E63 + 5)), 0))
  )
)</f>
        <v>1178.3265660471377</v>
      </c>
      <c r="BN63" s="33"/>
    </row>
    <row r="64" spans="1:66" x14ac:dyDescent="0.3">
      <c r="A64" s="71">
        <f t="shared" si="6"/>
        <v>59</v>
      </c>
      <c r="B64" s="75">
        <f t="shared" si="4"/>
        <v>1215.5062500000001</v>
      </c>
      <c r="C64" s="76">
        <f>$B64*(1-'Inputs &amp; Assuptions'!$D$12)</f>
        <v>1188.7651125000002</v>
      </c>
      <c r="E64" s="71">
        <f t="shared" si="7"/>
        <v>59</v>
      </c>
      <c r="F64" s="65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>
        <f>$C64</f>
        <v>1188.7651125000002</v>
      </c>
      <c r="BM64" s="66">
        <f t="array" ref="BM64">IF(COLUMN() - ($E64 + 5) &lt; 0, 0,
  IF(COLUMN() - ($E64 + 5) = 0, $F64,
    BL64 * (1 - IFERROR(INDEX('Inputs &amp; Assuptions'!$D$13:$D$72, COLUMN() - ($E64 + 5)), 0))
  )
)</f>
        <v>1182.8212869375002</v>
      </c>
      <c r="BN64" s="33"/>
    </row>
    <row r="65" spans="1:66" x14ac:dyDescent="0.3">
      <c r="A65" s="73">
        <f t="shared" si="6"/>
        <v>60</v>
      </c>
      <c r="B65" s="77">
        <f t="shared" si="4"/>
        <v>1215.5062500000001</v>
      </c>
      <c r="C65" s="78">
        <f>$B65*(1-'Inputs &amp; Assuptions'!$D$12)</f>
        <v>1188.7651125000002</v>
      </c>
      <c r="E65" s="73">
        <f t="shared" si="7"/>
        <v>60</v>
      </c>
      <c r="F65" s="68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70">
        <f>$C65</f>
        <v>1188.7651125000002</v>
      </c>
    </row>
    <row r="66" spans="1:66" s="28" customFormat="1" x14ac:dyDescent="0.3"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4"/>
    </row>
    <row r="67" spans="1:66" x14ac:dyDescent="0.3">
      <c r="A67" s="72" t="s">
        <v>90</v>
      </c>
      <c r="B67" s="72"/>
      <c r="C67" s="72"/>
      <c r="D67" s="72"/>
      <c r="E67" s="72"/>
      <c r="F67" s="69">
        <f t="shared" ref="F67:AK67" si="8">+SUM(F6:F65)</f>
        <v>978</v>
      </c>
      <c r="G67" s="69">
        <f t="shared" si="8"/>
        <v>1951.1100000000001</v>
      </c>
      <c r="H67" s="69">
        <f t="shared" si="8"/>
        <v>2920.5221820000002</v>
      </c>
      <c r="I67" s="69">
        <f t="shared" si="8"/>
        <v>3887.510833545</v>
      </c>
      <c r="J67" s="69">
        <f t="shared" si="8"/>
        <v>4852.2754111914473</v>
      </c>
      <c r="K67" s="69">
        <f t="shared" si="8"/>
        <v>5815.1104596825999</v>
      </c>
      <c r="L67" s="69">
        <f t="shared" si="8"/>
        <v>6776.2124050864695</v>
      </c>
      <c r="M67" s="69">
        <f t="shared" si="8"/>
        <v>7735.8726975722329</v>
      </c>
      <c r="N67" s="69">
        <f t="shared" si="8"/>
        <v>8694.2854316777666</v>
      </c>
      <c r="O67" s="69">
        <f t="shared" si="8"/>
        <v>9651.7397530491926</v>
      </c>
      <c r="P67" s="69">
        <f t="shared" si="8"/>
        <v>10608.428110963523</v>
      </c>
      <c r="Q67" s="69">
        <f t="shared" si="8"/>
        <v>11564.638124698895</v>
      </c>
      <c r="R67" s="69">
        <f t="shared" si="8"/>
        <v>12569.2700334274</v>
      </c>
      <c r="S67" s="69">
        <f t="shared" si="8"/>
        <v>13573.179576201541</v>
      </c>
      <c r="T67" s="69">
        <f t="shared" si="8"/>
        <v>14576.426601054292</v>
      </c>
      <c r="U67" s="69">
        <f t="shared" si="8"/>
        <v>15579.07506117642</v>
      </c>
      <c r="V67" s="69">
        <f t="shared" si="8"/>
        <v>16581.135168089848</v>
      </c>
      <c r="W67" s="69">
        <f t="shared" si="8"/>
        <v>17582.6218876065</v>
      </c>
      <c r="X67" s="69">
        <f t="shared" si="8"/>
        <v>18583.545279485235</v>
      </c>
      <c r="Y67" s="69">
        <f t="shared" si="8"/>
        <v>19583.920154570766</v>
      </c>
      <c r="Z67" s="69">
        <f t="shared" si="8"/>
        <v>20583.756455807052</v>
      </c>
      <c r="AA67" s="69">
        <f t="shared" si="8"/>
        <v>21583.068878574366</v>
      </c>
      <c r="AB67" s="69">
        <f t="shared" si="8"/>
        <v>22581.867283315478</v>
      </c>
      <c r="AC67" s="69">
        <f t="shared" si="8"/>
        <v>23580.166288854216</v>
      </c>
      <c r="AD67" s="69">
        <f t="shared" si="8"/>
        <v>24629.311144890184</v>
      </c>
      <c r="AE67" s="69">
        <f t="shared" si="8"/>
        <v>25677.700375998134</v>
      </c>
      <c r="AF67" s="69">
        <f t="shared" si="8"/>
        <v>26725.396821183029</v>
      </c>
      <c r="AG67" s="69">
        <f t="shared" si="8"/>
        <v>27772.467629866223</v>
      </c>
      <c r="AH67" s="69">
        <f t="shared" si="8"/>
        <v>28818.923522717505</v>
      </c>
      <c r="AI67" s="69">
        <f t="shared" si="8"/>
        <v>29864.780212411875</v>
      </c>
      <c r="AJ67" s="69">
        <f t="shared" si="8"/>
        <v>30910.048260269337</v>
      </c>
      <c r="AK67" s="69">
        <f t="shared" si="8"/>
        <v>31954.743216250739</v>
      </c>
      <c r="AL67" s="69">
        <f t="shared" ref="AL67:BM67" si="9">+SUM(AL6:AL65)</f>
        <v>32998.875519021865</v>
      </c>
      <c r="AM67" s="69">
        <f t="shared" si="9"/>
        <v>34042.460597307341</v>
      </c>
      <c r="AN67" s="69">
        <f t="shared" si="9"/>
        <v>35085.508803148106</v>
      </c>
      <c r="AO67" s="69">
        <f t="shared" si="9"/>
        <v>36128.035484885957</v>
      </c>
      <c r="AP67" s="69">
        <f t="shared" si="9"/>
        <v>37223.953153282913</v>
      </c>
      <c r="AQ67" s="69">
        <f t="shared" si="9"/>
        <v>38319.080257720692</v>
      </c>
      <c r="AR67" s="69">
        <f t="shared" si="9"/>
        <v>39413.48277773337</v>
      </c>
      <c r="AS67" s="69">
        <f t="shared" si="9"/>
        <v>40507.231218792993</v>
      </c>
      <c r="AT67" s="69">
        <f t="shared" si="9"/>
        <v>41600.336836183124</v>
      </c>
      <c r="AU67" s="69">
        <f t="shared" si="9"/>
        <v>42692.816126793536</v>
      </c>
      <c r="AV67" s="69">
        <f t="shared" si="9"/>
        <v>43784.680178591989</v>
      </c>
      <c r="AW67" s="69">
        <f t="shared" si="9"/>
        <v>44875.9453176198</v>
      </c>
      <c r="AX67" s="69">
        <f t="shared" si="9"/>
        <v>45966.622503059203</v>
      </c>
      <c r="AY67" s="69">
        <f t="shared" si="9"/>
        <v>47056.727933654904</v>
      </c>
      <c r="AZ67" s="69">
        <f t="shared" si="9"/>
        <v>48146.272477634469</v>
      </c>
      <c r="BA67" s="69">
        <f t="shared" si="9"/>
        <v>49235.272249342037</v>
      </c>
      <c r="BB67" s="69">
        <f t="shared" si="9"/>
        <v>50380.335383663769</v>
      </c>
      <c r="BC67" s="69">
        <f t="shared" si="9"/>
        <v>51524.571251037058</v>
      </c>
      <c r="BD67" s="69">
        <f t="shared" si="9"/>
        <v>52668.049128560175</v>
      </c>
      <c r="BE67" s="69">
        <f t="shared" si="9"/>
        <v>53810.843045566806</v>
      </c>
      <c r="BF67" s="69">
        <f t="shared" si="9"/>
        <v>54952.964818693516</v>
      </c>
      <c r="BG67" s="69">
        <f t="shared" si="9"/>
        <v>56094.431768264119</v>
      </c>
      <c r="BH67" s="69">
        <f t="shared" si="9"/>
        <v>57235.255535234923</v>
      </c>
      <c r="BI67" s="69">
        <f t="shared" si="9"/>
        <v>58375.453260540286</v>
      </c>
      <c r="BJ67" s="69">
        <f t="shared" si="9"/>
        <v>59515.036449913132</v>
      </c>
      <c r="BK67" s="69">
        <f t="shared" si="9"/>
        <v>60654.022110627775</v>
      </c>
      <c r="BL67" s="69">
        <f t="shared" si="9"/>
        <v>61792.421652916171</v>
      </c>
      <c r="BM67" s="69">
        <f t="shared" si="9"/>
        <v>62930.251995433398</v>
      </c>
    </row>
  </sheetData>
  <mergeCells count="1">
    <mergeCell ref="I1:J1"/>
  </mergeCells>
  <conditionalFormatting sqref="A5:A65">
    <cfRule type="cellIs" dxfId="4" priority="5" operator="lessThan">
      <formula>0</formula>
    </cfRule>
  </conditionalFormatting>
  <conditionalFormatting sqref="B5:C5">
    <cfRule type="cellIs" dxfId="3" priority="3" operator="lessThan">
      <formula>0</formula>
    </cfRule>
  </conditionalFormatting>
  <conditionalFormatting sqref="E5:E65">
    <cfRule type="cellIs" dxfId="2" priority="4" operator="lessThan">
      <formula>0</formula>
    </cfRule>
  </conditionalFormatting>
  <conditionalFormatting sqref="F2:F3">
    <cfRule type="cellIs" dxfId="1" priority="1" operator="lessThan">
      <formula>0</formula>
    </cfRule>
  </conditionalFormatting>
  <conditionalFormatting sqref="F5:BM5">
    <cfRule type="cellIs" dxfId="0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Inputs &amp; Assuptions</vt:lpstr>
      <vt:lpstr>Summary</vt:lpstr>
      <vt:lpstr>Visuals</vt:lpstr>
      <vt:lpstr>Channel 1_calculations</vt:lpstr>
      <vt:lpstr>Channel 2_calculations</vt:lpstr>
      <vt:lpstr>Channel 3_calculations</vt:lpstr>
      <vt:lpstr>Channel 1 Sales</vt:lpstr>
      <vt:lpstr>Channel 2 Sales</vt:lpstr>
      <vt:lpstr>Channel 3 Sales</vt:lpstr>
      <vt:lpstr>CALC_REMAINED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Aleesha Reddy</dc:creator>
  <cp:keywords/>
  <dc:description/>
  <cp:lastModifiedBy>Mashale, Khanyisa</cp:lastModifiedBy>
  <cp:revision>14</cp:revision>
  <dcterms:created xsi:type="dcterms:W3CDTF">2025-11-19T01:05:23Z</dcterms:created>
  <dcterms:modified xsi:type="dcterms:W3CDTF">2026-04-14T10:52:06Z</dcterms:modified>
  <cp:category/>
  <cp:contentStatus/>
</cp:coreProperties>
</file>